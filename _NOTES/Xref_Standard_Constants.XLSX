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 windowWidth="23505" windowHeight="9525"/>
  </bookViews>
  <sheets>
    <sheet name="Sheet1" sheetId="1" r:id="rId1"/>
    <sheet name="HexFormatDecoration" sheetId="2" r:id="rId2"/>
    <sheet name="NumericFormats Constants" sheetId="3" r:id="rId3"/>
    <sheet name="Inventory_WWDisplayAssemblyInfo" sheetId="4" r:id="rId4"/>
    <sheet name="SharedUtl4 Versions" sheetId="7" r:id="rId5"/>
    <sheet name="Inventory_DllServices2_ENIGMA" sheetId="5" r:id="rId6"/>
    <sheet name="Inventory_DllServices2_CFG_ENIG" sheetId="6" r:id="rId7"/>
  </sheets>
  <externalReferences>
    <externalReference r:id="rId8"/>
  </externalReferences>
  <definedNames>
    <definedName name="_xlnm._FilterDatabase" localSheetId="5" hidden="1">Inventory_DllServices2_ENIGMA!$B$1:$B$221</definedName>
    <definedName name="DLLServices2_Config_Inventory_Copy_in_bin">Inventory_DllServices2_CFG_ENIG!$D$6</definedName>
    <definedName name="DLLServices2_Config_Inventory_Details">Inventory_DllServices2_CFG_ENIG!$A$11:$D$115</definedName>
    <definedName name="DLLServices2_Config_Inventory_Labels">Inventory_DllServices2_CFG_ENIG!$A$10:$D$10</definedName>
    <definedName name="DLLServices2_Config_Inventory_Master_Copy">Inventory_DllServices2_CFG_ENIG!$A$16</definedName>
    <definedName name="DLLServices2_Config_Inventory_Newest">Inventory_DllServices2_CFG_ENIG!$D$3</definedName>
    <definedName name="DLLServices2_Config_Inventory_Next_Newest">Inventory_DllServices2_CFG_ENIG!$D$4</definedName>
    <definedName name="DLLServices2_Config_Inventory_Third_Newest">Inventory_DllServices2_CFG_ENIG!$D$5</definedName>
    <definedName name="DLLServices2_Config_Inventory_Today">Inventory_DllServices2_CFG_ENIG!$D$2</definedName>
    <definedName name="Glyphs_LC">HexFormatDecoration!$D$9</definedName>
    <definedName name="Glyphs_LC___Glyphs_UC">HexFormatDecoration!$D$13</definedName>
    <definedName name="Glyphs_UC">HexFormatDecoration!$D$10</definedName>
    <definedName name="Longest_HexFormatDecoration_MemberName">HexFormatDecoration!$B$16</definedName>
    <definedName name="None">HexFormatDecoration!$D$2</definedName>
    <definedName name="NumericFormatConstants_Col_Labels">'NumericFormats Constants'!$A$1:$U$2</definedName>
    <definedName name="NumericFormatConstants_Details">'NumericFormats Constants'!$C$3:$U$14</definedName>
    <definedName name="NumericFormatConstants_Row_Labels">'NumericFormats Constants'!$A$3:$B$14</definedName>
    <definedName name="Prefix_Oh_LC">HexFormatDecoration!$D$5</definedName>
    <definedName name="Prefix_Oh_LC___Prefix_Oh_UC___Prefix_Ox_LC___Prefix_Ox_UC">HexFormatDecoration!$D$11</definedName>
    <definedName name="Prefix_Oh_UC">HexFormatDecoration!$D$6</definedName>
    <definedName name="Prefix_Ox_LC">HexFormatDecoration!$D$3</definedName>
    <definedName name="Prefix_Ox_UC">HexFormatDecoration!$D$4</definedName>
    <definedName name="_xlnm.Print_Area" localSheetId="2">'NumericFormats Constants'!$C$3:$U$14</definedName>
    <definedName name="_xlnm.Print_Titles" localSheetId="2">'NumericFormats Constants'!$A:$B,'NumericFormats Constants'!$1:$2</definedName>
    <definedName name="Suffix_h_LC">HexFormatDecoration!$D$7</definedName>
    <definedName name="Suffix_h_LC___Suffix_h_UC">HexFormatDecoration!$D$12</definedName>
    <definedName name="Suffix_h_UC">HexFormatDecoration!$D$8</definedName>
    <definedName name="WWDisplayAssemblyInfo_bin_directory">Inventory_WWDisplayAssemblyInfo!$C$2</definedName>
  </definedNames>
  <calcPr calcId="145621"/>
</workbook>
</file>

<file path=xl/calcChain.xml><?xml version="1.0" encoding="utf-8"?>
<calcChain xmlns="http://schemas.openxmlformats.org/spreadsheetml/2006/main">
  <c r="E115" i="6" l="1"/>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16" i="6"/>
  <c r="B109" i="5"/>
  <c r="H109" i="5" s="1"/>
  <c r="B108" i="5"/>
  <c r="H108" i="5" s="1"/>
  <c r="B107" i="5"/>
  <c r="H107" i="5" s="1"/>
  <c r="B106" i="5"/>
  <c r="H106" i="5" s="1"/>
  <c r="B105" i="5"/>
  <c r="H105" i="5" s="1"/>
  <c r="B104" i="5"/>
  <c r="H104" i="5" s="1"/>
  <c r="B103" i="5"/>
  <c r="H103" i="5" s="1"/>
  <c r="B102" i="5"/>
  <c r="H102" i="5" s="1"/>
  <c r="B101" i="5"/>
  <c r="H101" i="5" s="1"/>
  <c r="B100" i="5"/>
  <c r="B99" i="5"/>
  <c r="B98" i="5"/>
  <c r="B97" i="5"/>
  <c r="B96" i="5"/>
  <c r="B95" i="5"/>
  <c r="H95" i="5" s="1"/>
  <c r="B94" i="5"/>
  <c r="H94" i="5" s="1"/>
  <c r="B93" i="5"/>
  <c r="H93" i="5" s="1"/>
  <c r="B92" i="5"/>
  <c r="H92" i="5" s="1"/>
  <c r="B91" i="5"/>
  <c r="H91" i="5" s="1"/>
  <c r="B90" i="5"/>
  <c r="H90" i="5" s="1"/>
  <c r="B89" i="5"/>
  <c r="H89" i="5" s="1"/>
  <c r="B88" i="5"/>
  <c r="H88" i="5" s="1"/>
  <c r="B87" i="5"/>
  <c r="H87" i="5" s="1"/>
  <c r="B86" i="5"/>
  <c r="H86" i="5" s="1"/>
  <c r="B85" i="5"/>
  <c r="H85" i="5" s="1"/>
  <c r="B84" i="5"/>
  <c r="H84" i="5" s="1"/>
  <c r="B83" i="5"/>
  <c r="H83" i="5" s="1"/>
  <c r="B82" i="5"/>
  <c r="B81" i="5"/>
  <c r="B80" i="5"/>
  <c r="H80" i="5" s="1"/>
  <c r="B79" i="5"/>
  <c r="H79" i="5" s="1"/>
  <c r="B78" i="5"/>
  <c r="B77" i="5"/>
  <c r="B76" i="5"/>
  <c r="B75" i="5"/>
  <c r="H75" i="5" s="1"/>
  <c r="B74" i="5"/>
  <c r="H74" i="5" s="1"/>
  <c r="B73" i="5"/>
  <c r="B72" i="5"/>
  <c r="B71" i="5"/>
  <c r="H71" i="5" s="1"/>
  <c r="B70" i="5"/>
  <c r="H70" i="5" s="1"/>
  <c r="B69" i="5"/>
  <c r="H69" i="5" s="1"/>
  <c r="B68" i="5"/>
  <c r="H68" i="5" s="1"/>
  <c r="B67" i="5"/>
  <c r="B66" i="5"/>
  <c r="B65" i="5"/>
  <c r="H65" i="5" s="1"/>
  <c r="B64" i="5"/>
  <c r="H64" i="5" s="1"/>
  <c r="B63" i="5"/>
  <c r="H63" i="5" s="1"/>
  <c r="B62" i="5"/>
  <c r="H62" i="5" s="1"/>
  <c r="B61" i="5"/>
  <c r="H61" i="5" s="1"/>
  <c r="B60" i="5"/>
  <c r="H60" i="5" s="1"/>
  <c r="B59" i="5"/>
  <c r="H59" i="5" s="1"/>
  <c r="B58" i="5"/>
  <c r="H58" i="5" s="1"/>
  <c r="B57" i="5"/>
  <c r="H57" i="5" s="1"/>
  <c r="B56" i="5"/>
  <c r="H56" i="5" s="1"/>
  <c r="B55" i="5"/>
  <c r="H55" i="5" s="1"/>
  <c r="B54" i="5"/>
  <c r="H54" i="5" s="1"/>
  <c r="B53" i="5"/>
  <c r="H53" i="5" s="1"/>
  <c r="B52" i="5"/>
  <c r="H52" i="5" s="1"/>
  <c r="B51" i="5"/>
  <c r="H51" i="5" s="1"/>
  <c r="B50" i="5"/>
  <c r="B49" i="5"/>
  <c r="H49" i="5" s="1"/>
  <c r="B48" i="5"/>
  <c r="H48" i="5" s="1"/>
  <c r="B47" i="5"/>
  <c r="B46" i="5"/>
  <c r="H46" i="5" s="1"/>
  <c r="B45" i="5"/>
  <c r="H45" i="5" s="1"/>
  <c r="B44" i="5"/>
  <c r="H44" i="5" s="1"/>
  <c r="B43" i="5"/>
  <c r="H43" i="5" s="1"/>
  <c r="B42" i="5"/>
  <c r="H42" i="5" s="1"/>
  <c r="B41" i="5"/>
  <c r="H41" i="5" s="1"/>
  <c r="B40" i="5"/>
  <c r="B39" i="5"/>
  <c r="B38" i="5"/>
  <c r="H38" i="5" s="1"/>
  <c r="B37" i="5"/>
  <c r="H37" i="5" s="1"/>
  <c r="B36" i="5"/>
  <c r="H36" i="5" s="1"/>
  <c r="B35" i="5"/>
  <c r="H35" i="5" s="1"/>
  <c r="B34" i="5"/>
  <c r="H34" i="5" s="1"/>
  <c r="B33" i="5"/>
  <c r="H33" i="5" s="1"/>
  <c r="B32" i="5"/>
  <c r="B31" i="5"/>
  <c r="B30" i="5"/>
  <c r="H30" i="5" s="1"/>
  <c r="B29" i="5"/>
  <c r="B28" i="5"/>
  <c r="B27" i="5"/>
  <c r="B26" i="5"/>
  <c r="B25" i="5"/>
  <c r="H25" i="5" s="1"/>
  <c r="B24" i="5"/>
  <c r="H24" i="5" s="1"/>
  <c r="B23" i="5"/>
  <c r="H23" i="5" s="1"/>
  <c r="B22" i="5"/>
  <c r="H22" i="5" s="1"/>
  <c r="B21" i="5"/>
  <c r="H21" i="5" s="1"/>
  <c r="B20" i="5"/>
  <c r="H20" i="5" s="1"/>
  <c r="B19" i="5"/>
  <c r="B18" i="5"/>
  <c r="H18" i="5" s="1"/>
  <c r="B17" i="5"/>
  <c r="H17" i="5" s="1"/>
  <c r="B16" i="5"/>
  <c r="H16" i="5" s="1"/>
  <c r="B15" i="5"/>
  <c r="H15" i="5" s="1"/>
  <c r="B14" i="5"/>
  <c r="H14" i="5" s="1"/>
  <c r="B13" i="5"/>
  <c r="H13" i="5" s="1"/>
  <c r="B12" i="5"/>
  <c r="H12" i="5" s="1"/>
  <c r="B11" i="5"/>
  <c r="H11" i="5" s="1"/>
  <c r="B10" i="5"/>
  <c r="H10" i="5" s="1"/>
  <c r="B9" i="5"/>
  <c r="H9" i="5" s="1"/>
  <c r="B8" i="5"/>
  <c r="H8" i="5" s="1"/>
  <c r="B7" i="5"/>
  <c r="H7" i="5" s="1"/>
  <c r="B6" i="5"/>
  <c r="H6" i="5" s="1"/>
  <c r="B5" i="5"/>
  <c r="H5" i="5" s="1"/>
  <c r="B4" i="5"/>
  <c r="H4" i="5" s="1"/>
  <c r="B3" i="5"/>
  <c r="H3" i="5" s="1"/>
  <c r="B2" i="5"/>
  <c r="H2" i="5" s="1"/>
  <c r="D5" i="7"/>
  <c r="D4" i="7"/>
  <c r="H99" i="5"/>
  <c r="H97" i="5"/>
  <c r="H81" i="5"/>
  <c r="H77" i="5"/>
  <c r="H73" i="5"/>
  <c r="H67" i="5"/>
  <c r="H47" i="5"/>
  <c r="H39" i="5"/>
  <c r="H31" i="5"/>
  <c r="H29" i="5"/>
  <c r="H27" i="5"/>
  <c r="H19" i="5"/>
  <c r="H100" i="5"/>
  <c r="H98" i="5"/>
  <c r="H96" i="5"/>
  <c r="H82" i="5"/>
  <c r="H78" i="5"/>
  <c r="H76" i="5"/>
  <c r="H72" i="5"/>
  <c r="H66" i="5"/>
  <c r="H50" i="5"/>
  <c r="H40" i="5"/>
  <c r="H32" i="5"/>
  <c r="H28" i="5"/>
  <c r="H26" i="5"/>
  <c r="E87" i="6"/>
  <c r="E85" i="6"/>
  <c r="E83" i="6"/>
  <c r="E81" i="6"/>
  <c r="E79" i="6"/>
  <c r="E77" i="6"/>
  <c r="E75" i="6"/>
  <c r="E73" i="6"/>
  <c r="E71" i="6"/>
  <c r="E69" i="6"/>
  <c r="E67" i="6"/>
  <c r="E65" i="6"/>
  <c r="E63" i="6"/>
  <c r="E61" i="6"/>
  <c r="E59" i="6"/>
  <c r="E57" i="6"/>
  <c r="E55" i="6"/>
  <c r="E53" i="6"/>
  <c r="E51" i="6"/>
  <c r="E49" i="6"/>
  <c r="E47" i="6"/>
  <c r="E45" i="6"/>
  <c r="E43" i="6"/>
  <c r="E41" i="6"/>
  <c r="E39" i="6"/>
  <c r="E37" i="6"/>
  <c r="E35" i="6"/>
  <c r="E33" i="6"/>
  <c r="E31" i="6"/>
  <c r="E29" i="6"/>
  <c r="E27" i="6"/>
  <c r="E25" i="6"/>
  <c r="E23" i="6"/>
  <c r="E21" i="6"/>
  <c r="E19" i="6"/>
  <c r="E17" i="6"/>
  <c r="E84" i="6"/>
  <c r="E82" i="6"/>
  <c r="E78" i="6"/>
  <c r="E76" i="6"/>
  <c r="E72" i="6"/>
  <c r="E68" i="6"/>
  <c r="E64" i="6"/>
  <c r="E60" i="6"/>
  <c r="E58" i="6"/>
  <c r="E54" i="6"/>
  <c r="E50" i="6"/>
  <c r="E46" i="6"/>
  <c r="E44" i="6"/>
  <c r="E40" i="6"/>
  <c r="E36" i="6"/>
  <c r="E34" i="6"/>
  <c r="E30" i="6"/>
  <c r="E26" i="6"/>
  <c r="E22" i="6"/>
  <c r="E20" i="6"/>
  <c r="E86" i="6"/>
  <c r="E80" i="6"/>
  <c r="E74" i="6"/>
  <c r="E70" i="6"/>
  <c r="E66" i="6"/>
  <c r="E62" i="6"/>
  <c r="E56" i="6"/>
  <c r="E52" i="6"/>
  <c r="E48" i="6"/>
  <c r="E42" i="6"/>
  <c r="E38" i="6"/>
  <c r="E32" i="6"/>
  <c r="E28" i="6"/>
  <c r="E24" i="6"/>
  <c r="E18" i="6"/>
  <c r="E15" i="6"/>
  <c r="E13" i="6"/>
  <c r="E14" i="6"/>
  <c r="E12" i="6"/>
  <c r="E11" i="6"/>
  <c r="G87" i="6"/>
  <c r="G85" i="6"/>
  <c r="G83" i="6"/>
  <c r="G81" i="6"/>
  <c r="G79" i="6"/>
  <c r="G77" i="6"/>
  <c r="G75" i="6"/>
  <c r="G73" i="6"/>
  <c r="G71" i="6"/>
  <c r="G69" i="6"/>
  <c r="G67" i="6"/>
  <c r="G65" i="6"/>
  <c r="G63" i="6"/>
  <c r="G61" i="6"/>
  <c r="G59" i="6"/>
  <c r="G57" i="6"/>
  <c r="G55" i="6"/>
  <c r="G51" i="6"/>
  <c r="G49" i="6"/>
  <c r="G45" i="6"/>
  <c r="G41" i="6"/>
  <c r="G35" i="6"/>
  <c r="G31" i="6"/>
  <c r="G27" i="6"/>
  <c r="G23" i="6"/>
  <c r="G19" i="6"/>
  <c r="G15" i="6"/>
  <c r="G86" i="6"/>
  <c r="G84" i="6"/>
  <c r="G82" i="6"/>
  <c r="G80" i="6"/>
  <c r="G78" i="6"/>
  <c r="G76" i="6"/>
  <c r="G74" i="6"/>
  <c r="G72" i="6"/>
  <c r="G70" i="6"/>
  <c r="G68" i="6"/>
  <c r="G66" i="6"/>
  <c r="G64" i="6"/>
  <c r="G62" i="6"/>
  <c r="G60" i="6"/>
  <c r="G58" i="6"/>
  <c r="G56" i="6"/>
  <c r="G54" i="6"/>
  <c r="G52" i="6"/>
  <c r="G50" i="6"/>
  <c r="G48" i="6"/>
  <c r="G46" i="6"/>
  <c r="G44" i="6"/>
  <c r="G42" i="6"/>
  <c r="G40" i="6"/>
  <c r="G38" i="6"/>
  <c r="G36" i="6"/>
  <c r="G34" i="6"/>
  <c r="G32" i="6"/>
  <c r="G30" i="6"/>
  <c r="G28" i="6"/>
  <c r="G26" i="6"/>
  <c r="G24" i="6"/>
  <c r="G22" i="6"/>
  <c r="G20" i="6"/>
  <c r="G18" i="6"/>
  <c r="G14" i="6"/>
  <c r="G12" i="6"/>
  <c r="G53" i="6"/>
  <c r="G47" i="6"/>
  <c r="G43" i="6"/>
  <c r="G39" i="6"/>
  <c r="G37" i="6"/>
  <c r="G33" i="6"/>
  <c r="G29" i="6"/>
  <c r="G25" i="6"/>
  <c r="G21" i="6"/>
  <c r="G17" i="6"/>
  <c r="G13" i="6"/>
  <c r="G11" i="6"/>
  <c r="H36" i="1" l="1"/>
  <c r="G36" i="1"/>
  <c r="E36" i="1"/>
  <c r="B36" i="1"/>
  <c r="H35" i="1"/>
  <c r="G35" i="1"/>
  <c r="E35" i="1"/>
  <c r="B35" i="1"/>
  <c r="H34" i="1"/>
  <c r="G34" i="1"/>
  <c r="E34" i="1"/>
  <c r="B34" i="1"/>
  <c r="H33" i="1"/>
  <c r="G33" i="1"/>
  <c r="E33" i="1"/>
  <c r="B33" i="1"/>
  <c r="H32" i="1"/>
  <c r="G32" i="1"/>
  <c r="E32" i="1"/>
  <c r="B32" i="1"/>
  <c r="H31" i="1"/>
  <c r="G31" i="1"/>
  <c r="E31" i="1"/>
  <c r="B31" i="1"/>
  <c r="H30" i="1"/>
  <c r="G30" i="1"/>
  <c r="E30" i="1"/>
  <c r="B30" i="1"/>
  <c r="H29" i="1"/>
  <c r="G29" i="1"/>
  <c r="E29" i="1"/>
  <c r="B29" i="1"/>
  <c r="H28" i="1"/>
  <c r="G28" i="1"/>
  <c r="E28" i="1"/>
  <c r="B28" i="1"/>
  <c r="H27" i="1"/>
  <c r="G27" i="1"/>
  <c r="E27" i="1"/>
  <c r="B27" i="1"/>
  <c r="H26" i="1"/>
  <c r="G26" i="1"/>
  <c r="E26" i="1"/>
  <c r="B26" i="1"/>
  <c r="H25" i="1"/>
  <c r="G25" i="1"/>
  <c r="E25" i="1"/>
  <c r="B25" i="1"/>
  <c r="H24" i="1"/>
  <c r="G24" i="1"/>
  <c r="E24" i="1"/>
  <c r="B24" i="1"/>
  <c r="H23" i="1"/>
  <c r="G23" i="1"/>
  <c r="E23" i="1"/>
  <c r="B23" i="1"/>
  <c r="H22" i="1"/>
  <c r="G22" i="1"/>
  <c r="E22" i="1"/>
  <c r="B22" i="1"/>
  <c r="H21" i="1"/>
  <c r="G21" i="1"/>
  <c r="E21" i="1"/>
  <c r="B21" i="1"/>
  <c r="H20" i="1"/>
  <c r="G20" i="1"/>
  <c r="E20" i="1"/>
  <c r="B20" i="1"/>
  <c r="H15" i="1"/>
  <c r="B15" i="1"/>
  <c r="G15" i="1" s="1"/>
  <c r="E15" i="1" s="1"/>
  <c r="H14" i="1"/>
  <c r="G14" i="1"/>
  <c r="E14" i="1" s="1"/>
  <c r="B14" i="1"/>
  <c r="H9" i="1"/>
  <c r="B9" i="1"/>
  <c r="G9" i="1" s="1"/>
  <c r="E9" i="1" s="1"/>
  <c r="H16" i="1"/>
  <c r="E16" i="1"/>
  <c r="B16" i="1"/>
  <c r="H17" i="1"/>
  <c r="B17" i="1"/>
  <c r="G17" i="1" s="1"/>
  <c r="E17" i="1" s="1"/>
  <c r="E7" i="1" l="1"/>
  <c r="B16" i="2" l="1"/>
  <c r="B14" i="2"/>
  <c r="B13" i="2"/>
  <c r="B12" i="2"/>
  <c r="B11" i="2"/>
  <c r="B10" i="2"/>
  <c r="B9" i="2"/>
  <c r="B8" i="2"/>
  <c r="B7" i="2"/>
  <c r="B6" i="2"/>
  <c r="B5" i="2"/>
  <c r="B4" i="2"/>
  <c r="B3" i="2"/>
  <c r="B2" i="2"/>
  <c r="I10" i="2" l="1"/>
  <c r="I9" i="2"/>
  <c r="E2" i="2"/>
  <c r="C11" i="2"/>
  <c r="D11" i="2"/>
  <c r="A10" i="2" l="1"/>
  <c r="A9" i="2"/>
  <c r="A8" i="2"/>
  <c r="A7" i="2"/>
  <c r="A6" i="2"/>
  <c r="A5" i="2"/>
  <c r="A4" i="2"/>
  <c r="A3" i="2"/>
  <c r="A2" i="2"/>
  <c r="C14" i="2"/>
  <c r="C13" i="2"/>
  <c r="D13" i="2"/>
  <c r="C12" i="2"/>
  <c r="D12" i="2"/>
  <c r="G11" i="2"/>
  <c r="M10" i="2"/>
  <c r="M9" i="2"/>
  <c r="M8" i="2"/>
  <c r="J8" i="2" s="1"/>
  <c r="M7" i="2"/>
  <c r="J7" i="2" s="1"/>
  <c r="M6" i="2"/>
  <c r="H6" i="2" s="1"/>
  <c r="M5" i="2"/>
  <c r="H5" i="2" s="1"/>
  <c r="M4" i="2"/>
  <c r="H4" i="2" s="1"/>
  <c r="M3" i="2"/>
  <c r="H3" i="2" s="1"/>
  <c r="L2" i="2"/>
  <c r="M2" i="2" s="1"/>
  <c r="I2" i="2" s="1"/>
  <c r="N10" i="2"/>
  <c r="G10" i="2"/>
  <c r="F10" i="2"/>
  <c r="E10" i="2" s="1"/>
  <c r="N9" i="2"/>
  <c r="G9" i="2"/>
  <c r="F9" i="2"/>
  <c r="E9" i="2" s="1"/>
  <c r="G8" i="2"/>
  <c r="G7" i="2"/>
  <c r="G6" i="2"/>
  <c r="G5" i="2"/>
  <c r="G4" i="2"/>
  <c r="G3" i="2"/>
  <c r="G2" i="2"/>
  <c r="F8" i="2"/>
  <c r="E8" i="2" s="1"/>
  <c r="F7" i="2"/>
  <c r="E7" i="2" s="1"/>
  <c r="F6" i="2"/>
  <c r="E6" i="2" s="1"/>
  <c r="F5" i="2"/>
  <c r="E5" i="2" s="1"/>
  <c r="F4" i="2"/>
  <c r="E4" i="2" s="1"/>
  <c r="F3" i="2"/>
  <c r="E3" i="2" s="1"/>
  <c r="F2" i="2"/>
  <c r="N8" i="2"/>
  <c r="N7" i="2"/>
  <c r="N6" i="2"/>
  <c r="N5" i="2"/>
  <c r="N4" i="2"/>
  <c r="N2" i="2"/>
  <c r="N3" i="2"/>
  <c r="G12" i="2" l="1"/>
  <c r="G13" i="2"/>
  <c r="F11" i="2"/>
  <c r="E11" i="2" s="1"/>
  <c r="F13" i="2"/>
  <c r="E13" i="2" s="1"/>
  <c r="D14" i="2"/>
  <c r="F12" i="2"/>
  <c r="F4" i="1"/>
  <c r="H8" i="1"/>
  <c r="H6" i="1"/>
  <c r="H13" i="1"/>
  <c r="H7" i="1"/>
  <c r="H4" i="1"/>
  <c r="H3" i="1"/>
  <c r="H10" i="1"/>
  <c r="H19" i="1"/>
  <c r="H18" i="1"/>
  <c r="H5" i="1"/>
  <c r="E8" i="1"/>
  <c r="E4" i="1"/>
  <c r="E3" i="1"/>
  <c r="E12" i="1"/>
  <c r="E19" i="1"/>
  <c r="E18" i="1"/>
  <c r="E5" i="1"/>
  <c r="E11" i="1"/>
  <c r="B8" i="1"/>
  <c r="B6" i="1"/>
  <c r="G6" i="1" s="1"/>
  <c r="E6" i="1" s="1"/>
  <c r="B13" i="1"/>
  <c r="G13" i="1" s="1"/>
  <c r="E13" i="1" s="1"/>
  <c r="B7" i="1"/>
  <c r="B4" i="1"/>
  <c r="B3" i="1"/>
  <c r="B12" i="1"/>
  <c r="B10" i="1"/>
  <c r="G10" i="1" s="1"/>
  <c r="E10" i="1" s="1"/>
  <c r="B19" i="1"/>
  <c r="B18" i="1"/>
  <c r="B5" i="1"/>
  <c r="B11" i="1"/>
  <c r="E12" i="2" l="1"/>
  <c r="G14" i="2"/>
  <c r="F14" i="2"/>
  <c r="E14" i="2" s="1"/>
</calcChain>
</file>

<file path=xl/comments1.xml><?xml version="1.0" encoding="utf-8"?>
<comments xmlns="http://schemas.openxmlformats.org/spreadsheetml/2006/main">
  <authors>
    <author>David A. Gray</author>
  </authors>
  <commentList>
    <comment ref="E11" authorId="0">
      <text>
        <r>
          <rPr>
            <b/>
            <sz val="8"/>
            <color indexed="81"/>
            <rFont val="Tahoma"/>
            <family val="2"/>
          </rPr>
          <t>David A. Gray:</t>
        </r>
        <r>
          <rPr>
            <sz val="8"/>
            <color indexed="81"/>
            <rFont val="Tahoma"/>
            <family val="2"/>
          </rPr>
          <t xml:space="preserve">
It appears that I marked the Properties.Resources class as Public. Yay!</t>
        </r>
      </text>
    </comment>
    <comment ref="E12" authorId="0">
      <text>
        <r>
          <rPr>
            <b/>
            <sz val="8"/>
            <color indexed="81"/>
            <rFont val="Tahoma"/>
            <family val="2"/>
          </rPr>
          <t>David A. Gray:</t>
        </r>
        <r>
          <rPr>
            <sz val="8"/>
            <color indexed="81"/>
            <rFont val="Tahoma"/>
            <family val="2"/>
          </rPr>
          <t xml:space="preserve">
It appears that I marked the Properties.Resources class as Public. Yay!</t>
        </r>
      </text>
    </comment>
  </commentList>
</comments>
</file>

<file path=xl/sharedStrings.xml><?xml version="1.0" encoding="utf-8"?>
<sst xmlns="http://schemas.openxmlformats.org/spreadsheetml/2006/main" count="910" uniqueCount="609">
  <si>
    <t>StandardConstants.ERRMSG_ARG_IS_EMPTY_STRING</t>
  </si>
  <si>
    <t>Value cannot be an empty string.</t>
  </si>
  <si>
    <t>SharedUtl2</t>
  </si>
  <si>
    <t>Fully Qualified Name</t>
  </si>
  <si>
    <t>Unqualified Name</t>
  </si>
  <si>
    <t>Value</t>
  </si>
  <si>
    <t>Type</t>
  </si>
  <si>
    <t>DllServices2</t>
  </si>
  <si>
    <t>Class</t>
  </si>
  <si>
    <t>Name</t>
  </si>
  <si>
    <t>Properties.Resources</t>
  </si>
  <si>
    <t>ERRMSG_ARG_IS_NULL_OR_EMPTY</t>
  </si>
  <si>
    <t>The argument is a null reference or the empty string.</t>
  </si>
  <si>
    <t>String</t>
  </si>
  <si>
    <t>StandardConstants.ARRAY_FIRST_ELEMENT</t>
  </si>
  <si>
    <t>ArrayInfo</t>
  </si>
  <si>
    <t>ARRAY_FIRST_ELEMENT</t>
  </si>
  <si>
    <t>StandardConstants.ZERO</t>
  </si>
  <si>
    <t>int</t>
  </si>
  <si>
    <t>MagicNumbers</t>
  </si>
  <si>
    <t>ZERO</t>
  </si>
  <si>
    <t>Dependent Libraries</t>
  </si>
  <si>
    <t>FormatStringEngine</t>
  </si>
  <si>
    <t>ASCIIInfo</t>
  </si>
  <si>
    <t>SharedUtl4</t>
  </si>
  <si>
    <t>Updated 2016-06-03</t>
  </si>
  <si>
    <t>Independent</t>
  </si>
  <si>
    <t>WizardWrx.StandardConstants.TAB_CHAR</t>
  </si>
  <si>
    <t>char</t>
  </si>
  <si>
    <t>\t</t>
  </si>
  <si>
    <t>TAB_CHAR</t>
  </si>
  <si>
    <t>SpecialCharacters</t>
  </si>
  <si>
    <t>unreferenced</t>
  </si>
  <si>
    <t>Unreferenced</t>
  </si>
  <si>
    <t>StandardConstants.EMPTY_STRING_LENGTH</t>
  </si>
  <si>
    <t>MagicNumbers.cs</t>
  </si>
  <si>
    <t>StandardConstants.ERRMSG_ARG_IS_NULL</t>
  </si>
  <si>
    <t>Value cannot be NULL (nothing in VB).</t>
  </si>
  <si>
    <t>ERRMSG_ARG_IS_NULL</t>
  </si>
  <si>
    <t>The specified argument is a null reference.</t>
  </si>
  <si>
    <t>NumericFormats</t>
  </si>
  <si>
    <t>None</t>
  </si>
  <si>
    <t>Comment</t>
  </si>
  <si>
    <t>Just return the hexadecimal glyphs.</t>
  </si>
  <si>
    <t>Prefix the hexadecimal glyphs with Ox.</t>
  </si>
  <si>
    <t>Prefix_Ox_LC</t>
  </si>
  <si>
    <t>Prefix the hexadecimal glyphs with OX.</t>
  </si>
  <si>
    <t>Prefix_Ox_UC</t>
  </si>
  <si>
    <t>Prefix the hexadecimal glyphs with Oh.</t>
  </si>
  <si>
    <t>Prefix_Oh_LC</t>
  </si>
  <si>
    <t>Prefix the hexadecimal glyphs with OH.</t>
  </si>
  <si>
    <t>Prefix_Oh_UC</t>
  </si>
  <si>
    <t>Suffix the hexadecimal glyphs with upper case h.</t>
  </si>
  <si>
    <t>Suffix_h_LC</t>
  </si>
  <si>
    <t>Suffix_h_UC</t>
  </si>
  <si>
    <t>CURRENCY</t>
  </si>
  <si>
    <t>C</t>
  </si>
  <si>
    <t>Currency, which obeys the Regional Settings for currency, including the currency symbol and number of decimal places to show.</t>
  </si>
  <si>
    <t>https://msdn.microsoft.com/en-us/library/dwhawy9k(v=vs.100).aspx#CFormatString</t>
  </si>
  <si>
    <t>MSDN Page</t>
  </si>
  <si>
    <t>FIXED</t>
  </si>
  <si>
    <t>Constant</t>
  </si>
  <si>
    <t>Supported Types</t>
  </si>
  <si>
    <t>Integer</t>
  </si>
  <si>
    <t>Real</t>
  </si>
  <si>
    <t>Date</t>
  </si>
  <si>
    <t>Date/Time</t>
  </si>
  <si>
    <t>Other</t>
  </si>
  <si>
    <t>Additional Information</t>
  </si>
  <si>
    <t>Regional</t>
  </si>
  <si>
    <t>Rounded</t>
  </si>
  <si>
    <t>Precision</t>
  </si>
  <si>
    <t>Affects</t>
  </si>
  <si>
    <t>Extra</t>
  </si>
  <si>
    <t>DECIMAL</t>
  </si>
  <si>
    <t>D</t>
  </si>
  <si>
    <t>N/A</t>
  </si>
  <si>
    <t>Time/Span</t>
  </si>
  <si>
    <t>Dflt Dec.</t>
  </si>
  <si>
    <t>Dec. Sep.</t>
  </si>
  <si>
    <t>F</t>
  </si>
  <si>
    <t>Decimal Digits</t>
  </si>
  <si>
    <t>Minimum Digits</t>
  </si>
  <si>
    <t>Padding</t>
  </si>
  <si>
    <t>Space</t>
  </si>
  <si>
    <t>zero</t>
  </si>
  <si>
    <t>Decimal, which the documentation says is supported only for integral types. They mean business; if you try to use this type with a decimal or floating point number, you get an exception.  If the number requires fewer than the specified minimum number of digits, it is padded on the left with zeros.</t>
  </si>
  <si>
    <t>G</t>
  </si>
  <si>
    <t>This is the default, and it's pretty minimal, as it must be, since its status as the default means that it is the only format that supports all data types (numbers, dates, times, time spans, and all the rest. It is also among the few that render output left aligned.</t>
  </si>
  <si>
    <t>GENERAL_UC</t>
  </si>
  <si>
    <t>GENERAL_LC</t>
  </si>
  <si>
    <t>g</t>
  </si>
  <si>
    <t>https://msdn.microsoft.com/en-us/library/dwhawy9k(v=vs.100).aspx#GFormatString</t>
  </si>
  <si>
    <t>https://msdn.microsoft.com/en-us/library/dwhawy9k(v=vs.110).aspx#DFormatString</t>
  </si>
  <si>
    <t>https://msdn.microsoft.com/en-us/library/dwhawy9k(v=vs.110).aspx#FFormatString</t>
  </si>
  <si>
    <t>C:\Documents and Settings\DAVE\Documents\Visual Studio 2013\Projects\Tools_for_Programmers\WWDisplayAssemblyInfo\_Notes\distrib\WWDisplayAssemblyInfo.exe</t>
  </si>
  <si>
    <t>C:\Documents and Settings\DAVE\Documents\Visual Studio 2013\Projects\Tools_for_Programmers\WWDisplayAssemblyInfo\WWDisplayAssemblyInfo\obj\Release\WWDisplayAssemblyInfo.exe</t>
  </si>
  <si>
    <t>C:\Documents and Settings\DAVE\Documents\Visual Studio 2013\Projects\Tools_for_Programmers\WWDisplayAssemblyInfo\WWDisplayAssemblyInfo\obj\Debug\WWDisplayAssemblyInfo.exe</t>
  </si>
  <si>
    <t>C:\Documents and Settings\DAVE\Documents\Visual Studio 2013\Projects\Tools_for_Programmers\WWDisplayAssemblyInfo\WWDisplayAssemblyInfo\bin\Release\WWDisplayAssemblyInfo.exe</t>
  </si>
  <si>
    <t>C:\Documents and Settings\DAVE\Documents\Visual Studio 2013\Projects\Tools_for_Programmers\WWDisplayAssemblyInfo\WWDisplayAssemblyInfo\bin\Debug\WWDisplayAssemblyInfo.exe</t>
  </si>
  <si>
    <t>C:\bin\WWDisplayAssemblyInfo.exe</t>
  </si>
  <si>
    <t>Last_Modify</t>
  </si>
  <si>
    <t>Size</t>
  </si>
  <si>
    <t>Absolute_FileName</t>
  </si>
  <si>
    <t>Absolute_DirectoryName</t>
  </si>
  <si>
    <t>C:\bin</t>
  </si>
  <si>
    <t>C:\Documents and Settings\DAVE\Documents\Visual Studio 2013\Projects\Tools_for_Programmers\WWDisplayAssemblyInfo\WWDisplayAssemblyInfo\bin\Debug</t>
  </si>
  <si>
    <t>C:\Documents and Settings\DAVE\Documents\Visual Studio 2013\Projects\Tools_for_Programmers\WWDisplayAssemblyInfo\WWDisplayAssemblyInfo\bin\Release</t>
  </si>
  <si>
    <t>C:\Documents and Settings\DAVE\Documents\Visual Studio 2013\Projects\Tools_for_Programmers\WWDisplayAssemblyInfo\WWDisplayAssemblyInfo\obj\Debug</t>
  </si>
  <si>
    <t>C:\Documents and Settings\DAVE\Documents\Visual Studio 2013\Projects\Tools_for_Programmers\WWDisplayAssemblyInfo\WWDisplayAssemblyInfo\obj\Release</t>
  </si>
  <si>
    <t>C:\Documents and Settings\DAVE\Documents\Visual Studio 2013\Projects\Tools_for_Programmers\WWDisplayAssemblyInfo\_Notes\distrib</t>
  </si>
  <si>
    <t>Version</t>
  </si>
  <si>
    <t>2.0.2.23209</t>
  </si>
  <si>
    <t>2.0.2.22876</t>
  </si>
  <si>
    <t>Use this string as your argument to the ToString method of any integral data type to format it in hexadecimal notation, which the documentation says is supported only for integral types. They mean business; if you try to use this type with a decimal or floating point number, you get an FormatException exception. This format yields a result containing the fewest hexadecimal glyphs required to represent the number. This format yields a result containing the fewest hexadecimal glyphs required to represent the number. The difference between this token and HEXADECIMAL_LC is that this token causes the returned string to contain UPPER case glyphs, while HEXADECIMAL_LC yields lower case glyphs.</t>
  </si>
  <si>
    <t>https://msdn.microsoft.com/en-us/library/dwhawy9k(v=vs.110).aspx#XFormatString</t>
  </si>
  <si>
    <t>HEXADECIMAL_LC</t>
  </si>
  <si>
    <t>HEXADECIMAL_UC</t>
  </si>
  <si>
    <t>x</t>
  </si>
  <si>
    <t>X</t>
  </si>
  <si>
    <t>This is the minimal fixed point format string. Modifiers can be appended to it to specify significant digits after the decimal point.</t>
  </si>
  <si>
    <t>NUMBER_PER_REG_SETTINGS</t>
  </si>
  <si>
    <t>N</t>
  </si>
  <si>
    <t>Group Size</t>
  </si>
  <si>
    <t>Group Sep.</t>
  </si>
  <si>
    <t>Format a number (any numeric type)), using the Regional Settings (Locale) defaults for thousands separator, decimal symbol, number of decimal (fraction) places, and number of digits to display between each thousands separator.</t>
  </si>
  <si>
    <t>https://msdn.microsoft.com/en-us/library/dwhawy9k(v=vs.110).aspx#NFormatString</t>
  </si>
  <si>
    <t>PERCENT</t>
  </si>
  <si>
    <t>P</t>
  </si>
  <si>
    <t>Display a fixed point number as a percentage, using the default number of decimal places, per the Regional Settings (Locale). The number is multiplied by 100 before the formatting is applied. Hence, 0.25 renders as 25%.</t>
  </si>
  <si>
    <t>https://msdn.microsoft.com/en-us/library/dwhawy9k(v=vs.110).aspx#PFormatString</t>
  </si>
  <si>
    <t>Since the formatting engine ignores if for this type, there is no corresponding format string generator, and only one token, since there is no documented difference between the upper and lower case token. Before you use this token, read the documentation cited below carefully.</t>
  </si>
  <si>
    <t>ROUND_TRIP</t>
  </si>
  <si>
    <t>R</t>
  </si>
  <si>
    <t>Minue</t>
  </si>
  <si>
    <t>Plus</t>
  </si>
  <si>
    <t>Ignored</t>
  </si>
  <si>
    <t>https://msdn.microsoft.com/en-us/library/dwhawy9k(v=vs.110).aspx#RFormatString</t>
  </si>
  <si>
    <t>SCIENTIFIC_LC</t>
  </si>
  <si>
    <t>SCIENTIFIC_UC</t>
  </si>
  <si>
    <t>e</t>
  </si>
  <si>
    <t>E</t>
  </si>
  <si>
    <t>Scientific notation, with a lower case "e" for the exponent. Exactly one digit always precedes the decimal point.</t>
  </si>
  <si>
    <t>https://msdn.microsoft.com/en-us/library/dwhawy9k(v=vs.110).aspx#EFormatString</t>
  </si>
  <si>
    <t>Precision Generator</t>
  </si>
  <si>
    <t>Function</t>
  </si>
  <si>
    <t>Argument</t>
  </si>
  <si>
    <t>FixedPointDecimal</t>
  </si>
  <si>
    <t>pintFractionDigits</t>
  </si>
  <si>
    <t>FixedWidthInteger</t>
  </si>
  <si>
    <t>pintTotalDigits</t>
  </si>
  <si>
    <t>GeneralXPrecision</t>
  </si>
  <si>
    <t>pintPrecisionDigits</t>
  </si>
  <si>
    <t>HexadecimalInteger</t>
  </si>
  <si>
    <t>NumberPerRegSettings</t>
  </si>
  <si>
    <t>PercentToDecimalPlaces</t>
  </si>
  <si>
    <t>ScientificXPrecisionLC</t>
  </si>
  <si>
    <t>ScientificXPrecisionUC</t>
  </si>
  <si>
    <t>Prefix</t>
  </si>
  <si>
    <t>Suffix</t>
  </si>
  <si>
    <t>Complete C# Definition</t>
  </si>
  <si>
    <t>public const string HEXADECIMAL_PREFIX_0H_UC = @"0H";</t>
  </si>
  <si>
    <t>public const string HEXADECIMAL_PREFIX_0H_LC = @"0h";</t>
  </si>
  <si>
    <t>public const string HEXADECIMAL_PREFIX_0X_LC = @"0x";</t>
  </si>
  <si>
    <t>public const string HEXADECIMAL_PREFIX_0X_UC = @"0X";</t>
  </si>
  <si>
    <t>Decimal</t>
  </si>
  <si>
    <t>Hexadecimal</t>
  </si>
  <si>
    <t>Binary</t>
  </si>
  <si>
    <t>Glyphs_UC</t>
  </si>
  <si>
    <t>Glyphs_LC</t>
  </si>
  <si>
    <t>Use lower case hexadecimal glyphs.</t>
  </si>
  <si>
    <t>Use upper case hexadecimal glyphs.</t>
  </si>
  <si>
    <t>public const string HEXADECIMAL_LC = @"x";</t>
  </si>
  <si>
    <t>public const string HEXADECIMAL_UC = @"X";</t>
  </si>
  <si>
    <t>public const string HEXADECIMAL_SUFFIX_H_LC = @"h";</t>
  </si>
  <si>
    <t>public const string HEXADECIMAL_SUFFIX_H_UC = @"H";</t>
  </si>
  <si>
    <t>Glyphs</t>
  </si>
  <si>
    <t>Formula</t>
  </si>
  <si>
    <t>All_Prefixes</t>
  </si>
  <si>
    <t>All_Suffixes</t>
  </si>
  <si>
    <t>All_Glyphs</t>
  </si>
  <si>
    <t>All_Flags</t>
  </si>
  <si>
    <t>All prefix flags</t>
  </si>
  <si>
    <t>All suffix flags</t>
  </si>
  <si>
    <t>All glyph flags</t>
  </si>
  <si>
    <t>All flags, period</t>
  </si>
  <si>
    <t>Suffix the hexadecimal glyphs with lower case h.</t>
  </si>
  <si>
    <t>Length</t>
  </si>
  <si>
    <t>Longest</t>
  </si>
  <si>
    <t>StandardConstants.ARRAY_LIST_ORDINAL_TO_SUBSCRIPT</t>
  </si>
  <si>
    <t>INDEX_FROM_ORDINAL</t>
  </si>
  <si>
    <t>Updated 2016-06-05</t>
  </si>
  <si>
    <t>StandardConstants.ERROR_SUCCESS</t>
  </si>
  <si>
    <t>StandardConstants.ARRAY_INVALID_INDEX</t>
  </si>
  <si>
    <t>StandardConstants.DLM_PIPE</t>
  </si>
  <si>
    <t>|</t>
  </si>
  <si>
    <t>PIPE_CHAR</t>
  </si>
  <si>
    <t>StandardConstants.TAB_CHAR</t>
  </si>
  <si>
    <t>StandardConstants.SB_CAPACITY_01KB</t>
  </si>
  <si>
    <t>CAPACITY_01KB</t>
  </si>
  <si>
    <t>StandardConstants.EMPTY_STRING</t>
  </si>
  <si>
    <t>""</t>
  </si>
  <si>
    <t>SpecialStrings</t>
  </si>
  <si>
    <t>NumericFormats.GENERAL</t>
  </si>
  <si>
    <t>NumericFormats.HEXADECIMAL</t>
  </si>
  <si>
    <t>StandardConstants.PLUS_ONE</t>
  </si>
  <si>
    <t>StandardConstants.PLUS_TWO</t>
  </si>
  <si>
    <t>C:\UTIL\WizardWrx.DLLServices2.dll</t>
  </si>
  <si>
    <t>C:\Users\Public\Documents\NOLANB\_Installation_Packages\UTIL_Reference\WizardWrx.DLLServices2.dll</t>
  </si>
  <si>
    <t>C:\Users\Public\Documents\NOLANB\_Installation_Packages\Remote\2014\20141010\AI_PKG_400\WizardWrx.DLLServices2.dll</t>
  </si>
  <si>
    <t>C:\Users\Public\Documents\NOLANB\TASKS\_PTI_Gate_2016\UTIL_Rock_Hill\WizardWrx.DLLServices2.dll</t>
  </si>
  <si>
    <t>C:\Users\Public\Documents\NOLANB\TASKS\Corrupted_HO_Logbase\distribution\WizardWrx.DLLServices2.dll</t>
  </si>
  <si>
    <t>C:\Users\Public\Documents\H_DEASE\UTIL_from_ZAPHOD42\WizardWrx.DLLServices2.dll</t>
  </si>
  <si>
    <t>C:\Users\Public\Documents\H_DEASE\AI_PKG_400\WizardWrx.DLLServices2.dll</t>
  </si>
  <si>
    <t>C:\Users\DAVE\Documents\Visual Studio 2013\Projects\_Laboratory\TimeZoneLab\TimeZoneLab\bin\Release\WizardWrx.DLLServices2.dll</t>
  </si>
  <si>
    <t>C:\Users\DAVE\Documents\Visual Studio 2013\Projects\_Laboratory\TimeZoneLab\TimeZoneLab\bin\Debug\WizardWrx.DLLServices2.dll</t>
  </si>
  <si>
    <t>C:\Users\DAVE\Documents\Visual Studio 2013\Projects\_Laboratory\CSharp_Lab\CSharp_Lab\bin\x86\Debug\WizardWrx.DLLServices2.dll</t>
  </si>
  <si>
    <t>C:\Users\DAVE\Documents\Visual Studio 2013\Projects\_Laboratory\CSharp_Lab\CSharp_Lab\bin\Debug\WizardWrx.DLLServices2.dll</t>
  </si>
  <si>
    <t>C:\Users\DAVE\Documents\Visual Studio 2013\Projects\_Laboratory\CSharp_Lab\bin\x86\Debug\WizardWrx.DLLServices2.dll</t>
  </si>
  <si>
    <t>C:\Users\DAVE\Documents\Visual Studio 2013\Projects\_Laboratory\CSharp_Lab\bin\Debug\WizardWrx.DLLServices2.dll</t>
  </si>
  <si>
    <t>C:\Users\DAVE\Documents\Visual Studio 2013\Projects\_Laboratory\ConsoleOutputSpeedTest\ConsoleOutputSpeedTest\bin\Release\WizardWrx.DLLServices2.dll</t>
  </si>
  <si>
    <t>C:\Users\DAVE\Documents\Visual Studio 2013\Projects\_Laboratory\ConsoleOutputSpeedTest\ConsoleOutputSpeedTest\bin\Debug\WizardWrx.DLLServices2.dll</t>
  </si>
  <si>
    <t>C:\Users\DAVE\Documents\Visual Studio 2013\Projects\WizardWrx_Libs\_Deprecated_Libraries\DLLServices\DLLServicesTestStand\bin\Release\WizardWrx.DLLServices2.dll</t>
  </si>
  <si>
    <t>C:\Users\DAVE\Documents\Visual Studio 2013\Projects\WizardWrx_Libs\_Deprecated_Libraries\DLLServices\DLLServicesTestStand\bin\Debug\WizardWrx.DLLServices2.dll</t>
  </si>
  <si>
    <t>C:\Users\DAVE\Documents\Visual Studio 2013\Projects\WizardWrx_Libs\_Deprecated_Libraries\DLLServices\AssemblyWithCfgFile\bin\Release\WizardWrx.DLLServices2.dll</t>
  </si>
  <si>
    <t>C:\Users\DAVE\Documents\Visual Studio 2013\Projects\WizardWrx_Libs\_Deprecated_Libraries\DLLServices\AssemblyWithCfgFile\bin\Debug\WizardWrx.DLLServices2.dll</t>
  </si>
  <si>
    <t>C:\Users\DAVE\Documents\Visual Studio 2013\Projects\WizardWrx_Libs\_Deprecated_Libraries\ApplicationHelpers3\TestStand\bin\Release\WizardWrx.DLLServices2.dll</t>
  </si>
  <si>
    <t>C:\Users\DAVE\Documents\Visual Studio 2013\Projects\WizardWrx_Libs\_Deprecated_Libraries\ApplicationHelpers3\TestStand\bin\Debug\WizardWrx.DLLServices2.dll</t>
  </si>
  <si>
    <t>C:\Users\DAVE\Documents\Visual Studio 2013\Projects\WizardWrx_Libs\_Deprecated_Libraries\ApplicationHelpers3\ApplicationHelpers3\bin\Release\WizardWrx.DLLServices2.dll</t>
  </si>
  <si>
    <t>C:\Users\DAVE\Documents\Visual Studio 2013\Projects\WizardWrx_Libs\_Deprecated_Libraries\ApplicationHelpers3\ApplicationHelpers3\bin\Debug\WizardWrx.DLLServices2.dll</t>
  </si>
  <si>
    <t>C:\Users\DAVE\Documents\Visual Studio 2013\Projects\WizardWrx_Libs\_Deprecated_Libraries\ApplicationHelpers2\ApplicationHelpers2TestHarness\ApplicationHelpers2TestHarness\bin\Release\WizardWrx.DLLServices2.dll</t>
  </si>
  <si>
    <t>C:\Users\DAVE\Documents\Visual Studio 2013\Projects\WizardWrx_Libs\_Deprecated_Libraries\ApplicationHelpers2\ApplicationHelpers2TestHarness\ApplicationHelpers2TestHarness\bin\Debug\WizardWrx.DLLServices2.dll</t>
  </si>
  <si>
    <t>C:\Users\DAVE\Documents\Visual Studio 2013\Projects\WizardWrx_Libs\_Deprecated_Libraries\ApplicationHelpers2\ApplicationHelpers2\bin\Release\WizardWrx.DLLServices2.dll</t>
  </si>
  <si>
    <t>C:\Users\DAVE\Documents\Visual Studio 2013\Projects\WizardWrx_Libs\_Deprecated_Libraries\ApplicationHelpers2\ApplicationHelpers2\bin\Debug\WizardWrx.DLLServices2.dll</t>
  </si>
  <si>
    <t>C:\Users\DAVE\Documents\Visual Studio 2013\Projects\WizardWrx_Libs\WinFormsHelpers\WinFormsHelpers\bin\Release\WizardWrx.DLLServices2.dll</t>
  </si>
  <si>
    <t>C:\Users\DAVE\Documents\Visual Studio 2013\Projects\WizardWrx_Libs\WinFormsHelpers\WinFormsHelpers\bin\Debug\WizardWrx.DLLServices2.dll</t>
  </si>
  <si>
    <t>C:\Users\DAVE\Documents\Visual Studio 2013\Projects\WizardWrx_Libs\SharedUtl4\SharedUtl4_TestStand\bin\Release\WizardWrx.DLLServices2.dll</t>
  </si>
  <si>
    <t>C:\Users\DAVE\Documents\Visual Studio 2013\Projects\WizardWrx_Libs\SharedUtl4\SharedUtl4_TestStand\bin\Debug\WizardWrx.DLLServices2.dll</t>
  </si>
  <si>
    <t>C:\Users\DAVE\Documents\Visual Studio 2013\Projects\WizardWrx_Libs\SharedUtl4\SharedUtl4\bin\Release\WizardWrx.DLLServices2.dll</t>
  </si>
  <si>
    <t>C:\Users\DAVE\Documents\Visual Studio 2013\Projects\WizardWrx_Libs\SharedUtl4\SharedUtl4\bin\Debug\WizardWrx.DLLServices2.dll</t>
  </si>
  <si>
    <t>C:\Users\DAVE\Documents\Visual Studio 2013\Projects\WizardWrx_Libs\SharedUtl4\FormatStringEngine\bin\Debug\WizardWrx.DLLServices2.dll</t>
  </si>
  <si>
    <t>C:\Users\DAVE\Documents\Visual Studio 2013\Projects\WizardWrx_Libs\MailForAllApps\TestStand\bin\Release\WizardWrx.DLLServices2.dll</t>
  </si>
  <si>
    <t>C:\Users\DAVE\Documents\Visual Studio 2013\Projects\WizardWrx_Libs\MailForAllApps\TestStand\bin\Debug\WizardWrx.DLLServices2.dll</t>
  </si>
  <si>
    <t>C:\Users\DAVE\Documents\Visual Studio 2013\Projects\WizardWrx_Libs\MailForAllApps\MailForAllApps\bin\Release\WizardWrx.DLLServices2.dll</t>
  </si>
  <si>
    <t>C:\Users\DAVE\Documents\Visual Studio 2013\Projects\WizardWrx_Libs\MailForAllApps\MailForAllApps\bin\Debug\WizardWrx.DLLServices2.dll</t>
  </si>
  <si>
    <t>C:\Users\DAVE\Documents\Visual Studio 2013\Projects\WizardWrx_Libs\DLLServices2\RedirectedStreamTester\bin\Release\WizardWrx.DLLServices2.dll</t>
  </si>
  <si>
    <t>C:\Users\DAVE\Documents\Visual Studio 2013\Projects\WizardWrx_Libs\DLLServices2\RedirectedStreamTester\bin\Debug\WizardWrx.DLLServices2.dll</t>
  </si>
  <si>
    <t>C:\Users\DAVE\Documents\Visual Studio 2013\Projects\WizardWrx_Libs\DLLServices2\DLLServices2TestStand\bin\Release\WizardWrx.DLLServices2.dll</t>
  </si>
  <si>
    <t>C:\Users\DAVE\Documents\Visual Studio 2013\Projects\WizardWrx_Libs\DLLServices2\DLLServices2TestStand\bin\Debug\WizardWrx.DLLServices2.dll</t>
  </si>
  <si>
    <t>C:\Users\DAVE\Documents\Visual Studio 2013\Projects\WizardWrx_Libs\DLLServices2\DLLServices2\obj\Release\WizardWrx.DLLServices2.dll</t>
  </si>
  <si>
    <t>C:\Users\DAVE\Documents\Visual Studio 2013\Projects\WizardWrx_Libs\DLLServices2\DLLServices2\obj\Debug\WizardWrx.DLLServices2.dll</t>
  </si>
  <si>
    <t>C:\Users\DAVE\Documents\Visual Studio 2013\Projects\WizardWrx_Libs\DLLServices2\DLLServices2\bin\Release\WizardWrx.DLLServices2.dll</t>
  </si>
  <si>
    <t>C:\Users\DAVE\Documents\Visual Studio 2013\Projects\WizardWrx_Libs\DLLServices2\DLLServices2\bin\Debug\WizardWrx.DLLServices2.dll</t>
  </si>
  <si>
    <t>C:\Users\DAVE\Documents\Visual Studio 2013\Projects\WizardWrx_Libs\ConsoleAppAids2\TestStand\bin\Release\WizardWrx.DLLServices2.dll</t>
  </si>
  <si>
    <t>C:\Users\DAVE\Documents\Visual Studio 2013\Projects\WizardWrx_Libs\ConsoleAppAids2\TestStand\bin\Debug\WizardWrx.DLLServices2.dll</t>
  </si>
  <si>
    <t>C:\Users\DAVE\Documents\Visual Studio 2013\Projects\WizardWrx_Libs\ConsoleAppAids2\EOJTEST\bin\Release\WizardWrx.DLLServices2.dll</t>
  </si>
  <si>
    <t>C:\Users\DAVE\Documents\Visual Studio 2013\Projects\WizardWrx_Libs\ConsoleAppAids2\EOJTEST\bin\Debug\WizardWrx.DLLServices2.dll</t>
  </si>
  <si>
    <t>C:\Users\DAVE\Documents\Visual Studio 2013\Projects\WizardWrx_Libs\ConsoleAppAids2\ConsoleAppAids2\bin\Release\WizardWrx.DLLServices2.dll</t>
  </si>
  <si>
    <t>C:\Users\DAVE\Documents\Visual Studio 2013\Projects\WizardWrx_Libs\ConsoleAppAids2\ConsoleAppAids2\bin\Debug\WizardWrx.DLLServices2.dll</t>
  </si>
  <si>
    <t>C:\Users\DAVE\Documents\Visual Studio 2013\Projects\WizardWrx_Libs\AnyCSV\CSVTestStand\bin\Release\WizardWrx.DLLServices2.dll</t>
  </si>
  <si>
    <t>C:\Users\DAVE\Documents\Visual Studio 2013\Projects\WizardWrx_Libs\AnyCSV\CSVTestStand\bin\Debug\WizardWrx.DLLServices2.dll</t>
  </si>
  <si>
    <t>C:\Users\DAVE\Documents\Visual Studio 2013\Projects\WizardWrx_Libs\AnyCSV\AnyCSVTestStand\bin\Release\WizardWrx.DLLServices2.dll</t>
  </si>
  <si>
    <t>C:\Users\DAVE\Documents\Visual Studio 2013\Projects\WizardWrx_Libs\AnyCSV\AnyCSVTestStand\bin\Debug\WizardWrx.DLLServices2.dll</t>
  </si>
  <si>
    <t>C:\Users\DAVE\Documents\Visual Studio 2013\Projects\Tools_for_Programmers\RGUNC_Tag_Browser\CreateAlternativesTable\bin\Debug\WizardWrx.DLLServices2.dll</t>
  </si>
  <si>
    <t>C:\Users\DAVE\Documents\Visual Studio 2013\Projects\Tools_for_Programmers\PolyCat\PolyCat\bin\Release\WizardWrx.DLLServices2.dll</t>
  </si>
  <si>
    <t>C:\Users\DAVE\Documents\Visual Studio 2013\Projects\Tools_for_Programmers\PolyCat\PolyCat\bin\Debug\WizardWrx.DLLServices2.dll</t>
  </si>
  <si>
    <t>C:\Users\DAVE\Documents\Visual Studio 2013\Projects\Tools_for_Programmers\MemView\MemView\bin\Debug\WizardWrx.DLLServices2.dll</t>
  </si>
  <si>
    <t>C:\Users\DAVE\Documents\Visual Studio 2013\Projects\Tools_for_Programmers\MemCalc\MemCalc\bin\Debug\WizardWrx.DLLServices2.dll</t>
  </si>
  <si>
    <t>C:\Users\DAVE\Documents\Visual Studio 2013\Projects\Tools_for_Programmers\CertStoreLister\CertStoreLister\bin\Debug\WizardWrx.DLLServices2.dll</t>
  </si>
  <si>
    <t>C:\Users\DAVE\Documents\Visual Studio 2013\Projects\Tools_for_Programmers\BitView\BitView\bin\Debug\WizardWrx.DLLServices2.dll</t>
  </si>
  <si>
    <t>C:\Users\DAVE\Documents\Visual Studio 2013\Projects\NOLANB\ZZRdInts\ZZRdInts\bin\Release\WizardWrx.DLLServices2.dll</t>
  </si>
  <si>
    <t>C:\Users\DAVE\Documents\Visual Studio 2013\Projects\NOLANB\ZZRdInts\ZZRdInts\bin\Debug\WizardWrx.DLLServices2.dll</t>
  </si>
  <si>
    <t>C:\Users\DAVE\Documents\Visual Studio 2013\Projects\NOLANB\LogBasePruner\LogBasePruner\bin\Release\WizardWrx.DLLServices2.dll</t>
  </si>
  <si>
    <t>C:\Users\DAVE\Documents\Visual Studio 2013\Projects\NOLANB\LogBasePruner\LogBasePruner\bin\Debug\WizardWrx.DLLServices2.dll</t>
  </si>
  <si>
    <t>C:\Users\DAVE\Documents\Visual Studio 2013\Projects\NOLANB\EZXFER_Cloud_Manager\EZXFER_Cloud_Manager\bin\Release\WizardWrx.DLLServices2.dll</t>
  </si>
  <si>
    <t>C:\Users\DAVE\Documents\Visual Studio 2013\Projects\NOLANB\EZXFER_Cloud_Manager\EZXFER_Cloud_Manager\bin\Debug\WizardWrx.DLLServices2.dll</t>
  </si>
  <si>
    <t>C:\Users\DAVE\Documents\Visual Studio 2013\Projects\NOLANB\EZPayWebPmtsNotifier\EZPayWebPmtsNotifier\bin\Release\WizardWrx.DLLServices2.dll</t>
  </si>
  <si>
    <t>C:\Users\DAVE\Documents\Visual Studio 2013\Projects\NOLANB\EZPayWebPmtsNotifier\EZPayWebPmtsNotifier\bin\Debug\WizardWrx.DLLServices2.dll</t>
  </si>
  <si>
    <t>C:\Users\DAVE\Documents\Visual Studio 2013\Projects\NOLANB\EZPayFileMonitor\EZPayFileMonitor\bin\Release\WizardWrx.DLLServices2.dll</t>
  </si>
  <si>
    <t>C:\Users\DAVE\Documents\Visual Studio 2013\Projects\NOLANB\EZPayFileMonitor\EZPayFileMonitor\bin\Debug\WizardWrx.DLLServices2.dll</t>
  </si>
  <si>
    <t>C:\Users\DAVE\Documents\Visual Studio 2013\Projects\NOLANB\DataEaseDirectoryReader\SupportMethodTester\bin\Release\WizardWrx.DLLServices2.dll</t>
  </si>
  <si>
    <t>C:\Users\DAVE\Documents\Visual Studio 2013\Projects\NOLANB\DataEaseDirectoryReader\SupportMethodTester\bin\Debug\WizardWrx.DLLServices2.dll</t>
  </si>
  <si>
    <t>C:\Users\DAVE\Documents\Visual Studio 2013\Projects\NOLANB\DataEaseDirectoryReader\DataEaseDirectoryReader\bin\Release\WizardWrx.DLLServices2.dll</t>
  </si>
  <si>
    <t>C:\Users\DAVE\Documents\Visual Studio 2013\Projects\NOLANB\DataEaseDirectoryReader\DataEaseDirectoryReader\bin\Debug\WizardWrx.DLLServices2.dll</t>
  </si>
  <si>
    <t>C:\Users\DAVE\Documents\Visual Studio 2013\Projects\NOLANB\DataEaseDirectoryReader\DataEase\bin\Release\WizardWrx.DLLServices2.dll</t>
  </si>
  <si>
    <t>C:\Users\DAVE\Documents\Visual Studio 2013\Projects\NOLANB\DataEaseDirectoryReader\DataEase\bin\Debug\WizardWrx.DLLServices2.dll</t>
  </si>
  <si>
    <t>C:\Users\DAVE\Documents\Visual Studio 2013\Projects\Console_Apps\WWEnumEnvironmentStrings\WWEnumEnvironmentStrings\bin\Debug\WizardWrx.DLLServices2.dll</t>
  </si>
  <si>
    <t>C:\Users\DAVE\Documents\Visual Studio 2013\Projects\Console_Apps\NFiles\NFiles\bin\Debug\WizardWrx.DLLServices2.dll</t>
  </si>
  <si>
    <t>C:\Users\DAVE\Documents\Visual Studio 2013\Projects\Console_Apps\MultiCat\MultiCat\bin\Debug\WizardWrx.DLLServices2.dll</t>
  </si>
  <si>
    <t>C:\Users\DAVE\Documents\Visual Studio 2013\Projects\Console_Apps\MassUpdateColorIndex\MassUpdateColorIndex\bin\Release\WizardWrx.DLLServices2.dll</t>
  </si>
  <si>
    <t>C:\Users\DAVE\Documents\Visual Studio 2013\Projects\Console_Apps\MassUpdateColorIndex\MassUpdateColorIndex\bin\Debug\WizardWrx.DLLServices2.dll</t>
  </si>
  <si>
    <t>C:\Users\DAVE\Documents\Visual Studio 2013\Projects\Console_Apps\FixEventLogExport\FixEventLogExport_Distribution_Package\WizardWrx.DLLServices2.dll</t>
  </si>
  <si>
    <t>C:\Users\DAVE\Documents\Visual Studio 2013\Projects\Console_Apps\FixEventLogExport\FixEventLogExport\bin\x86\Release\WizardWrx.DLLServices2.dll</t>
  </si>
  <si>
    <t>C:\Users\DAVE\Documents\Visual Studio 2013\Projects\Console_Apps\FixEventLogExport\FixEventLogExport\bin\x86\Debug\WizardWrx.DLLServices2.dll</t>
  </si>
  <si>
    <t>C:\Users\DAVE\Documents\Visual Studio 2013\Projects\Console_Apps\FixEventLogExport\FixEventLogExport\bin\Debug\WizardWrx.DLLServices2.dll</t>
  </si>
  <si>
    <t>C:\Users\DAVE\Documents\Visual Studio 2013\Projects\Console_Apps\Date2FN\Date2FN\bin\Debug\WizardWrx.DLLServices2.dll</t>
  </si>
  <si>
    <t>C:\Users\DAVE\Documents\Visual Studio 2013\Projects\Console_Apps\CSV2JSONRT\CSV2JSONRT\bin\x86\Debug\WizardWrx.DLLServices2.dll</t>
  </si>
  <si>
    <t>C:\Users\DAVE\Documents\Programming\Visual_Studio_6\DLL\ProcessInfo\CDeclToStdCallMigrationTool\CDeclToStdCallMigrationTool\bin\Debug\WizardWrx.DLLServices2.dll</t>
  </si>
  <si>
    <t>C:\Users\DAVE\Documents\Articles_2015\Console_Output_Magic\DLLServices2\DLLServices2TestStand\bin\Release\WizardWrx.DLLServices2.dll</t>
  </si>
  <si>
    <t>C:\Users\DAVE\Documents\Articles_2015\Console_Output_Magic\DLLServices2\DLLServices2TestStand\bin\Debug\WizardWrx.DLLServices2.dll</t>
  </si>
  <si>
    <t>C:\Users\DAVE\Documents\Articles_2015\Console_Output_Magic\DLLServices2\DLLServices2\obj\Release\WizardWrx.DLLServices2.dll</t>
  </si>
  <si>
    <t>C:\Users\DAVE\Documents\Articles_2015\Console_Output_Magic\DLLServices2\DLLServices2\obj\Debug\WizardWrx.DLLServices2.dll</t>
  </si>
  <si>
    <t>C:\Users\DAVE\Documents\Articles_2015\Console_Output_Magic\DLLServices2\DLLServices2\bin\Release\WizardWrx.DLLServices2.dll</t>
  </si>
  <si>
    <t>C:\Users\DAVE\Documents\Articles_2015\Console_Output_Magic\DLLServices2\DLLServices2\bin\Debug\WizardWrx.DLLServices2.dll</t>
  </si>
  <si>
    <t>C:\Users\DAVE\Documents\Articles_2015\Console_Output_Magic\Console_Color_Writer\TestStand\bin\Release\WizardWrx.DLLServices2.dll</t>
  </si>
  <si>
    <t>C:\Users\DAVE\Documents\Articles_2015\Console_Output_Magic\Console_Color_Writer\TestStand\bin\Debug\WizardWrx.DLLServices2.dll</t>
  </si>
  <si>
    <t>C:\Users\DAVE\Documents\Articles_2015\Console_Output_Magic\Console_Color_Writer\ConsoleAppAids2\bin\Release\WizardWrx.DLLServices2.dll</t>
  </si>
  <si>
    <t>C:\Users\DAVE\Documents\Articles_2015\Console_Output_Magic\Console_Color_Writer\ConsoleAppAids2\bin\Debug\WizardWrx.DLLServices2.dll</t>
  </si>
  <si>
    <t>C:\ProgramData\Documents\NOLANB\_Installation_Packages\UTIL_Reference\WizardWrx.DLLServices2.dll</t>
  </si>
  <si>
    <t>C:\ProgramData\Documents\NOLANB\_Installation_Packages\Remote\2014\20141010\AI_PKG_400\WizardWrx.DLLServices2.dll</t>
  </si>
  <si>
    <t>C:\ProgramData\Documents\NOLANB\TASKS\_PTI_Gate_2016\UTIL_Rock_Hill\WizardWrx.DLLServices2.dll</t>
  </si>
  <si>
    <t>C:\ProgramData\Documents\NOLANB\TASKS\Corrupted_HO_Logbase\distribution\WizardWrx.DLLServices2.dll</t>
  </si>
  <si>
    <t>C:\ProgramData\Documents\H_DEASE\UTIL_from_ZAPHOD42\WizardWrx.DLLServices2.dll</t>
  </si>
  <si>
    <t>C:\ProgramData\Documents\H_DEASE\AI_PKG_400\WizardWrx.DLLServices2.dll</t>
  </si>
  <si>
    <t>C:\bin\WizardWrx.DLLServices2.dll</t>
  </si>
  <si>
    <t>C:\UTIL\WizardWrx.DLLServices2.dll.config</t>
  </si>
  <si>
    <t>C:\Users\Public\Documents\NOLANB\_Installation_Packages\UTIL_Reference\WizardWrx.DLLServices2.dll.config</t>
  </si>
  <si>
    <t>C:\Users\Public\Documents\NOLANB\_Installation_Packages\Remote\2014\20141010\AI_PKG_400\WizardWrx.DLLServices2.dll.config</t>
  </si>
  <si>
    <t>C:\Users\Public\Documents\NOLANB\TASKS\_PTI_Gate_2016\UTIL_Rock_Hill\WizardWrx.DLLServices2.dll.config</t>
  </si>
  <si>
    <t>C:\Users\Public\Documents\NOLANB\TASKS\Corrupted_HO_Logbase\distribution\WizardWrx.DLLServices2.dll.config</t>
  </si>
  <si>
    <t>C:\Users\Public\Documents\H_DEASE\UTIL_from_ZAPHOD42\WizardWrx.DLLServices2.dll.config</t>
  </si>
  <si>
    <t>C:\Users\Public\Documents\H_DEASE\AI_PKG_400\WizardWrx.DLLServices2.dll.config</t>
  </si>
  <si>
    <t>C:\Users\DAVE\Documents\Visual Studio 2013\Projects\_Laboratory\TimeZoneLab\TimeZoneLab\bin\Release\WizardWrx.DLLServices2.dll.config</t>
  </si>
  <si>
    <t>C:\Users\DAVE\Documents\Visual Studio 2013\Projects\_Laboratory\TimeZoneLab\TimeZoneLab\bin\Debug\WizardWrx.DLLServices2.dll.config</t>
  </si>
  <si>
    <t>C:\Users\DAVE\Documents\Visual Studio 2013\Projects\_Laboratory\TimeZoneLab\TimeZoneLab\WizardWrx.DLLServices2.dll.config</t>
  </si>
  <si>
    <t>C:\Users\DAVE\Documents\Visual Studio 2013\Projects\_Laboratory\ConsoleOutputSpeedTest\ConsoleOutputSpeedTest\bin\Debug\WizardWrx.DLLServices2.dll.config</t>
  </si>
  <si>
    <t>C:\Users\DAVE\Documents\Visual Studio 2013\Projects\WizardWrx_Libs\_Deprecated_Libraries\ApplicationHelpers3\TestStand\bin\Release\WizardWrx.DLLServices2.dll.config</t>
  </si>
  <si>
    <t>C:\Users\DAVE\Documents\Visual Studio 2013\Projects\WizardWrx_Libs\_Deprecated_Libraries\ApplicationHelpers3\TestStand\bin\Debug\WizardWrx.DLLServices2.dll.config</t>
  </si>
  <si>
    <t>C:\Users\DAVE\Documents\Visual Studio 2013\Projects\WizardWrx_Libs\_Deprecated_Libraries\ApplicationHelpers3\TestStand\WizardWrx.DLLServices2.dll.config</t>
  </si>
  <si>
    <t>C:\Users\DAVE\Documents\Visual Studio 2013\Projects\WizardWrx_Libs\_Deprecated_Libraries\ApplicationHelpers2\ApplicationHelpers2TestHarness\ApplicationHelpers2TestHarness\bin\Release\WizardWrx.DLLServices2.dll.config</t>
  </si>
  <si>
    <t>C:\Users\DAVE\Documents\Visual Studio 2013\Projects\WizardWrx_Libs\_Deprecated_Libraries\ApplicationHelpers2\ApplicationHelpers2TestHarness\ApplicationHelpers2TestHarness\bin\Debug\WizardWrx.DLLServices2.dll.config</t>
  </si>
  <si>
    <t>C:\Users\DAVE\Documents\Visual Studio 2013\Projects\WizardWrx_Libs\_Deprecated_Libraries\ApplicationHelpers2\ApplicationHelpers2TestHarness\ApplicationHelpers2TestHarness\WizardWrx.DLLServices2.dll.config</t>
  </si>
  <si>
    <t>C:\Users\DAVE\Documents\Visual Studio 2013\Projects\WizardWrx_Libs\_Deprecated_Libraries\ApplicationHelpers2\ApplicationHelpers2\bin\Release\WizardWrx.DLLServices2.dll.config</t>
  </si>
  <si>
    <t>C:\Users\DAVE\Documents\Visual Studio 2013\Projects\WizardWrx_Libs\_Deprecated_Libraries\ApplicationHelpers2\ApplicationHelpers2\bin\Debug\WizardWrx.DLLServices2.dll.config</t>
  </si>
  <si>
    <t>C:\Users\DAVE\Documents\Visual Studio 2013\Projects\WizardWrx_Libs\_Deprecated_Libraries\ApplicationHelpers2\WizardWrx.DLLServices2.dll.config</t>
  </si>
  <si>
    <t>C:\Users\DAVE\Documents\Visual Studio 2013\Projects\WizardWrx_Libs\SharedUtl4\SharedUtl4_TestStand\bin\Release\WizardWrx.DLLServices2.dll.config</t>
  </si>
  <si>
    <t>C:\Users\DAVE\Documents\Visual Studio 2013\Projects\WizardWrx_Libs\SharedUtl4\SharedUtl4_TestStand\bin\Debug\WizardWrx.DLLServices2.dll.config</t>
  </si>
  <si>
    <t>C:\Users\DAVE\Documents\Visual Studio 2013\Projects\WizardWrx_Libs\SharedUtl4\SharedUtl4_TestStand\WizardWrx.DLLServices2.dll.config</t>
  </si>
  <si>
    <t>C:\Users\DAVE\Documents\Visual Studio 2013\Projects\WizardWrx_Libs\MailForAllApps\TestStand\bin\Release\WizardWrx.DLLServices2.dll.config</t>
  </si>
  <si>
    <t>C:\Users\DAVE\Documents\Visual Studio 2013\Projects\WizardWrx_Libs\MailForAllApps\TestStand\bin\Debug\WizardWrx.DLLServices2.dll.config</t>
  </si>
  <si>
    <t>C:\Users\DAVE\Documents\Visual Studio 2013\Projects\WizardWrx_Libs\MailForAllApps\TestStand\WizardWrx.DLLServices2.dll.config</t>
  </si>
  <si>
    <t>C:\Users\DAVE\Documents\Visual Studio 2013\Projects\WizardWrx_Libs\DLLServices2\RedirectedStreamTester\bin\Release\WizardWrx.DLLServices2.dll.config</t>
  </si>
  <si>
    <t>C:\Users\DAVE\Documents\Visual Studio 2013\Projects\WizardWrx_Libs\DLLServices2\RedirectedStreamTester\bin\Debug\WizardWrx.DLLServices2.dll.config</t>
  </si>
  <si>
    <t>C:\Users\DAVE\Documents\Visual Studio 2013\Projects\WizardWrx_Libs\DLLServices2\DLLServices2TestStand\bin\Release\WizardWrx.DLLServices2.dll.config</t>
  </si>
  <si>
    <t>C:\Users\DAVE\Documents\Visual Studio 2013\Projects\WizardWrx_Libs\DLLServices2\DLLServices2TestStand\bin\Debug\WizardWrx.DLLServices2.dll.config</t>
  </si>
  <si>
    <t>C:\Users\DAVE\Documents\Visual Studio 2013\Projects\WizardWrx_Libs\DLLServices2\DLLServices2\bin\Release\WizardWrx.DLLServices2.dll.config</t>
  </si>
  <si>
    <t>C:\Users\DAVE\Documents\Visual Studio 2013\Projects\WizardWrx_Libs\DLLServices2\DLLServices2\bin\Debug\WizardWrx.DLLServices2.dll.config</t>
  </si>
  <si>
    <t>C:\Users\DAVE\Documents\Visual Studio 2013\Projects\WizardWrx_Libs\DLLServices2\DLLServices2\WizardWrx.DLLServices2.dll.config</t>
  </si>
  <si>
    <t>C:\Users\DAVE\Documents\Visual Studio 2013\Projects\WizardWrx_Libs\ConsoleAppAids2\TestStand\bin\Release\WizardWrx.DLLServices2.dll.config</t>
  </si>
  <si>
    <t>C:\Users\DAVE\Documents\Visual Studio 2013\Projects\WizardWrx_Libs\ConsoleAppAids2\TestStand\bin\Debug\WizardWrx.DLLServices2.dll.config</t>
  </si>
  <si>
    <t>C:\Users\DAVE\Documents\Visual Studio 2013\Projects\WizardWrx_Libs\ConsoleAppAids2\TestStand\WizardWrx.DLLServices2.dll.config</t>
  </si>
  <si>
    <t>C:\Users\DAVE\Documents\Visual Studio 2013\Projects\WizardWrx_Libs\ConsoleAppAids2\EOJTEST\bin\Release\WizardWrx.DLLServices2.dll.config</t>
  </si>
  <si>
    <t>C:\Users\DAVE\Documents\Visual Studio 2013\Projects\WizardWrx_Libs\ConsoleAppAids2\EOJTEST\bin\Debug\WizardWrx.DLLServices2.dll.config</t>
  </si>
  <si>
    <t>C:\Users\DAVE\Documents\Visual Studio 2013\Projects\WizardWrx_Libs\ConsoleAppAids2\EOJTEST\WizardWrx.DLLServices2.dll.config</t>
  </si>
  <si>
    <t>C:\Users\DAVE\Documents\Visual Studio 2013\Projects\WizardWrx_Libs\ConsoleAppAids2\ConsoleAppAids2\bin\Release\WizardWrx.DLLServices2.dll.config</t>
  </si>
  <si>
    <t>C:\Users\DAVE\Documents\Visual Studio 2013\Projects\WizardWrx_Libs\ConsoleAppAids2\ConsoleAppAids2\bin\Debug\WizardWrx.DLLServices2.dll.config</t>
  </si>
  <si>
    <t>C:\Users\DAVE\Documents\Visual Studio 2013\Projects\WizardWrx_Libs\ConsoleAppAids2\ConsoleAppAids2\WizardWrx.DLLServices2.dll.config</t>
  </si>
  <si>
    <t>C:\Users\DAVE\Documents\Visual Studio 2013\Projects\WizardWrx_Libs\AnyCSV\CSVTestStand\bin\Release\WizardWrx.DLLServices2.dll.config</t>
  </si>
  <si>
    <t>C:\Users\DAVE\Documents\Visual Studio 2013\Projects\WizardWrx_Libs\AnyCSV\CSVTestStand\bin\Debug\WizardWrx.DLLServices2.dll.config</t>
  </si>
  <si>
    <t>C:\Users\DAVE\Documents\Visual Studio 2013\Projects\WizardWrx_Libs\AnyCSV\CSVTestStand\WizardWrx.DLLServices2.dll.config</t>
  </si>
  <si>
    <t>C:\Users\DAVE\Documents\Visual Studio 2013\Projects\WizardWrx_Libs\AnyCSV\AnyCSVTestStand\bin\Release\WizardWrx.DLLServices2.dll.config</t>
  </si>
  <si>
    <t>C:\Users\DAVE\Documents\Visual Studio 2013\Projects\WizardWrx_Libs\AnyCSV\AnyCSVTestStand\bin\Debug\WizardWrx.DLLServices2.dll.config</t>
  </si>
  <si>
    <t>C:\Users\DAVE\Documents\Visual Studio 2013\Projects\WizardWrx_Libs\AnyCSV\AnyCSVTestStand\WizardWrx.DLLServices2.dll.config</t>
  </si>
  <si>
    <t>C:\Users\DAVE\Documents\Visual Studio 2013\Projects\Tools_for_Programmers\RGUNC_Tag_Browser\CreateAlternativesTable\bin\Debug\WizardWrx.DLLServices2.dll.config</t>
  </si>
  <si>
    <t>C:\Users\DAVE\Documents\Visual Studio 2013\Projects\Tools_for_Programmers\PolyCat\PolyCat\bin\Release\WizardWrx.DLLServices2.dll.config</t>
  </si>
  <si>
    <t>C:\Users\DAVE\Documents\Visual Studio 2013\Projects\Tools_for_Programmers\PolyCat\PolyCat\bin\Debug\WizardWrx.DLLServices2.dll.config</t>
  </si>
  <si>
    <t>C:\Users\DAVE\Documents\Visual Studio 2013\Projects\Tools_for_Programmers\PolyCat\PolyCat\WizardWrx.DLLServices2.dll.config</t>
  </si>
  <si>
    <t>C:\Users\DAVE\Documents\Visual Studio 2013\Projects\Tools_for_Programmers\PolyCat\NOTES\WizardWrx.DLLServices2.dll.config</t>
  </si>
  <si>
    <t>C:\Users\DAVE\Documents\Visual Studio 2013\Projects\Tools_for_Programmers\MemCalc\MemCalc\bin\Debug\WizardWrx.DllServices2.dll.config</t>
  </si>
  <si>
    <t>C:\Users\DAVE\Documents\Visual Studio 2013\Projects\Tools_for_Programmers\MemCalc\MemCalc\WizardWrx.DllServices2.dll.config</t>
  </si>
  <si>
    <t>C:\Users\DAVE\Documents\Visual Studio 2013\Projects\Tools_for_Programmers\CertStoreLister\CertStoreLister\bin\Debug\WizardWrx.DLLServices2.dll.config</t>
  </si>
  <si>
    <t>C:\Users\DAVE\Documents\Visual Studio 2013\Projects\Tools_for_Programmers\CertStoreLister\CertStoreLister\WizardWrx.DLLServices2.dll.config</t>
  </si>
  <si>
    <t>C:\Users\DAVE\Documents\Visual Studio 2013\Projects\NOLANB\ZZRdInts\ZZRdInts\bin\Release\WizardWrx.DLLServices2.dll.config</t>
  </si>
  <si>
    <t>C:\Users\DAVE\Documents\Visual Studio 2013\Projects\NOLANB\ZZRdInts\ZZRdInts\bin\Debug\WizardWrx.DLLServices2.dll.config</t>
  </si>
  <si>
    <t>C:\Users\DAVE\Documents\Visual Studio 2013\Projects\NOLANB\ZZRdInts\ZZRdInts\WizardWrx.DLLServices2.dll.config</t>
  </si>
  <si>
    <t>C:\Users\DAVE\Documents\Visual Studio 2013\Projects\NOLANB\LogBasePruner\LogBasePruner\bin\Release\WizardWrx.DLLServices2.dll.config</t>
  </si>
  <si>
    <t>C:\Users\DAVE\Documents\Visual Studio 2013\Projects\NOLANB\LogBasePruner\LogBasePruner\bin\Debug\WizardWrx.DLLServices2.dll.config</t>
  </si>
  <si>
    <t>C:\Users\DAVE\Documents\Visual Studio 2013\Projects\NOLANB\LogBasePruner\LogBasePruner\WizardWrx.DLLServices2.dll.config</t>
  </si>
  <si>
    <t>C:\Users\DAVE\Documents\Visual Studio 2013\Projects\NOLANB\EZXFER_Cloud_Manager\EZXFER_Cloud_Manager\bin\Release\WizardWrx.DLLServices2.dll.config</t>
  </si>
  <si>
    <t>C:\Users\DAVE\Documents\Visual Studio 2013\Projects\NOLANB\EZXFER_Cloud_Manager\EZXFER_Cloud_Manager\bin\Debug\WizardWrx.DLLServices2.dll.config</t>
  </si>
  <si>
    <t>C:\Users\DAVE\Documents\Visual Studio 2013\Projects\NOLANB\EZXFER_Cloud_Manager\EZXFER_Cloud_Manager\WizardWrx.DLLServices2.dll.config</t>
  </si>
  <si>
    <t>C:\Users\DAVE\Documents\Visual Studio 2013\Projects\NOLANB\EZPayFileMonitor\EZPayFileMonitor\bin\Release\WizardWrx.DLLServices2.dll.config</t>
  </si>
  <si>
    <t>C:\Users\DAVE\Documents\Visual Studio 2013\Projects\NOLANB\EZPayFileMonitor\EZPayFileMonitor\bin\Debug\WizardWrx.DLLServices2.dll.config</t>
  </si>
  <si>
    <t>C:\Users\DAVE\Documents\Visual Studio 2013\Projects\NOLANB\EZPayFileMonitor\EZPayFileMonitor\WizardWrx.DLLServices2.dll.config</t>
  </si>
  <si>
    <t>C:\Users\DAVE\Documents\Visual Studio 2013\Projects\NOLANB\DataEaseDirectoryReader\SupportMethodTester\bin\Release\WizardWrx.DLLServices2.dll.config</t>
  </si>
  <si>
    <t>C:\Users\DAVE\Documents\Visual Studio 2013\Projects\NOLANB\DataEaseDirectoryReader\SupportMethodTester\bin\Debug\WizardWrx.DLLServices2.dll.config</t>
  </si>
  <si>
    <t>C:\Users\DAVE\Documents\Visual Studio 2013\Projects\NOLANB\DataEaseDirectoryReader\SupportMethodTester\WizardWrx.DLLServices2.dll.config</t>
  </si>
  <si>
    <t>C:\Users\DAVE\Documents\Visual Studio 2013\Projects\NOLANB\DataEaseDirectoryReader\DataEaseDirectoryReader\bin\Release\WizardWrx.DLLServices2.dll.config</t>
  </si>
  <si>
    <t>C:\Users\DAVE\Documents\Visual Studio 2013\Projects\NOLANB\DataEaseDirectoryReader\DataEaseDirectoryReader\bin\Debug\WizardWrx.DLLServices2.dll.config</t>
  </si>
  <si>
    <t>C:\Users\DAVE\Documents\Visual Studio 2013\Projects\NOLANB\DataEaseDirectoryReader\DataEaseDirectoryReader\WizardWrx.DLLServices2.dll.config</t>
  </si>
  <si>
    <t>C:\Users\DAVE\Documents\Visual Studio 2013\Projects\Console_Apps\WWEnumEnvironmentStrings\WWEnumEnvironmentStrings\bin\x86\Release\WizardWrx.DLLServices2.dll.config</t>
  </si>
  <si>
    <t>C:\Users\DAVE\Documents\Visual Studio 2013\Projects\Console_Apps\WWEnumEnvironmentStrings\WWEnumEnvironmentStrings\bin\Release\WizardWrx.DLLServices2.dll.config</t>
  </si>
  <si>
    <t>C:\Users\DAVE\Documents\Visual Studio 2013\Projects\Console_Apps\WWEnumEnvironmentStrings\WWEnumEnvironmentStrings\bin\Debug\WizardWrx.DLLServices2.dll.config</t>
  </si>
  <si>
    <t>C:\Users\DAVE\Documents\Visual Studio 2013\Projects\Console_Apps\WWEnumEnvironmentStrings\WWEnumEnvironmentStrings\WizardWrx.DLLServices2.dll.config</t>
  </si>
  <si>
    <t>C:\Users\DAVE\Documents\Visual Studio 2013\Projects\Console_Apps\FixEventLogExport\FixEventLogExport_Distribution_Package\WizardWrx.DLLServices2.dll.config</t>
  </si>
  <si>
    <t>C:\Users\DAVE\Documents\Visual Studio 2013\Projects\Console_Apps\FixEventLogExport\FixEventLogExport\bin\x86\Release\WizardWrx.DLLServices2.dll.config</t>
  </si>
  <si>
    <t>C:\Users\DAVE\Documents\Visual Studio 2013\Projects\Console_Apps\FixEventLogExport\FixEventLogExport\bin\x86\Debug\WizardWrx.DLLServices2.dll.config</t>
  </si>
  <si>
    <t>C:\Users\DAVE\Documents\Visual Studio 2013\Projects\Console_Apps\FixEventLogExport\FixEventLogExport\bin\Debug\WizardWrx.DLLServices2.dll.config</t>
  </si>
  <si>
    <t>C:\Users\DAVE\Documents\Visual Studio 2013\Projects\Console_Apps\FixEventLogExport\FixEventLogExport\WizardWrx.DLLServices2.dll.config</t>
  </si>
  <si>
    <t>C:\Users\DAVE\Documents\Visual Studio 2013\Projects\Console_Apps\Date2FN\Date2FN\bin\Debug\WizardWrx.DLLServices2.dll.config</t>
  </si>
  <si>
    <t>C:\Users\DAVE\Documents\Visual Studio 2013\Projects\Console_Apps\CSV2JSONRT\CSV2JSONRT\bin\x86\Release\WizardWrx.DLLServices2.dll.config</t>
  </si>
  <si>
    <t>C:\Users\DAVE\Documents\Visual Studio 2013\Projects\Console_Apps\CSV2JSONRT\CSV2JSONRT\bin\x86\Debug\WizardWrx.DLLServices2.dll.config</t>
  </si>
  <si>
    <t>C:\Users\DAVE\Documents\Articles_2015\Console_Output_Magic\DLLServices2\DLLServices2TestStand\bin\Release\WizardWrx.DLLServices2.dll.config</t>
  </si>
  <si>
    <t>C:\Users\DAVE\Documents\Articles_2015\Console_Output_Magic\DLLServices2\DLLServices2TestStand\bin\Debug\WizardWrx.DLLServices2.dll.config</t>
  </si>
  <si>
    <t>C:\Users\DAVE\Documents\Articles_2015\Console_Output_Magic\DLLServices2\DLLServices2\bin\Release\WizardWrx.DLLServices2.dll.config</t>
  </si>
  <si>
    <t>C:\Users\DAVE\Documents\Articles_2015\Console_Output_Magic\DLLServices2\DLLServices2\bin\Debug\WizardWrx.DLLServices2.dll.config</t>
  </si>
  <si>
    <t>C:\Users\DAVE\Documents\Articles_2015\Console_Output_Magic\DLLServices2\DLLServices2\WizardWrx.DLLServices2.dll.config</t>
  </si>
  <si>
    <t>C:\Users\DAVE\Documents\Articles_2015\Console_Output_Magic\Console_Color_Writer\TestStand\bin\Release\WizardWrx.DLLServices2.dll.config</t>
  </si>
  <si>
    <t>C:\Users\DAVE\Documents\Articles_2015\Console_Output_Magic\Console_Color_Writer\TestStand\bin\Debug\WizardWrx.DLLServices2.dll.config</t>
  </si>
  <si>
    <t>C:\Users\DAVE\Documents\Articles_2015\Console_Output_Magic\Console_Color_Writer\TestStand\WizardWrx.DLLServices2.dll.config</t>
  </si>
  <si>
    <t>C:\Users\DAVE\Documents\Articles_2015\Console_Output_Magic\Console_Color_Writer\ConsoleAppAids2\bin\Release\WizardWrx.DLLServices2.dll.config</t>
  </si>
  <si>
    <t>C:\Users\DAVE\Documents\Articles_2015\Console_Output_Magic\Console_Color_Writer\ConsoleAppAids2\bin\Debug\WizardWrx.DLLServices2.dll.config</t>
  </si>
  <si>
    <t>C:\Users\DAVE\Documents\Articles_2015\Console_Output_Magic\Console_Color_Writer\ConsoleAppAids2\WizardWrx.DLLServices2.dll.config</t>
  </si>
  <si>
    <t>C:\ProgramData\Documents\NOLANB\_Installation_Packages\UTIL_Reference\WizardWrx.DLLServices2.dll.config</t>
  </si>
  <si>
    <t>C:\ProgramData\Documents\NOLANB\_Installation_Packages\Remote\2014\20141010\AI_PKG_400\WizardWrx.DLLServices2.dll.config</t>
  </si>
  <si>
    <t>C:\ProgramData\Documents\NOLANB\TASKS\_PTI_Gate_2016\UTIL_Rock_Hill\WizardWrx.DLLServices2.dll.config</t>
  </si>
  <si>
    <t>C:\ProgramData\Documents\NOLANB\TASKS\Corrupted_HO_Logbase\distribution\WizardWrx.DLLServices2.dll.config</t>
  </si>
  <si>
    <t>C:\ProgramData\Documents\H_DEASE\UTIL_from_ZAPHOD42\WizardWrx.DLLServices2.dll.config</t>
  </si>
  <si>
    <t>C:\ProgramData\Documents\H_DEASE\AI_PKG_400\WizardWrx.DLLServices2.dll.config</t>
  </si>
  <si>
    <t>C:\bin\WizardWrx.DLLServices2.dll.config</t>
  </si>
  <si>
    <t>Library</t>
  </si>
  <si>
    <t>Release</t>
  </si>
  <si>
    <t>Debug</t>
  </si>
  <si>
    <t>Built</t>
  </si>
  <si>
    <t>Status</t>
  </si>
  <si>
    <t>Final</t>
  </si>
  <si>
    <t>Fixed</t>
  </si>
  <si>
    <t>1.0.57.663</t>
  </si>
  <si>
    <t>Copyright</t>
  </si>
  <si>
    <t>1.4.58.327</t>
  </si>
  <si>
    <t>1.3.119.666</t>
  </si>
  <si>
    <t>1.4.122.2647</t>
  </si>
  <si>
    <t>2.81.302.668</t>
  </si>
  <si>
    <t>2012-2014</t>
  </si>
  <si>
    <t>3.0.308.8553</t>
  </si>
  <si>
    <t>C:\ProgramData\Documents\H_DEASE\AI_PKG_400</t>
  </si>
  <si>
    <t>C:\ProgramData\Documents\H_DEASE\UTIL_from_ZAPHOD42</t>
  </si>
  <si>
    <t>C:\ProgramData\Documents\NOLANB\TASKS\Corrupted_HO_Logbase\distribution</t>
  </si>
  <si>
    <t>C:\ProgramData\Documents\NOLANB\TASKS\_PTI_Gate_2016\UTIL_Rock_Hill</t>
  </si>
  <si>
    <t>C:\ProgramData\Documents\NOLANB\_Installation_Packages\Remote\2014\20141010\AI_PKG_400</t>
  </si>
  <si>
    <t>C:\ProgramData\Documents\NOLANB\_Installation_Packages\UTIL_Reference</t>
  </si>
  <si>
    <t>C:\Users\DAVE\Documents\Articles_2015\Console_Output_Magic\Console_Color_Writer\ConsoleAppAids2</t>
  </si>
  <si>
    <t>C:\Users\DAVE\Documents\Articles_2015\Console_Output_Magic\Console_Color_Writer\ConsoleAppAids2\bin\Debug</t>
  </si>
  <si>
    <t>C:\Users\DAVE\Documents\Articles_2015\Console_Output_Magic\Console_Color_Writer\ConsoleAppAids2\bin\Release</t>
  </si>
  <si>
    <t>C:\Users\DAVE\Documents\Articles_2015\Console_Output_Magic\Console_Color_Writer\TestStand</t>
  </si>
  <si>
    <t>C:\Users\DAVE\Documents\Articles_2015\Console_Output_Magic\Console_Color_Writer\TestStand\bin\Debug</t>
  </si>
  <si>
    <t>C:\Users\DAVE\Documents\Articles_2015\Console_Output_Magic\Console_Color_Writer\TestStand\bin\Release</t>
  </si>
  <si>
    <t>C:\Users\DAVE\Documents\Articles_2015\Console_Output_Magic\DLLServices2\DLLServices2</t>
  </si>
  <si>
    <t>C:\Users\DAVE\Documents\Articles_2015\Console_Output_Magic\DLLServices2\DLLServices2\bin\Debug</t>
  </si>
  <si>
    <t>C:\Users\DAVE\Documents\Articles_2015\Console_Output_Magic\DLLServices2\DLLServices2\bin\Release</t>
  </si>
  <si>
    <t>C:\Users\DAVE\Documents\Articles_2015\Console_Output_Magic\DLLServices2\DLLServices2TestStand\bin\Debug</t>
  </si>
  <si>
    <t>C:\Users\DAVE\Documents\Articles_2015\Console_Output_Magic\DLLServices2\DLLServices2TestStand\bin\Release</t>
  </si>
  <si>
    <t>C:\Users\DAVE\Documents\Visual Studio 2013\Projects\Console_Apps\CSV2JSONRT\CSV2JSONRT\bin\x86\Debug</t>
  </si>
  <si>
    <t>C:\Users\DAVE\Documents\Visual Studio 2013\Projects\Console_Apps\CSV2JSONRT\CSV2JSONRT\bin\x86\Release</t>
  </si>
  <si>
    <t>C:\Users\DAVE\Documents\Visual Studio 2013\Projects\Console_Apps\Date2FN\Date2FN\bin\Debug</t>
  </si>
  <si>
    <t>C:\Users\DAVE\Documents\Visual Studio 2013\Projects\Console_Apps\FixEventLogExport\FixEventLogExport</t>
  </si>
  <si>
    <t>C:\Users\DAVE\Documents\Visual Studio 2013\Projects\Console_Apps\FixEventLogExport\FixEventLogExport\bin\Debug</t>
  </si>
  <si>
    <t>C:\Users\DAVE\Documents\Visual Studio 2013\Projects\Console_Apps\FixEventLogExport\FixEventLogExport\bin\x86\Debug</t>
  </si>
  <si>
    <t>C:\Users\DAVE\Documents\Visual Studio 2013\Projects\Console_Apps\FixEventLogExport\FixEventLogExport\bin\x86\Release</t>
  </si>
  <si>
    <t>C:\Users\DAVE\Documents\Visual Studio 2013\Projects\Console_Apps\FixEventLogExport\FixEventLogExport_Distribution_Package</t>
  </si>
  <si>
    <t>C:\Users\DAVE\Documents\Visual Studio 2013\Projects\Console_Apps\WWEnumEnvironmentStrings\WWEnumEnvironmentStrings</t>
  </si>
  <si>
    <t>C:\Users\DAVE\Documents\Visual Studio 2013\Projects\Console_Apps\WWEnumEnvironmentStrings\WWEnumEnvironmentStrings\bin\Debug</t>
  </si>
  <si>
    <t>C:\Users\DAVE\Documents\Visual Studio 2013\Projects\Console_Apps\WWEnumEnvironmentStrings\WWEnumEnvironmentStrings\bin\Release</t>
  </si>
  <si>
    <t>C:\Users\DAVE\Documents\Visual Studio 2013\Projects\Console_Apps\WWEnumEnvironmentStrings\WWEnumEnvironmentStrings\bin\x86\Release</t>
  </si>
  <si>
    <t>C:\Users\DAVE\Documents\Visual Studio 2013\Projects\NOLANB\DataEaseDirectoryReader\DataEaseDirectoryReader</t>
  </si>
  <si>
    <t>C:\Users\DAVE\Documents\Visual Studio 2013\Projects\NOLANB\DataEaseDirectoryReader\DataEaseDirectoryReader\bin\Debug</t>
  </si>
  <si>
    <t>C:\Users\DAVE\Documents\Visual Studio 2013\Projects\NOLANB\DataEaseDirectoryReader\DataEaseDirectoryReader\bin\Release</t>
  </si>
  <si>
    <t>C:\Users\DAVE\Documents\Visual Studio 2013\Projects\NOLANB\DataEaseDirectoryReader\SupportMethodTester</t>
  </si>
  <si>
    <t>C:\Users\DAVE\Documents\Visual Studio 2013\Projects\NOLANB\DataEaseDirectoryReader\SupportMethodTester\bin\Debug</t>
  </si>
  <si>
    <t>C:\Users\DAVE\Documents\Visual Studio 2013\Projects\NOLANB\DataEaseDirectoryReader\SupportMethodTester\bin\Release</t>
  </si>
  <si>
    <t>C:\Users\DAVE\Documents\Visual Studio 2013\Projects\NOLANB\EZPayFileMonitor\EZPayFileMonitor</t>
  </si>
  <si>
    <t>C:\Users\DAVE\Documents\Visual Studio 2013\Projects\NOLANB\EZPayFileMonitor\EZPayFileMonitor\bin\Debug</t>
  </si>
  <si>
    <t>C:\Users\DAVE\Documents\Visual Studio 2013\Projects\NOLANB\EZPayFileMonitor\EZPayFileMonitor\bin\Release</t>
  </si>
  <si>
    <t>C:\Users\DAVE\Documents\Visual Studio 2013\Projects\NOLANB\EZXFER_Cloud_Manager\EZXFER_Cloud_Manager</t>
  </si>
  <si>
    <t>C:\Users\DAVE\Documents\Visual Studio 2013\Projects\NOLANB\EZXFER_Cloud_Manager\EZXFER_Cloud_Manager\bin\Debug</t>
  </si>
  <si>
    <t>C:\Users\DAVE\Documents\Visual Studio 2013\Projects\NOLANB\EZXFER_Cloud_Manager\EZXFER_Cloud_Manager\bin\Release</t>
  </si>
  <si>
    <t>C:\Users\DAVE\Documents\Visual Studio 2013\Projects\NOLANB\LogBasePruner\LogBasePruner</t>
  </si>
  <si>
    <t>C:\Users\DAVE\Documents\Visual Studio 2013\Projects\NOLANB\LogBasePruner\LogBasePruner\bin\Debug</t>
  </si>
  <si>
    <t>C:\Users\DAVE\Documents\Visual Studio 2013\Projects\NOLANB\LogBasePruner\LogBasePruner\bin\Release</t>
  </si>
  <si>
    <t>C:\Users\DAVE\Documents\Visual Studio 2013\Projects\NOLANB\ZZRdInts\ZZRdInts</t>
  </si>
  <si>
    <t>C:\Users\DAVE\Documents\Visual Studio 2013\Projects\NOLANB\ZZRdInts\ZZRdInts\bin\Debug</t>
  </si>
  <si>
    <t>C:\Users\DAVE\Documents\Visual Studio 2013\Projects\NOLANB\ZZRdInts\ZZRdInts\bin\Release</t>
  </si>
  <si>
    <t>C:\Users\DAVE\Documents\Visual Studio 2013\Projects\Tools_for_Programmers\CertStoreLister\CertStoreLister</t>
  </si>
  <si>
    <t>C:\Users\DAVE\Documents\Visual Studio 2013\Projects\Tools_for_Programmers\CertStoreLister\CertStoreLister\bin\Debug</t>
  </si>
  <si>
    <t>C:\Users\DAVE\Documents\Visual Studio 2013\Projects\Tools_for_Programmers\MemCalc\MemCalc</t>
  </si>
  <si>
    <t>C:\Users\DAVE\Documents\Visual Studio 2013\Projects\Tools_for_Programmers\MemCalc\MemCalc\bin\Debug</t>
  </si>
  <si>
    <t>C:\Users\DAVE\Documents\Visual Studio 2013\Projects\Tools_for_Programmers\PolyCat\NOTES</t>
  </si>
  <si>
    <t>C:\Users\DAVE\Documents\Visual Studio 2013\Projects\Tools_for_Programmers\PolyCat\PolyCat</t>
  </si>
  <si>
    <t>C:\Users\DAVE\Documents\Visual Studio 2013\Projects\Tools_for_Programmers\PolyCat\PolyCat\bin\Debug</t>
  </si>
  <si>
    <t>C:\Users\DAVE\Documents\Visual Studio 2013\Projects\Tools_for_Programmers\PolyCat\PolyCat\bin\Release</t>
  </si>
  <si>
    <t>C:\Users\DAVE\Documents\Visual Studio 2013\Projects\Tools_for_Programmers\RGUNC_Tag_Browser\CreateAlternativesTable\bin\Debug</t>
  </si>
  <si>
    <t>C:\Users\DAVE\Documents\Visual Studio 2013\Projects\WizardWrx_Libs\AnyCSV\AnyCSVTestStand</t>
  </si>
  <si>
    <t>C:\Users\DAVE\Documents\Visual Studio 2013\Projects\WizardWrx_Libs\AnyCSV\AnyCSVTestStand\bin\Debug</t>
  </si>
  <si>
    <t>C:\Users\DAVE\Documents\Visual Studio 2013\Projects\WizardWrx_Libs\AnyCSV\AnyCSVTestStand\bin\Release</t>
  </si>
  <si>
    <t>C:\Users\DAVE\Documents\Visual Studio 2013\Projects\WizardWrx_Libs\AnyCSV\CSVTestStand</t>
  </si>
  <si>
    <t>C:\Users\DAVE\Documents\Visual Studio 2013\Projects\WizardWrx_Libs\AnyCSV\CSVTestStand\bin\Debug</t>
  </si>
  <si>
    <t>C:\Users\DAVE\Documents\Visual Studio 2013\Projects\WizardWrx_Libs\AnyCSV\CSVTestStand\bin\Release</t>
  </si>
  <si>
    <t>C:\Users\DAVE\Documents\Visual Studio 2013\Projects\WizardWrx_Libs\ConsoleAppAids2\ConsoleAppAids2</t>
  </si>
  <si>
    <t>C:\Users\DAVE\Documents\Visual Studio 2013\Projects\WizardWrx_Libs\ConsoleAppAids2\ConsoleAppAids2\bin\Debug</t>
  </si>
  <si>
    <t>C:\Users\DAVE\Documents\Visual Studio 2013\Projects\WizardWrx_Libs\ConsoleAppAids2\ConsoleAppAids2\bin\Release</t>
  </si>
  <si>
    <t>C:\Users\DAVE\Documents\Visual Studio 2013\Projects\WizardWrx_Libs\ConsoleAppAids2\EOJTEST</t>
  </si>
  <si>
    <t>C:\Users\DAVE\Documents\Visual Studio 2013\Projects\WizardWrx_Libs\ConsoleAppAids2\EOJTEST\bin\Debug</t>
  </si>
  <si>
    <t>C:\Users\DAVE\Documents\Visual Studio 2013\Projects\WizardWrx_Libs\ConsoleAppAids2\EOJTEST\bin\Release</t>
  </si>
  <si>
    <t>C:\Users\DAVE\Documents\Visual Studio 2013\Projects\WizardWrx_Libs\ConsoleAppAids2\TestStand</t>
  </si>
  <si>
    <t>C:\Users\DAVE\Documents\Visual Studio 2013\Projects\WizardWrx_Libs\ConsoleAppAids2\TestStand\bin\Debug</t>
  </si>
  <si>
    <t>C:\Users\DAVE\Documents\Visual Studio 2013\Projects\WizardWrx_Libs\ConsoleAppAids2\TestStand\bin\Release</t>
  </si>
  <si>
    <t>C:\Users\DAVE\Documents\Visual Studio 2013\Projects\WizardWrx_Libs\DLLServices2\DLLServices2</t>
  </si>
  <si>
    <t>C:\Users\DAVE\Documents\Visual Studio 2013\Projects\WizardWrx_Libs\DLLServices2\DLLServices2\bin\Debug</t>
  </si>
  <si>
    <t>C:\Users\DAVE\Documents\Visual Studio 2013\Projects\WizardWrx_Libs\DLLServices2\DLLServices2\bin\Release</t>
  </si>
  <si>
    <t>C:\Users\DAVE\Documents\Visual Studio 2013\Projects\WizardWrx_Libs\DLLServices2\DLLServices2TestStand\bin\Debug</t>
  </si>
  <si>
    <t>C:\Users\DAVE\Documents\Visual Studio 2013\Projects\WizardWrx_Libs\DLLServices2\DLLServices2TestStand\bin\Release</t>
  </si>
  <si>
    <t>C:\Users\DAVE\Documents\Visual Studio 2013\Projects\WizardWrx_Libs\DLLServices2\RedirectedStreamTester\bin\Debug</t>
  </si>
  <si>
    <t>C:\Users\DAVE\Documents\Visual Studio 2013\Projects\WizardWrx_Libs\DLLServices2\RedirectedStreamTester\bin\Release</t>
  </si>
  <si>
    <t>C:\Users\DAVE\Documents\Visual Studio 2013\Projects\WizardWrx_Libs\MailForAllApps\TestStand</t>
  </si>
  <si>
    <t>C:\Users\DAVE\Documents\Visual Studio 2013\Projects\WizardWrx_Libs\MailForAllApps\TestStand\bin\Debug</t>
  </si>
  <si>
    <t>C:\Users\DAVE\Documents\Visual Studio 2013\Projects\WizardWrx_Libs\MailForAllApps\TestStand\bin\Release</t>
  </si>
  <si>
    <t>C:\Users\DAVE\Documents\Visual Studio 2013\Projects\WizardWrx_Libs\SharedUtl4\SharedUtl4_TestStand</t>
  </si>
  <si>
    <t>C:\Users\DAVE\Documents\Visual Studio 2013\Projects\WizardWrx_Libs\SharedUtl4\SharedUtl4_TestStand\bin\Debug</t>
  </si>
  <si>
    <t>C:\Users\DAVE\Documents\Visual Studio 2013\Projects\WizardWrx_Libs\SharedUtl4\SharedUtl4_TestStand\bin\Release</t>
  </si>
  <si>
    <t>C:\Users\DAVE\Documents\Visual Studio 2013\Projects\WizardWrx_Libs\_Deprecated_Libraries\ApplicationHelpers2</t>
  </si>
  <si>
    <t>C:\Users\DAVE\Documents\Visual Studio 2013\Projects\WizardWrx_Libs\_Deprecated_Libraries\ApplicationHelpers2\ApplicationHelpers2\bin\Debug</t>
  </si>
  <si>
    <t>C:\Users\DAVE\Documents\Visual Studio 2013\Projects\WizardWrx_Libs\_Deprecated_Libraries\ApplicationHelpers2\ApplicationHelpers2\bin\Release</t>
  </si>
  <si>
    <t>C:\Users\DAVE\Documents\Visual Studio 2013\Projects\WizardWrx_Libs\_Deprecated_Libraries\ApplicationHelpers2\ApplicationHelpers2TestHarness\ApplicationHelpers2TestHarness</t>
  </si>
  <si>
    <t>C:\Users\DAVE\Documents\Visual Studio 2013\Projects\WizardWrx_Libs\_Deprecated_Libraries\ApplicationHelpers2\ApplicationHelpers2TestHarness\ApplicationHelpers2TestHarness\bin\Debug</t>
  </si>
  <si>
    <t>C:\Users\DAVE\Documents\Visual Studio 2013\Projects\WizardWrx_Libs\_Deprecated_Libraries\ApplicationHelpers2\ApplicationHelpers2TestHarness\ApplicationHelpers2TestHarness\bin\Release</t>
  </si>
  <si>
    <t>C:\Users\DAVE\Documents\Visual Studio 2013\Projects\WizardWrx_Libs\_Deprecated_Libraries\ApplicationHelpers3\TestStand</t>
  </si>
  <si>
    <t>C:\Users\DAVE\Documents\Visual Studio 2013\Projects\WizardWrx_Libs\_Deprecated_Libraries\ApplicationHelpers3\TestStand\bin\Debug</t>
  </si>
  <si>
    <t>C:\Users\DAVE\Documents\Visual Studio 2013\Projects\WizardWrx_Libs\_Deprecated_Libraries\ApplicationHelpers3\TestStand\bin\Release</t>
  </si>
  <si>
    <t>C:\Users\DAVE\Documents\Visual Studio 2013\Projects\_Laboratory\ConsoleOutputSpeedTest\ConsoleOutputSpeedTest\bin\Debug</t>
  </si>
  <si>
    <t>C:\Users\DAVE\Documents\Visual Studio 2013\Projects\_Laboratory\TimeZoneLab\TimeZoneLab</t>
  </si>
  <si>
    <t>C:\Users\DAVE\Documents\Visual Studio 2013\Projects\_Laboratory\TimeZoneLab\TimeZoneLab\bin\Debug</t>
  </si>
  <si>
    <t>C:\Users\DAVE\Documents\Visual Studio 2013\Projects\_Laboratory\TimeZoneLab\TimeZoneLab\bin\Release</t>
  </si>
  <si>
    <t>C:\Users\Public\Documents\H_DEASE\AI_PKG_400</t>
  </si>
  <si>
    <t>C:\Users\Public\Documents\H_DEASE\UTIL_from_ZAPHOD42</t>
  </si>
  <si>
    <t>C:\Users\Public\Documents\NOLANB\TASKS\Corrupted_HO_Logbase\distribution</t>
  </si>
  <si>
    <t>C:\Users\Public\Documents\NOLANB\TASKS\_PTI_Gate_2016\UTIL_Rock_Hill</t>
  </si>
  <si>
    <t>C:\Users\Public\Documents\NOLANB\_Installation_Packages\Remote\2014\20141010\AI_PKG_400</t>
  </si>
  <si>
    <t>C:\Users\Public\Documents\NOLANB\_Installation_Packages\UTIL_Reference</t>
  </si>
  <si>
    <t>C:\UTIL</t>
  </si>
  <si>
    <t>C:\Users\DAVE\Documents\Articles_2015\Console_Output_Magic\DLLServices2\DLLServices2\obj\Debug</t>
  </si>
  <si>
    <t>C:\Users\DAVE\Documents\Articles_2015\Console_Output_Magic\DLLServices2\DLLServices2\obj\Release</t>
  </si>
  <si>
    <t>C:\Users\DAVE\Documents\Programming\Visual_Studio_6\DLL\ProcessInfo\CDeclToStdCallMigrationTool\CDeclToStdCallMigrationTool\bin\Debug</t>
  </si>
  <si>
    <t>C:\Users\DAVE\Documents\Visual Studio 2013\Projects\Console_Apps\MassUpdateColorIndex\MassUpdateColorIndex\bin\Debug</t>
  </si>
  <si>
    <t>C:\Users\DAVE\Documents\Visual Studio 2013\Projects\Console_Apps\MassUpdateColorIndex\MassUpdateColorIndex\bin\Release</t>
  </si>
  <si>
    <t>C:\Users\DAVE\Documents\Visual Studio 2013\Projects\Console_Apps\MultiCat\MultiCat\bin\Debug</t>
  </si>
  <si>
    <t>C:\Users\DAVE\Documents\Visual Studio 2013\Projects\Console_Apps\NFiles\NFiles\bin\Debug</t>
  </si>
  <si>
    <t>C:\Users\DAVE\Documents\Visual Studio 2013\Projects\NOLANB\DataEaseDirectoryReader\DataEase\bin\Debug</t>
  </si>
  <si>
    <t>C:\Users\DAVE\Documents\Visual Studio 2013\Projects\NOLANB\DataEaseDirectoryReader\DataEase\bin\Release</t>
  </si>
  <si>
    <t>C:\Users\DAVE\Documents\Visual Studio 2013\Projects\NOLANB\EZPayWebPmtsNotifier\EZPayWebPmtsNotifier\bin\Debug</t>
  </si>
  <si>
    <t>C:\Users\DAVE\Documents\Visual Studio 2013\Projects\NOLANB\EZPayWebPmtsNotifier\EZPayWebPmtsNotifier\bin\Release</t>
  </si>
  <si>
    <t>C:\Users\DAVE\Documents\Visual Studio 2013\Projects\Tools_for_Programmers\BitView\BitView\bin\Debug</t>
  </si>
  <si>
    <t>C:\Users\DAVE\Documents\Visual Studio 2013\Projects\Tools_for_Programmers\MemView\MemView\bin\Debug</t>
  </si>
  <si>
    <t>C:\Users\DAVE\Documents\Visual Studio 2013\Projects\WizardWrx_Libs\DLLServices2\DLLServices2\obj\Debug</t>
  </si>
  <si>
    <t>C:\Users\DAVE\Documents\Visual Studio 2013\Projects\WizardWrx_Libs\DLLServices2\DLLServices2\obj\Release</t>
  </si>
  <si>
    <t>C:\Users\DAVE\Documents\Visual Studio 2013\Projects\WizardWrx_Libs\MailForAllApps\MailForAllApps\bin\Debug</t>
  </si>
  <si>
    <t>C:\Users\DAVE\Documents\Visual Studio 2013\Projects\WizardWrx_Libs\MailForAllApps\MailForAllApps\bin\Release</t>
  </si>
  <si>
    <t>C:\Users\DAVE\Documents\Visual Studio 2013\Projects\WizardWrx_Libs\SharedUtl4\FormatStringEngine\bin\Debug</t>
  </si>
  <si>
    <t>C:\Users\DAVE\Documents\Visual Studio 2013\Projects\WizardWrx_Libs\SharedUtl4\SharedUtl4\bin\Debug</t>
  </si>
  <si>
    <t>C:\Users\DAVE\Documents\Visual Studio 2013\Projects\WizardWrx_Libs\SharedUtl4\SharedUtl4\bin\Release</t>
  </si>
  <si>
    <t>C:\Users\DAVE\Documents\Visual Studio 2013\Projects\WizardWrx_Libs\WinFormsHelpers\WinFormsHelpers\bin\Debug</t>
  </si>
  <si>
    <t>C:\Users\DAVE\Documents\Visual Studio 2013\Projects\WizardWrx_Libs\WinFormsHelpers\WinFormsHelpers\bin\Release</t>
  </si>
  <si>
    <t>C:\Users\DAVE\Documents\Visual Studio 2013\Projects\WizardWrx_Libs\_Deprecated_Libraries\ApplicationHelpers3\ApplicationHelpers3\bin\Debug</t>
  </si>
  <si>
    <t>C:\Users\DAVE\Documents\Visual Studio 2013\Projects\WizardWrx_Libs\_Deprecated_Libraries\ApplicationHelpers3\ApplicationHelpers3\bin\Release</t>
  </si>
  <si>
    <t>C:\Users\DAVE\Documents\Visual Studio 2013\Projects\WizardWrx_Libs\_Deprecated_Libraries\DLLServices\AssemblyWithCfgFile\bin\Debug</t>
  </si>
  <si>
    <t>C:\Users\DAVE\Documents\Visual Studio 2013\Projects\WizardWrx_Libs\_Deprecated_Libraries\DLLServices\AssemblyWithCfgFile\bin\Release</t>
  </si>
  <si>
    <t>C:\Users\DAVE\Documents\Visual Studio 2013\Projects\WizardWrx_Libs\_Deprecated_Libraries\DLLServices\DLLServicesTestStand\bin\Debug</t>
  </si>
  <si>
    <t>C:\Users\DAVE\Documents\Visual Studio 2013\Projects\WizardWrx_Libs\_Deprecated_Libraries\DLLServices\DLLServicesTestStand\bin\Release</t>
  </si>
  <si>
    <t>C:\Users\DAVE\Documents\Visual Studio 2013\Projects\_Laboratory\ConsoleOutputSpeedTest\ConsoleOutputSpeedTest\bin\Release</t>
  </si>
  <si>
    <t>C:\Users\DAVE\Documents\Visual Studio 2013\Projects\_Laboratory\CSharp_Lab\bin\Debug</t>
  </si>
  <si>
    <t>C:\Users\DAVE\Documents\Visual Studio 2013\Projects\_Laboratory\CSharp_Lab\bin\x86\Debug</t>
  </si>
  <si>
    <t>C:\Users\DAVE\Documents\Visual Studio 2013\Projects\_Laboratory\CSharp_Lab\CSharp_Lab\bin\Debug</t>
  </si>
  <si>
    <t>C:\Users\DAVE\Documents\Visual Studio 2013\Projects\_Laboratory\CSharp_Lab\CSharp_Lab\bin\x86\Debug</t>
  </si>
  <si>
    <t>5.3.162.1712</t>
  </si>
  <si>
    <t>6.0.427.718</t>
  </si>
  <si>
    <t>5.5.233.30903</t>
  </si>
  <si>
    <t>6.1.434.5299</t>
  </si>
  <si>
    <t>5.7.294.23829</t>
  </si>
  <si>
    <t>5.0.77.1176</t>
  </si>
  <si>
    <t>5.1.159.35985</t>
  </si>
  <si>
    <t>6.0.411.33983</t>
  </si>
  <si>
    <t>5.1.153.41364</t>
  </si>
  <si>
    <t>5.8.335.24984</t>
  </si>
  <si>
    <t>6.2.455.41803</t>
  </si>
  <si>
    <t>6.2.456.314</t>
  </si>
  <si>
    <t>5.8.312.21884</t>
  </si>
  <si>
    <t>5.4.174.18276</t>
  </si>
  <si>
    <t>5.4.195.24210</t>
  </si>
  <si>
    <t>Config</t>
  </si>
  <si>
    <t>Legend</t>
  </si>
  <si>
    <t>Newest</t>
  </si>
  <si>
    <t>Next Newest</t>
  </si>
  <si>
    <t>Third Newest</t>
  </si>
  <si>
    <t>Copy in bin</t>
  </si>
  <si>
    <t>Swap the values of the RecoverablelExceptionTextColor and RecoverableExceptionBackgroundColor keys.</t>
  </si>
  <si>
    <t>Add a new key, DefaultWindowsEventSourceID, and set its value to that of my long established default event source ID.</t>
  </si>
  <si>
    <t>Internal documentation added.</t>
  </si>
  <si>
    <t>Configuration file created and tested.</t>
  </si>
  <si>
    <t>Revision Date</t>
  </si>
  <si>
    <t>Swap the foreground and background colors on the two RecoverablelException color properties so that the background color for fatal exceptions is red, while the background color for the recoverable exceptions is yellow. Hence, it is always the background color that distinguishes fatal and recoverable exceptions.</t>
  </si>
  <si>
    <t>Today</t>
  </si>
  <si>
    <t>Amend the formatting of this headnote to conform to my visual formatting convention, in preparation for making this version once again the reference version, and updating all production copies.</t>
  </si>
  <si>
    <t>Changes are UNMARKED, though clearly obsolete, and this file should be overwritten</t>
  </si>
  <si>
    <t>Cirrent Last_Modify</t>
  </si>
  <si>
    <t>Original Last_Modify</t>
  </si>
  <si>
    <t>Update</t>
  </si>
  <si>
    <t>Copy Command</t>
  </si>
  <si>
    <t>3.0</t>
  </si>
  <si>
    <t>2014-2016</t>
  </si>
  <si>
    <t>2012-2016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</si>
</sst>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hh:mm:ss"/>
    <numFmt numFmtId="165" formatCode="yyyy\/mm\/dd\ hh:mm"/>
  </numFmts>
  <fonts count="17" x14ac:knownFonts="1">
    <font>
      <sz val="11"/>
      <color theme="1"/>
      <name val="Consolas"/>
      <family val="2"/>
    </font>
    <font>
      <sz val="11"/>
      <color theme="1"/>
      <name val="Tahoma"/>
      <family val="2"/>
    </font>
    <font>
      <b/>
      <sz val="14"/>
      <color rgb="FF7030A0"/>
      <name val="Tahoma"/>
      <family val="2"/>
    </font>
    <font>
      <b/>
      <sz val="11"/>
      <color rgb="FF0000FF"/>
      <name val="Tahoma"/>
      <family val="2"/>
    </font>
    <font>
      <b/>
      <sz val="18"/>
      <color rgb="FF002060"/>
      <name val="Tahoma"/>
      <family val="2"/>
    </font>
    <font>
      <sz val="8"/>
      <color indexed="81"/>
      <name val="Tahoma"/>
      <family val="2"/>
    </font>
    <font>
      <b/>
      <sz val="8"/>
      <color indexed="81"/>
      <name val="Tahoma"/>
      <family val="2"/>
    </font>
    <font>
      <b/>
      <sz val="14"/>
      <color theme="8" tint="-0.499984740745262"/>
      <name val="Tahoma"/>
      <family val="2"/>
    </font>
    <font>
      <u/>
      <sz val="11"/>
      <color theme="10"/>
      <name val="Consolas"/>
      <family val="2"/>
    </font>
    <font>
      <b/>
      <sz val="14"/>
      <color theme="6" tint="-0.499984740745262"/>
      <name val="Tahoma"/>
      <family val="2"/>
    </font>
    <font>
      <b/>
      <sz val="18"/>
      <color theme="0" tint="-0.499984740745262"/>
      <name val="Tahoma"/>
      <family val="2"/>
    </font>
    <font>
      <sz val="8"/>
      <color theme="1"/>
      <name val="Tahoma"/>
      <family val="2"/>
    </font>
    <font>
      <b/>
      <sz val="14"/>
      <color rgb="FFFFC000"/>
      <name val="Tahoma"/>
      <family val="2"/>
    </font>
    <font>
      <b/>
      <sz val="14"/>
      <color rgb="FFFFFF00"/>
      <name val="Tahoma"/>
      <family val="2"/>
    </font>
    <font>
      <b/>
      <sz val="18"/>
      <color rgb="FFFFC000"/>
      <name val="Tahoma"/>
      <family val="2"/>
    </font>
    <font>
      <b/>
      <sz val="14"/>
      <color theme="1" tint="0.499984740745262"/>
      <name val="Tahoma"/>
      <family val="2"/>
    </font>
    <font>
      <sz val="11"/>
      <color rgb="FF0000FF"/>
      <name val="Tahoma"/>
      <family val="2"/>
    </font>
  </fonts>
  <fills count="11">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0070C0"/>
        <bgColor indexed="64"/>
      </patternFill>
    </fill>
    <fill>
      <patternFill patternType="solid">
        <fgColor rgb="FFFFFF00"/>
        <bgColor indexed="64"/>
      </patternFill>
    </fill>
    <fill>
      <patternFill patternType="solid">
        <fgColor rgb="FF7030A0"/>
        <bgColor indexed="64"/>
      </patternFill>
    </fill>
    <fill>
      <patternFill patternType="solid">
        <fgColor theme="0" tint="-0.14996795556505021"/>
        <bgColor indexed="64"/>
      </patternFill>
    </fill>
    <fill>
      <patternFill patternType="solid">
        <fgColor rgb="FFFFFFCC"/>
        <bgColor indexed="64"/>
      </patternFill>
    </fill>
    <fill>
      <patternFill patternType="solid">
        <fgColor rgb="FFFFC000"/>
        <bgColor indexed="64"/>
      </patternFill>
    </fill>
  </fills>
  <borders count="23">
    <border>
      <left/>
      <right/>
      <top/>
      <bottom/>
      <diagonal/>
    </border>
    <border>
      <left style="thin">
        <color rgb="FF7030A0"/>
      </left>
      <right style="thin">
        <color rgb="FF7030A0"/>
      </right>
      <top style="thin">
        <color rgb="FF7030A0"/>
      </top>
      <bottom style="thin">
        <color rgb="FF7030A0"/>
      </bottom>
      <diagonal/>
    </border>
    <border>
      <left style="thin">
        <color rgb="FF7030A0"/>
      </left>
      <right/>
      <top style="thin">
        <color rgb="FF7030A0"/>
      </top>
      <bottom style="thin">
        <color rgb="FF7030A0"/>
      </bottom>
      <diagonal/>
    </border>
    <border>
      <left/>
      <right/>
      <top style="thin">
        <color rgb="FF7030A0"/>
      </top>
      <bottom style="thin">
        <color rgb="FF7030A0"/>
      </bottom>
      <diagonal/>
    </border>
    <border>
      <left/>
      <right style="thin">
        <color rgb="FF7030A0"/>
      </right>
      <top style="thin">
        <color rgb="FF7030A0"/>
      </top>
      <bottom style="thin">
        <color rgb="FF7030A0"/>
      </bottom>
      <diagonal/>
    </border>
    <border>
      <left style="thin">
        <color theme="8" tint="-0.499984740745262"/>
      </left>
      <right style="thin">
        <color theme="8" tint="-0.499984740745262"/>
      </right>
      <top style="thin">
        <color theme="8" tint="-0.499984740745262"/>
      </top>
      <bottom style="thin">
        <color theme="8" tint="-0.499984740745262"/>
      </bottom>
      <diagonal/>
    </border>
    <border>
      <left style="thin">
        <color theme="6" tint="-0.499984740745262"/>
      </left>
      <right style="thin">
        <color theme="6" tint="-0.499984740745262"/>
      </right>
      <top style="thin">
        <color theme="6" tint="-0.499984740745262"/>
      </top>
      <bottom style="thin">
        <color theme="6" tint="-0.499984740745262"/>
      </bottom>
      <diagonal/>
    </border>
    <border>
      <left style="thin">
        <color theme="6" tint="-0.499984740745262"/>
      </left>
      <right/>
      <top style="thin">
        <color theme="6" tint="-0.499984740745262"/>
      </top>
      <bottom style="thin">
        <color theme="6" tint="-0.499984740745262"/>
      </bottom>
      <diagonal/>
    </border>
    <border>
      <left/>
      <right style="thin">
        <color theme="6" tint="-0.499984740745262"/>
      </right>
      <top style="thin">
        <color theme="6" tint="-0.499984740745262"/>
      </top>
      <bottom style="thin">
        <color theme="6" tint="-0.499984740745262"/>
      </bottom>
      <diagonal/>
    </border>
    <border>
      <left/>
      <right/>
      <top style="thin">
        <color theme="6" tint="-0.499984740745262"/>
      </top>
      <bottom style="thin">
        <color theme="6" tint="-0.499984740745262"/>
      </bottom>
      <diagonal/>
    </border>
    <border>
      <left style="thin">
        <color theme="6" tint="-0.499984740745262"/>
      </left>
      <right style="thin">
        <color theme="6" tint="-0.499984740745262"/>
      </right>
      <top style="thin">
        <color theme="6" tint="-0.499984740745262"/>
      </top>
      <bottom/>
      <diagonal/>
    </border>
    <border>
      <left style="thin">
        <color theme="6" tint="-0.499984740745262"/>
      </left>
      <right style="thin">
        <color theme="6" tint="-0.499984740745262"/>
      </right>
      <top/>
      <bottom style="thin">
        <color theme="6" tint="-0.499984740745262"/>
      </bottom>
      <diagonal/>
    </border>
    <border>
      <left style="thin">
        <color theme="6" tint="-0.499984740745262"/>
      </left>
      <right style="thin">
        <color theme="6" tint="-0.499984740745262"/>
      </right>
      <top/>
      <bottom/>
      <diagonal/>
    </border>
    <border>
      <left style="thin">
        <color rgb="FFFFFF00"/>
      </left>
      <right style="thin">
        <color rgb="FFFFFF00"/>
      </right>
      <top style="thin">
        <color rgb="FFFFFF00"/>
      </top>
      <bottom style="thin">
        <color rgb="FFFFFF00"/>
      </bottom>
      <diagonal/>
    </border>
    <border>
      <left style="thin">
        <color rgb="FF0070C0"/>
      </left>
      <right style="thin">
        <color rgb="FF0070C0"/>
      </right>
      <top style="thin">
        <color rgb="FFFFFF00"/>
      </top>
      <bottom style="thin">
        <color rgb="FF0070C0"/>
      </bottom>
      <diagonal/>
    </border>
    <border>
      <left style="thin">
        <color rgb="FF0070C0"/>
      </left>
      <right style="thin">
        <color rgb="FF0070C0"/>
      </right>
      <top style="thin">
        <color rgb="FF0070C0"/>
      </top>
      <bottom style="thin">
        <color rgb="FF0070C0"/>
      </bottom>
      <diagonal/>
    </border>
    <border>
      <left style="thin">
        <color rgb="FF7030A0"/>
      </left>
      <right style="thin">
        <color rgb="FF7030A0"/>
      </right>
      <top style="thin">
        <color rgb="FFFFFF00"/>
      </top>
      <bottom style="thin">
        <color rgb="FF7030A0"/>
      </bottom>
      <diagonal/>
    </border>
    <border>
      <left style="thin">
        <color rgb="FFFFFF00"/>
      </left>
      <right/>
      <top style="thin">
        <color rgb="FFFFFF00"/>
      </top>
      <bottom style="thin">
        <color rgb="FFFFFF00"/>
      </bottom>
      <diagonal/>
    </border>
    <border>
      <left/>
      <right style="thin">
        <color rgb="FFFFFF00"/>
      </right>
      <top style="thin">
        <color rgb="FFFFFF00"/>
      </top>
      <bottom style="thin">
        <color rgb="FFFFFF00"/>
      </bottom>
      <diagonal/>
    </border>
    <border>
      <left/>
      <right/>
      <top style="thin">
        <color rgb="FFFFFF00"/>
      </top>
      <bottom style="thin">
        <color rgb="FFFFFF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8" tint="-0.499984740745262"/>
      </left>
      <right/>
      <top style="thin">
        <color theme="8" tint="-0.499984740745262"/>
      </top>
      <bottom style="thin">
        <color theme="8" tint="-0.499984740745262"/>
      </bottom>
      <diagonal/>
    </border>
    <border>
      <left/>
      <right style="thin">
        <color theme="8" tint="-0.499984740745262"/>
      </right>
      <top style="thin">
        <color theme="8" tint="-0.499984740745262"/>
      </top>
      <bottom style="thin">
        <color theme="8" tint="-0.499984740745262"/>
      </bottom>
      <diagonal/>
    </border>
  </borders>
  <cellStyleXfs count="2">
    <xf numFmtId="0" fontId="0" fillId="0" borderId="0"/>
    <xf numFmtId="0" fontId="8" fillId="0" borderId="0" applyNumberFormat="0" applyFill="0" applyBorder="0" applyAlignment="0" applyProtection="0"/>
  </cellStyleXfs>
  <cellXfs count="91">
    <xf numFmtId="0" fontId="0" fillId="0" borderId="0" xfId="0"/>
    <xf numFmtId="0" fontId="2" fillId="2" borderId="1" xfId="0" applyFont="1" applyFill="1" applyBorder="1"/>
    <xf numFmtId="0" fontId="0" fillId="4" borderId="1" xfId="0" applyFill="1" applyBorder="1"/>
    <xf numFmtId="0" fontId="3" fillId="4" borderId="1" xfId="0" applyFont="1" applyFill="1" applyBorder="1"/>
    <xf numFmtId="0" fontId="0" fillId="4" borderId="1" xfId="0" quotePrefix="1" applyFill="1" applyBorder="1"/>
    <xf numFmtId="0" fontId="0" fillId="0" borderId="5" xfId="0" applyBorder="1"/>
    <xf numFmtId="0" fontId="1" fillId="0" borderId="5" xfId="0" applyFont="1" applyBorder="1"/>
    <xf numFmtId="0" fontId="7" fillId="3" borderId="5" xfId="0" applyFont="1" applyFill="1" applyBorder="1"/>
    <xf numFmtId="0" fontId="0" fillId="0" borderId="0" xfId="0" applyAlignment="1">
      <alignment vertical="top"/>
    </xf>
    <xf numFmtId="0" fontId="9" fillId="4" borderId="6" xfId="0" applyFont="1" applyFill="1" applyBorder="1" applyAlignment="1">
      <alignment vertical="top"/>
    </xf>
    <xf numFmtId="0" fontId="0" fillId="0" borderId="6" xfId="0" applyBorder="1" applyAlignment="1">
      <alignment vertical="top"/>
    </xf>
    <xf numFmtId="0" fontId="1" fillId="0" borderId="6" xfId="0" applyFont="1" applyBorder="1" applyAlignment="1">
      <alignment vertical="top"/>
    </xf>
    <xf numFmtId="0" fontId="8" fillId="0" borderId="6" xfId="1" applyBorder="1" applyAlignment="1">
      <alignment vertical="top"/>
    </xf>
    <xf numFmtId="0" fontId="1" fillId="0" borderId="6" xfId="0" applyFont="1" applyBorder="1" applyAlignment="1">
      <alignment vertical="top" wrapText="1"/>
    </xf>
    <xf numFmtId="0" fontId="10" fillId="4" borderId="9" xfId="0" applyFont="1" applyFill="1" applyBorder="1" applyAlignment="1">
      <alignment horizontal="center" vertical="top"/>
    </xf>
    <xf numFmtId="0" fontId="8" fillId="0" borderId="10" xfId="1" applyBorder="1" applyAlignment="1">
      <alignment vertical="top"/>
    </xf>
    <xf numFmtId="0" fontId="12" fillId="5" borderId="13" xfId="0" applyFont="1" applyFill="1" applyBorder="1"/>
    <xf numFmtId="0" fontId="12" fillId="5" borderId="13" xfId="0" applyFont="1" applyFill="1" applyBorder="1" applyAlignment="1">
      <alignment horizontal="right"/>
    </xf>
    <xf numFmtId="0" fontId="11" fillId="0" borderId="14" xfId="0" applyFont="1" applyBorder="1"/>
    <xf numFmtId="0" fontId="0" fillId="0" borderId="14" xfId="0" applyBorder="1"/>
    <xf numFmtId="3" fontId="0" fillId="0" borderId="14" xfId="0" applyNumberFormat="1" applyBorder="1"/>
    <xf numFmtId="164" fontId="0" fillId="0" borderId="14" xfId="0" applyNumberFormat="1" applyBorder="1"/>
    <xf numFmtId="0" fontId="11" fillId="0" borderId="15" xfId="0" applyFont="1" applyBorder="1"/>
    <xf numFmtId="0" fontId="0" fillId="0" borderId="15" xfId="0" applyBorder="1"/>
    <xf numFmtId="3" fontId="0" fillId="0" borderId="15" xfId="0" applyNumberFormat="1" applyBorder="1"/>
    <xf numFmtId="164" fontId="0" fillId="0" borderId="15" xfId="0" applyNumberFormat="1" applyBorder="1"/>
    <xf numFmtId="0" fontId="9" fillId="4" borderId="9" xfId="0" applyFont="1" applyFill="1" applyBorder="1" applyAlignment="1">
      <alignment vertical="top"/>
    </xf>
    <xf numFmtId="0" fontId="9" fillId="4" borderId="7" xfId="0" applyFont="1" applyFill="1" applyBorder="1" applyAlignment="1">
      <alignment vertical="top"/>
    </xf>
    <xf numFmtId="0" fontId="9" fillId="4" borderId="6" xfId="0" applyFont="1" applyFill="1" applyBorder="1" applyAlignment="1">
      <alignment vertical="top" wrapText="1"/>
    </xf>
    <xf numFmtId="0" fontId="0" fillId="6" borderId="5" xfId="0" applyFill="1" applyBorder="1"/>
    <xf numFmtId="0" fontId="0" fillId="0" borderId="1" xfId="0" applyFill="1" applyBorder="1"/>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1" fillId="0" borderId="10" xfId="0" applyFont="1" applyBorder="1" applyAlignment="1">
      <alignment vertical="top"/>
    </xf>
    <xf numFmtId="0" fontId="1" fillId="0" borderId="11" xfId="0" applyFont="1" applyBorder="1" applyAlignment="1">
      <alignment vertical="top"/>
    </xf>
    <xf numFmtId="0" fontId="10" fillId="4" borderId="7" xfId="0" applyFont="1" applyFill="1" applyBorder="1" applyAlignment="1">
      <alignment horizontal="center" vertical="top"/>
    </xf>
    <xf numFmtId="0" fontId="10" fillId="4" borderId="9" xfId="0" applyFont="1" applyFill="1" applyBorder="1" applyAlignment="1">
      <alignment horizontal="center" vertical="top"/>
    </xf>
    <xf numFmtId="0" fontId="10" fillId="4" borderId="8" xfId="0" applyFont="1" applyFill="1" applyBorder="1" applyAlignment="1">
      <alignment horizontal="center" vertical="top"/>
    </xf>
    <xf numFmtId="0" fontId="1" fillId="0" borderId="10" xfId="0" applyFont="1" applyBorder="1" applyAlignment="1">
      <alignment vertical="top" wrapText="1"/>
    </xf>
    <xf numFmtId="0" fontId="1" fillId="0" borderId="11" xfId="0" applyFont="1" applyBorder="1" applyAlignment="1">
      <alignment vertical="top" wrapText="1"/>
    </xf>
    <xf numFmtId="0" fontId="8" fillId="0" borderId="12" xfId="1" applyBorder="1" applyAlignment="1">
      <alignment vertical="top"/>
    </xf>
    <xf numFmtId="0" fontId="8" fillId="0" borderId="11" xfId="1" applyBorder="1" applyAlignment="1">
      <alignment vertical="top"/>
    </xf>
    <xf numFmtId="0" fontId="9" fillId="4" borderId="7" xfId="0" applyFont="1" applyFill="1" applyBorder="1" applyAlignment="1">
      <alignment horizontal="center" vertical="top"/>
    </xf>
    <xf numFmtId="0" fontId="9" fillId="4" borderId="8" xfId="0" applyFont="1" applyFill="1" applyBorder="1" applyAlignment="1">
      <alignment horizontal="center" vertical="top"/>
    </xf>
    <xf numFmtId="0" fontId="8" fillId="0" borderId="10" xfId="1" applyBorder="1" applyAlignment="1">
      <alignment vertical="top"/>
    </xf>
    <xf numFmtId="0" fontId="9" fillId="4" borderId="10" xfId="0" applyFont="1" applyFill="1" applyBorder="1" applyAlignment="1"/>
    <xf numFmtId="0" fontId="9" fillId="4" borderId="11" xfId="0" applyFont="1" applyFill="1" applyBorder="1" applyAlignment="1"/>
    <xf numFmtId="0" fontId="13" fillId="7" borderId="13" xfId="0" applyFont="1" applyFill="1" applyBorder="1"/>
    <xf numFmtId="0" fontId="0" fillId="0" borderId="16" xfId="0" applyBorder="1"/>
    <xf numFmtId="0" fontId="3" fillId="0" borderId="16" xfId="0" applyFont="1" applyBorder="1"/>
    <xf numFmtId="0" fontId="14" fillId="7" borderId="17" xfId="0" applyFont="1" applyFill="1" applyBorder="1" applyAlignment="1">
      <alignment horizontal="center"/>
    </xf>
    <xf numFmtId="0" fontId="14" fillId="7" borderId="18" xfId="0" applyFont="1" applyFill="1" applyBorder="1" applyAlignment="1">
      <alignment horizontal="center"/>
    </xf>
    <xf numFmtId="165" fontId="0" fillId="0" borderId="16" xfId="0" applyNumberFormat="1" applyBorder="1"/>
    <xf numFmtId="0" fontId="14" fillId="7" borderId="17" xfId="0" applyFont="1" applyFill="1" applyBorder="1" applyAlignment="1">
      <alignment horizontal="center"/>
    </xf>
    <xf numFmtId="0" fontId="14" fillId="7" borderId="19" xfId="0" applyFont="1" applyFill="1" applyBorder="1" applyAlignment="1">
      <alignment horizontal="center"/>
    </xf>
    <xf numFmtId="49" fontId="13" fillId="7" borderId="13" xfId="0" applyNumberFormat="1" applyFont="1" applyFill="1" applyBorder="1"/>
    <xf numFmtId="49" fontId="0" fillId="0" borderId="16" xfId="0" applyNumberFormat="1" applyBorder="1"/>
    <xf numFmtId="0" fontId="15" fillId="8" borderId="20" xfId="0" applyFont="1" applyFill="1" applyBorder="1"/>
    <xf numFmtId="0" fontId="15" fillId="8" borderId="20" xfId="0" applyFont="1" applyFill="1" applyBorder="1" applyAlignment="1">
      <alignment horizontal="left"/>
    </xf>
    <xf numFmtId="0" fontId="15" fillId="8" borderId="20" xfId="0" applyFont="1" applyFill="1" applyBorder="1" applyAlignment="1">
      <alignment horizontal="right"/>
    </xf>
    <xf numFmtId="0" fontId="11" fillId="0" borderId="20" xfId="0" applyFont="1" applyBorder="1"/>
    <xf numFmtId="0" fontId="0" fillId="0" borderId="20" xfId="0" applyBorder="1"/>
    <xf numFmtId="3" fontId="0" fillId="0" borderId="20" xfId="0" applyNumberFormat="1" applyBorder="1"/>
    <xf numFmtId="164" fontId="0" fillId="0" borderId="20" xfId="0" applyNumberFormat="1" applyBorder="1"/>
    <xf numFmtId="0" fontId="7" fillId="3" borderId="5" xfId="0" applyFont="1" applyFill="1" applyBorder="1" applyAlignment="1">
      <alignment vertical="top"/>
    </xf>
    <xf numFmtId="0" fontId="3" fillId="4" borderId="5" xfId="0" applyFont="1" applyFill="1" applyBorder="1" applyAlignment="1">
      <alignment vertical="top"/>
    </xf>
    <xf numFmtId="164" fontId="3" fillId="4" borderId="5" xfId="0" applyNumberFormat="1" applyFont="1" applyFill="1" applyBorder="1" applyAlignment="1">
      <alignment horizontal="left" vertical="top"/>
    </xf>
    <xf numFmtId="0" fontId="3" fillId="2" borderId="5" xfId="0" applyFont="1" applyFill="1" applyBorder="1" applyAlignment="1">
      <alignment vertical="top"/>
    </xf>
    <xf numFmtId="164" fontId="3" fillId="2" borderId="5" xfId="0" applyNumberFormat="1" applyFont="1" applyFill="1" applyBorder="1" applyAlignment="1">
      <alignment horizontal="left" vertical="top"/>
    </xf>
    <xf numFmtId="0" fontId="3" fillId="9" borderId="5" xfId="0" applyFont="1" applyFill="1" applyBorder="1" applyAlignment="1">
      <alignment vertical="top"/>
    </xf>
    <xf numFmtId="164" fontId="3" fillId="9" borderId="5" xfId="0" applyNumberFormat="1" applyFont="1" applyFill="1" applyBorder="1" applyAlignment="1">
      <alignment horizontal="left" vertical="top"/>
    </xf>
    <xf numFmtId="0" fontId="3" fillId="10" borderId="5" xfId="0" applyFont="1" applyFill="1" applyBorder="1" applyAlignment="1">
      <alignment vertical="top"/>
    </xf>
    <xf numFmtId="164" fontId="3" fillId="10" borderId="5" xfId="0" applyNumberFormat="1" applyFont="1" applyFill="1" applyBorder="1" applyAlignment="1">
      <alignment horizontal="left" vertical="top"/>
    </xf>
    <xf numFmtId="0" fontId="3" fillId="0" borderId="5" xfId="0" applyFont="1" applyFill="1" applyBorder="1" applyAlignment="1">
      <alignment vertical="top"/>
    </xf>
    <xf numFmtId="164" fontId="3" fillId="0" borderId="5" xfId="0" applyNumberFormat="1" applyFont="1" applyFill="1" applyBorder="1" applyAlignment="1">
      <alignment horizontal="left" vertical="top"/>
    </xf>
    <xf numFmtId="0" fontId="7" fillId="3" borderId="5" xfId="0" applyFont="1" applyFill="1" applyBorder="1" applyAlignment="1">
      <alignment horizontal="right" vertical="top"/>
    </xf>
    <xf numFmtId="0" fontId="11" fillId="0" borderId="5" xfId="0" applyFont="1" applyBorder="1" applyAlignment="1">
      <alignment vertical="top"/>
    </xf>
    <xf numFmtId="3" fontId="0" fillId="0" borderId="5" xfId="0" applyNumberFormat="1" applyBorder="1" applyAlignment="1">
      <alignment vertical="top"/>
    </xf>
    <xf numFmtId="164" fontId="0" fillId="0" borderId="5" xfId="0" applyNumberFormat="1" applyBorder="1" applyAlignment="1">
      <alignment vertical="top"/>
    </xf>
    <xf numFmtId="0" fontId="16" fillId="9" borderId="21" xfId="0" applyFont="1" applyFill="1" applyBorder="1" applyAlignment="1">
      <alignment vertical="top" wrapText="1"/>
    </xf>
    <xf numFmtId="0" fontId="16" fillId="9" borderId="22" xfId="0" applyFont="1" applyFill="1" applyBorder="1" applyAlignment="1">
      <alignment vertical="top" wrapText="1"/>
    </xf>
    <xf numFmtId="0" fontId="16" fillId="10" borderId="21" xfId="0" applyFont="1" applyFill="1" applyBorder="1" applyAlignment="1">
      <alignment vertical="top" wrapText="1"/>
    </xf>
    <xf numFmtId="0" fontId="16" fillId="10" borderId="22" xfId="0" applyFont="1" applyFill="1" applyBorder="1" applyAlignment="1">
      <alignment vertical="top" wrapText="1"/>
    </xf>
    <xf numFmtId="0" fontId="16" fillId="0" borderId="5" xfId="0" applyFont="1" applyFill="1" applyBorder="1" applyAlignment="1">
      <alignment vertical="top" wrapText="1"/>
    </xf>
    <xf numFmtId="0" fontId="3" fillId="4" borderId="21" xfId="0" applyFont="1" applyFill="1" applyBorder="1" applyAlignment="1">
      <alignment vertical="top" wrapText="1"/>
    </xf>
    <xf numFmtId="0" fontId="3" fillId="4" borderId="22" xfId="0" applyFont="1" applyFill="1" applyBorder="1" applyAlignment="1">
      <alignment vertical="top" wrapText="1"/>
    </xf>
    <xf numFmtId="0" fontId="3" fillId="2" borderId="21" xfId="0" applyFont="1" applyFill="1" applyBorder="1" applyAlignment="1">
      <alignment vertical="top" wrapText="1"/>
    </xf>
    <xf numFmtId="0" fontId="3" fillId="2" borderId="22" xfId="0" applyFont="1" applyFill="1" applyBorder="1" applyAlignment="1">
      <alignment vertical="top" wrapText="1"/>
    </xf>
    <xf numFmtId="0" fontId="3" fillId="0" borderId="5" xfId="0" applyFont="1" applyBorder="1" applyAlignment="1">
      <alignment vertical="top"/>
    </xf>
    <xf numFmtId="0" fontId="1" fillId="0" borderId="20" xfId="0" applyFont="1" applyBorder="1"/>
  </cellXfs>
  <cellStyles count="2">
    <cellStyle name="Hyperlink" xfId="1" builtinId="8"/>
    <cellStyle name="Normal" xfId="0" builtinId="0"/>
  </cellStyles>
  <dxfs count="185">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6" tint="0.79998168889431442"/>
        </patternFill>
      </fill>
    </dxf>
    <dxf>
      <fill>
        <patternFill patternType="lightGray"/>
      </fill>
    </dxf>
    <dxf>
      <fill>
        <patternFill patternType="lightGray"/>
      </fill>
    </dxf>
    <dxf>
      <fill>
        <patternFill patternType="lightGray"/>
      </fill>
    </dxf>
    <dxf>
      <fill>
        <patternFill patternType="lightGray"/>
      </fill>
    </dxf>
    <dxf>
      <fill>
        <patternFill>
          <bgColor theme="6"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ont>
        <color rgb="FF0000FF"/>
      </font>
      <fill>
        <patternFill>
          <bgColor theme="3"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ont>
        <color rgb="FF0000FF"/>
      </font>
      <fill>
        <patternFill>
          <bgColor theme="3"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ont>
        <color rgb="FF0000FF"/>
      </font>
      <fill>
        <patternFill>
          <bgColor theme="3"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ont>
        <color rgb="FF0000FF"/>
      </font>
      <fill>
        <patternFill>
          <bgColor theme="3"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ont>
        <color rgb="FF0000FF"/>
      </font>
      <fill>
        <patternFill>
          <bgColor theme="3"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ont>
        <color rgb="FF0000FF"/>
      </font>
      <fill>
        <patternFill>
          <bgColor theme="3"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ont>
        <color rgb="FF0000FF"/>
      </font>
      <fill>
        <patternFill>
          <bgColor theme="3"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ill>
        <patternFill>
          <bgColor theme="5" tint="0.79998168889431442"/>
        </patternFill>
      </fill>
    </dxf>
    <dxf>
      <fill>
        <patternFill>
          <bgColor theme="6" tint="0.79998168889431442"/>
        </patternFill>
      </fill>
    </dxf>
    <dxf>
      <fill>
        <patternFill>
          <bgColor rgb="FFFFFFCC"/>
        </patternFill>
      </fill>
    </dxf>
    <dxf>
      <fill>
        <patternFill>
          <bgColor theme="5" tint="0.79998168889431442"/>
        </patternFill>
      </fill>
    </dxf>
    <dxf>
      <fill>
        <patternFill>
          <bgColor theme="6" tint="0.79998168889431442"/>
        </patternFill>
      </fill>
    </dxf>
    <dxf>
      <fill>
        <patternFill>
          <bgColor rgb="FFFFFFCC"/>
        </patternFill>
      </fill>
    </dxf>
    <dxf>
      <fill>
        <patternFill>
          <bgColor theme="5" tint="0.79998168889431442"/>
        </patternFill>
      </fill>
    </dxf>
    <dxf>
      <fill>
        <patternFill>
          <bgColor theme="6" tint="0.79998168889431442"/>
        </patternFill>
      </fill>
    </dxf>
    <dxf>
      <fill>
        <patternFill>
          <bgColor rgb="FFFFFFCC"/>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ont>
        <color rgb="FF0000FF"/>
      </font>
      <fill>
        <patternFill>
          <bgColor theme="3" tint="0.79998168889431442"/>
        </patternFill>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6" tint="0.79998168889431442"/>
        </patternFill>
      </fill>
    </dxf>
    <dxf>
      <fill>
        <patternFill>
          <bgColor theme="6" tint="0.79998168889431442"/>
        </patternFill>
      </fill>
    </dxf>
    <dxf>
      <fill>
        <patternFill>
          <bgColor theme="9" tint="0.79998168889431442"/>
        </patternFill>
      </fill>
    </dxf>
    <dxf>
      <fill>
        <patternFill>
          <bgColor theme="6" tint="0.79998168889431442"/>
        </patternFill>
      </fill>
    </dxf>
    <dxf>
      <fill>
        <patternFill>
          <bgColor theme="9" tint="0.79998168889431442"/>
        </patternFill>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lightGray"/>
      </fill>
    </dxf>
    <dxf>
      <fill>
        <patternFill patternType="lightGray"/>
      </fill>
    </dxf>
    <dxf>
      <fill>
        <patternFill patternType="lightGray"/>
      </fill>
    </dxf>
    <dxf>
      <fill>
        <patternFill patternType="lightGray"/>
      </fill>
    </dxf>
    <dxf>
      <fill>
        <patternFill>
          <bgColor theme="6"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ont>
        <color rgb="FF0000FF"/>
      </font>
      <fill>
        <patternFill>
          <bgColor theme="3"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ont>
        <color rgb="FF0000FF"/>
      </font>
      <fill>
        <patternFill>
          <bgColor theme="3"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ont>
        <color rgb="FF0000FF"/>
      </font>
      <fill>
        <patternFill>
          <bgColor theme="3"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ont>
        <color rgb="FF0000FF"/>
      </font>
      <fill>
        <patternFill>
          <bgColor theme="3"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ont>
        <color rgb="FF0000FF"/>
      </font>
      <fill>
        <patternFill>
          <bgColor theme="3"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ont>
        <color rgb="FF0000FF"/>
      </font>
      <fill>
        <patternFill>
          <bgColor theme="3"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
      <font>
        <color rgb="FF0000FF"/>
      </font>
      <fill>
        <patternFill>
          <bgColor theme="3" tint="0.79998168889431442"/>
        </patternFill>
      </fill>
    </dxf>
    <dxf>
      <fill>
        <patternFill>
          <bgColor theme="5" tint="0.79998168889431442"/>
        </patternFill>
      </fill>
    </dxf>
    <dxf>
      <fill>
        <patternFill>
          <bgColor theme="6" tint="0.79998168889431442"/>
        </patternFill>
      </fill>
    </dxf>
    <dxf>
      <fill>
        <patternFill>
          <bgColor rgb="FFFFFFCC"/>
        </patternFill>
      </fill>
    </dxf>
    <dxf>
      <fill>
        <patternFill>
          <bgColor rgb="FFFFC000"/>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n/Excel_AddIns/P6CXLSLib3.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StringTests True-False Samples"/>
      <sheetName val="Other Samples"/>
      <sheetName val="VER_STRING_NAME_P6C"/>
    </sheetNames>
    <definedNames>
      <definedName name="dtmFileDateInfo"/>
      <definedName name="GetFolder"/>
      <definedName name="QuoteSpaces"/>
    </defined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msdn.microsoft.com/en-us/library/dwhawy9k(v=vs.110).aspx" TargetMode="External"/><Relationship Id="rId3" Type="http://schemas.openxmlformats.org/officeDocument/2006/relationships/hyperlink" Target="https://msdn.microsoft.com/en-us/library/dwhawy9k(v=vs.100).aspx" TargetMode="External"/><Relationship Id="rId7" Type="http://schemas.openxmlformats.org/officeDocument/2006/relationships/hyperlink" Target="https://msdn.microsoft.com/en-us/library/dwhawy9k(v=vs.110).aspx" TargetMode="External"/><Relationship Id="rId2" Type="http://schemas.openxmlformats.org/officeDocument/2006/relationships/hyperlink" Target="https://msdn.microsoft.com/en-us/library/dwhawy9k(v=vs.110).aspx" TargetMode="External"/><Relationship Id="rId1" Type="http://schemas.openxmlformats.org/officeDocument/2006/relationships/hyperlink" Target="https://msdn.microsoft.com/en-us/library/dwhawy9k(v=vs.100).aspx" TargetMode="External"/><Relationship Id="rId6" Type="http://schemas.openxmlformats.org/officeDocument/2006/relationships/hyperlink" Target="https://msdn.microsoft.com/en-us/library/dwhawy9k(v=vs.110).aspx" TargetMode="External"/><Relationship Id="rId5" Type="http://schemas.openxmlformats.org/officeDocument/2006/relationships/hyperlink" Target="https://msdn.microsoft.com/en-us/library/dwhawy9k(v=vs.110).aspx" TargetMode="External"/><Relationship Id="rId10" Type="http://schemas.openxmlformats.org/officeDocument/2006/relationships/printerSettings" Target="../printerSettings/printerSettings3.bin"/><Relationship Id="rId4" Type="http://schemas.openxmlformats.org/officeDocument/2006/relationships/hyperlink" Target="https://msdn.microsoft.com/en-us/library/dwhawy9k(v=vs.110).aspx" TargetMode="External"/><Relationship Id="rId9" Type="http://schemas.openxmlformats.org/officeDocument/2006/relationships/hyperlink" Target="https://msdn.microsoft.com/en-us/library/dwhawy9k(v=vs.110).asp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36"/>
  <sheetViews>
    <sheetView tabSelected="1" topLeftCell="D1" workbookViewId="0">
      <selection activeCell="E7" sqref="E7"/>
    </sheetView>
  </sheetViews>
  <sheetFormatPr defaultRowHeight="15" x14ac:dyDescent="0.25"/>
  <cols>
    <col min="1" max="1" width="46" bestFit="1" customWidth="1"/>
    <col min="2" max="2" width="37.125" bestFit="1" customWidth="1"/>
    <col min="3" max="3" width="6.875" bestFit="1" customWidth="1"/>
    <col min="4" max="4" width="38.75" bestFit="1" customWidth="1"/>
    <col min="5" max="5" width="50.125" bestFit="1" customWidth="1"/>
    <col min="6" max="6" width="21.25" bestFit="1" customWidth="1"/>
    <col min="7" max="7" width="28.375" bestFit="1" customWidth="1"/>
    <col min="8" max="8" width="55.25" bestFit="1" customWidth="1"/>
    <col min="9" max="9" width="25.625" bestFit="1" customWidth="1"/>
    <col min="10" max="10" width="14" bestFit="1" customWidth="1"/>
    <col min="11" max="11" width="21.125" bestFit="1" customWidth="1"/>
  </cols>
  <sheetData>
    <row r="1" spans="1:19" ht="22.5" x14ac:dyDescent="0.3">
      <c r="A1" s="31" t="s">
        <v>2</v>
      </c>
      <c r="B1" s="32"/>
      <c r="C1" s="32"/>
      <c r="D1" s="33"/>
      <c r="E1" s="31" t="s">
        <v>7</v>
      </c>
      <c r="F1" s="32"/>
      <c r="G1" s="32"/>
      <c r="H1" s="33"/>
      <c r="I1" s="31" t="s">
        <v>21</v>
      </c>
      <c r="J1" s="32"/>
      <c r="K1" s="33"/>
      <c r="L1" s="1"/>
      <c r="M1" s="1"/>
      <c r="N1" s="1"/>
      <c r="O1" s="1"/>
      <c r="P1" s="1"/>
      <c r="Q1" s="1"/>
      <c r="R1" s="1"/>
      <c r="S1" s="1"/>
    </row>
    <row r="2" spans="1:19" ht="18" x14ac:dyDescent="0.25">
      <c r="A2" s="1" t="s">
        <v>3</v>
      </c>
      <c r="B2" s="1" t="s">
        <v>4</v>
      </c>
      <c r="C2" s="1" t="s">
        <v>6</v>
      </c>
      <c r="D2" s="1" t="s">
        <v>5</v>
      </c>
      <c r="E2" s="1" t="s">
        <v>3</v>
      </c>
      <c r="F2" s="1" t="s">
        <v>8</v>
      </c>
      <c r="G2" s="1" t="s">
        <v>9</v>
      </c>
      <c r="H2" s="1" t="s">
        <v>5</v>
      </c>
      <c r="I2" s="1" t="s">
        <v>22</v>
      </c>
      <c r="J2" s="1" t="s">
        <v>23</v>
      </c>
      <c r="K2" s="1" t="s">
        <v>24</v>
      </c>
      <c r="L2" s="1"/>
      <c r="M2" s="1"/>
      <c r="N2" s="1"/>
      <c r="O2" s="1"/>
      <c r="P2" s="1"/>
      <c r="Q2" s="1"/>
      <c r="R2" s="1"/>
      <c r="S2" s="1"/>
    </row>
    <row r="3" spans="1:19" x14ac:dyDescent="0.25">
      <c r="A3" s="2" t="s">
        <v>203</v>
      </c>
      <c r="B3" s="30" t="str">
        <f>IF(ISBLANK(A3),"",RIGHT(A3,LEN(A3)-FIND(".",A3)))</f>
        <v>GENERAL</v>
      </c>
      <c r="C3" s="2" t="s">
        <v>13</v>
      </c>
      <c r="D3" s="2" t="s">
        <v>87</v>
      </c>
      <c r="E3" s="30" t="str">
        <f>IF(OR(ISBLANK(F3),ISBLANK(G3)),"",CONCATENATE(F3,".",G3))</f>
        <v>NumericFormats.GENERAL_UC</v>
      </c>
      <c r="F3" s="2" t="s">
        <v>40</v>
      </c>
      <c r="G3" s="2" t="s">
        <v>89</v>
      </c>
      <c r="H3" s="2" t="str">
        <f>IF(ISBLANK(D3),"",D3)</f>
        <v>G</v>
      </c>
      <c r="I3" s="3" t="s">
        <v>32</v>
      </c>
      <c r="J3" s="3" t="s">
        <v>33</v>
      </c>
      <c r="K3" s="3" t="s">
        <v>191</v>
      </c>
      <c r="L3" s="2"/>
      <c r="M3" s="2"/>
      <c r="N3" s="2"/>
      <c r="O3" s="2"/>
      <c r="P3" s="2"/>
      <c r="Q3" s="2"/>
      <c r="R3" s="2"/>
      <c r="S3" s="2"/>
    </row>
    <row r="4" spans="1:19" x14ac:dyDescent="0.25">
      <c r="A4" s="2" t="s">
        <v>204</v>
      </c>
      <c r="B4" s="30" t="str">
        <f>IF(ISBLANK(A4),"",RIGHT(A4,LEN(A4)-FIND(".",A4)))</f>
        <v>HEXADECIMAL</v>
      </c>
      <c r="C4" s="2" t="s">
        <v>13</v>
      </c>
      <c r="D4" s="2" t="s">
        <v>119</v>
      </c>
      <c r="E4" s="30" t="str">
        <f>IF(OR(ISBLANK(F4),ISBLANK(G4)),"",CONCATENATE(F4,".",G4))</f>
        <v>NumericFormats.HEXADECIMAL_UC</v>
      </c>
      <c r="F4" s="2" t="str">
        <f>F3</f>
        <v>NumericFormats</v>
      </c>
      <c r="G4" s="2" t="s">
        <v>117</v>
      </c>
      <c r="H4" s="2" t="str">
        <f>IF(ISBLANK(D4),"",D4)</f>
        <v>X</v>
      </c>
      <c r="I4" s="3" t="s">
        <v>32</v>
      </c>
      <c r="J4" s="3" t="s">
        <v>33</v>
      </c>
      <c r="K4" s="3" t="s">
        <v>32</v>
      </c>
      <c r="L4" s="2"/>
      <c r="M4" s="2"/>
      <c r="N4" s="2"/>
      <c r="O4" s="2"/>
      <c r="P4" s="2"/>
      <c r="Q4" s="2"/>
      <c r="R4" s="2"/>
      <c r="S4" s="2"/>
    </row>
    <row r="5" spans="1:19" x14ac:dyDescent="0.25">
      <c r="A5" s="2" t="s">
        <v>14</v>
      </c>
      <c r="B5" s="30" t="str">
        <f>IF(ISBLANK(A5),"",RIGHT(A5,LEN(A5)-FIND(".",A5)))</f>
        <v>ARRAY_FIRST_ELEMENT</v>
      </c>
      <c r="C5" s="2" t="s">
        <v>18</v>
      </c>
      <c r="D5" s="2">
        <v>0</v>
      </c>
      <c r="E5" s="30" t="str">
        <f>IF(OR(ISBLANK(F5),ISBLANK(G5)),"",CONCATENATE(F5,".",G5))</f>
        <v>ArrayInfo.ARRAY_FIRST_ELEMENT</v>
      </c>
      <c r="F5" s="2" t="s">
        <v>15</v>
      </c>
      <c r="G5" s="2" t="s">
        <v>16</v>
      </c>
      <c r="H5" s="2">
        <f>IF(ISBLANK(D5),"",D5)</f>
        <v>0</v>
      </c>
      <c r="I5" s="3" t="s">
        <v>25</v>
      </c>
      <c r="J5" s="3" t="s">
        <v>26</v>
      </c>
      <c r="K5" s="3" t="s">
        <v>33</v>
      </c>
      <c r="L5" s="2"/>
      <c r="M5" s="2"/>
      <c r="N5" s="2"/>
      <c r="O5" s="2"/>
      <c r="P5" s="2"/>
      <c r="Q5" s="2"/>
      <c r="R5" s="2"/>
      <c r="S5" s="2"/>
    </row>
    <row r="6" spans="1:19" x14ac:dyDescent="0.25">
      <c r="A6" s="2" t="s">
        <v>193</v>
      </c>
      <c r="B6" s="30" t="str">
        <f>IF(ISBLANK(A6),"",RIGHT(A6,LEN(A6)-FIND(".",A6)))</f>
        <v>ARRAY_INVALID_INDEX</v>
      </c>
      <c r="C6" s="2" t="s">
        <v>18</v>
      </c>
      <c r="D6" s="2">
        <v>-1</v>
      </c>
      <c r="E6" s="30" t="str">
        <f>IF(OR(ISBLANK(F6),ISBLANK(G6)),"",CONCATENATE(F6,".",G6))</f>
        <v>ArrayInfo.ARRAY_INVALID_INDEX</v>
      </c>
      <c r="F6" s="2" t="s">
        <v>15</v>
      </c>
      <c r="G6" s="2" t="str">
        <f>IF(ISBLANK(F6),"",B6)</f>
        <v>ARRAY_INVALID_INDEX</v>
      </c>
      <c r="H6" s="2">
        <f>IF(ISBLANK(D6),"",D6)</f>
        <v>-1</v>
      </c>
      <c r="I6" s="3" t="s">
        <v>32</v>
      </c>
      <c r="J6" s="3" t="s">
        <v>33</v>
      </c>
      <c r="K6" s="3" t="s">
        <v>191</v>
      </c>
      <c r="L6" s="2"/>
      <c r="M6" s="2"/>
      <c r="N6" s="2"/>
      <c r="O6" s="2"/>
      <c r="P6" s="2"/>
      <c r="Q6" s="2"/>
      <c r="R6" s="2"/>
      <c r="S6" s="2"/>
    </row>
    <row r="7" spans="1:19" x14ac:dyDescent="0.25">
      <c r="A7" s="2" t="s">
        <v>189</v>
      </c>
      <c r="B7" s="30" t="str">
        <f>IF(ISBLANK(A7),"",RIGHT(A7,LEN(A7)-FIND(".",A7)))</f>
        <v>ARRAY_LIST_ORDINAL_TO_SUBSCRIPT</v>
      </c>
      <c r="C7" s="2" t="s">
        <v>18</v>
      </c>
      <c r="D7" s="2">
        <v>1</v>
      </c>
      <c r="E7" s="30" t="str">
        <f>IF(OR(ISBLANK(F7),ISBLANK(G7)),"",CONCATENATE(F7,".",G7))</f>
        <v>ArrayInfo.INDEX_FROM_ORDINAL</v>
      </c>
      <c r="F7" s="2" t="s">
        <v>15</v>
      </c>
      <c r="G7" s="2" t="s">
        <v>190</v>
      </c>
      <c r="H7" s="2">
        <f>IF(ISBLANK(D7),"",D7)</f>
        <v>1</v>
      </c>
      <c r="I7" s="3" t="s">
        <v>32</v>
      </c>
      <c r="J7" s="3" t="s">
        <v>33</v>
      </c>
      <c r="K7" s="3" t="s">
        <v>191</v>
      </c>
      <c r="L7" s="2"/>
      <c r="M7" s="2"/>
      <c r="N7" s="2"/>
      <c r="O7" s="2"/>
      <c r="P7" s="2"/>
      <c r="Q7" s="2"/>
      <c r="R7" s="2"/>
      <c r="S7" s="2"/>
    </row>
    <row r="8" spans="1:19" x14ac:dyDescent="0.25">
      <c r="A8" s="2" t="s">
        <v>194</v>
      </c>
      <c r="B8" s="30" t="str">
        <f>IF(ISBLANK(A8),"",RIGHT(A8,LEN(A8)-FIND(".",A8)))</f>
        <v>DLM_PIPE</v>
      </c>
      <c r="C8" s="2" t="s">
        <v>28</v>
      </c>
      <c r="D8" s="2" t="s">
        <v>195</v>
      </c>
      <c r="E8" s="30" t="str">
        <f>IF(OR(ISBLANK(F8),ISBLANK(G8)),"",CONCATENATE(F8,".",G8))</f>
        <v>SpecialCharacters.PIPE_CHAR</v>
      </c>
      <c r="F8" s="2" t="s">
        <v>31</v>
      </c>
      <c r="G8" s="2" t="s">
        <v>196</v>
      </c>
      <c r="H8" s="2" t="str">
        <f>IF(ISBLANK(D8),"",D8)</f>
        <v>|</v>
      </c>
      <c r="I8" s="3" t="s">
        <v>32</v>
      </c>
      <c r="J8" s="3" t="s">
        <v>33</v>
      </c>
      <c r="K8" s="3" t="s">
        <v>191</v>
      </c>
      <c r="L8" s="2"/>
      <c r="M8" s="2"/>
      <c r="N8" s="2"/>
      <c r="O8" s="2"/>
      <c r="P8" s="2"/>
      <c r="Q8" s="2"/>
      <c r="R8" s="2"/>
      <c r="S8" s="2"/>
    </row>
    <row r="9" spans="1:19" x14ac:dyDescent="0.25">
      <c r="A9" s="2" t="s">
        <v>200</v>
      </c>
      <c r="B9" s="30" t="str">
        <f>IF(ISBLANK(A9),"",RIGHT(A9,LEN(A9)-FIND(".",A9)))</f>
        <v>EMPTY_STRING</v>
      </c>
      <c r="C9" s="2" t="s">
        <v>13</v>
      </c>
      <c r="D9" s="2" t="s">
        <v>201</v>
      </c>
      <c r="E9" s="30" t="str">
        <f>IF(OR(ISBLANK(F9),ISBLANK(G9)),"",CONCATENATE(F9,".",G9))</f>
        <v>SpecialStrings.EMPTY_STRING</v>
      </c>
      <c r="F9" s="2" t="s">
        <v>202</v>
      </c>
      <c r="G9" s="2" t="str">
        <f>IF(ISBLANK(F9),"",B9)</f>
        <v>EMPTY_STRING</v>
      </c>
      <c r="H9" s="2" t="str">
        <f>IF(ISBLANK(D9),"",D9)</f>
        <v>""</v>
      </c>
      <c r="I9" s="3" t="s">
        <v>32</v>
      </c>
      <c r="J9" s="3" t="s">
        <v>33</v>
      </c>
      <c r="K9" s="3" t="s">
        <v>191</v>
      </c>
      <c r="L9" s="2"/>
      <c r="M9" s="2"/>
      <c r="N9" s="2"/>
      <c r="O9" s="2"/>
      <c r="P9" s="2"/>
      <c r="Q9" s="2"/>
      <c r="R9" s="2"/>
      <c r="S9" s="2"/>
    </row>
    <row r="10" spans="1:19" x14ac:dyDescent="0.25">
      <c r="A10" s="2" t="s">
        <v>34</v>
      </c>
      <c r="B10" s="30" t="str">
        <f>IF(ISBLANK(A10),"",RIGHT(A10,LEN(A10)-FIND(".",A10)))</f>
        <v>EMPTY_STRING_LENGTH</v>
      </c>
      <c r="C10" s="2" t="s">
        <v>18</v>
      </c>
      <c r="D10" s="2">
        <v>0</v>
      </c>
      <c r="E10" s="30" t="str">
        <f>IF(OR(ISBLANK(F10),ISBLANK(G10)),"",CONCATENATE(F10,".",G10))</f>
        <v>MagicNumbers.cs.EMPTY_STRING_LENGTH</v>
      </c>
      <c r="F10" s="2" t="s">
        <v>35</v>
      </c>
      <c r="G10" s="2" t="str">
        <f>B10</f>
        <v>EMPTY_STRING_LENGTH</v>
      </c>
      <c r="H10" s="2">
        <f>IF(ISBLANK(D10),"",D10)</f>
        <v>0</v>
      </c>
      <c r="I10" s="3" t="s">
        <v>32</v>
      </c>
      <c r="J10" s="3" t="s">
        <v>33</v>
      </c>
      <c r="K10" s="3" t="s">
        <v>25</v>
      </c>
      <c r="L10" s="2"/>
      <c r="M10" s="2"/>
      <c r="N10" s="2"/>
      <c r="O10" s="2"/>
      <c r="P10" s="2"/>
      <c r="Q10" s="2"/>
      <c r="R10" s="2"/>
      <c r="S10" s="2"/>
    </row>
    <row r="11" spans="1:19" x14ac:dyDescent="0.25">
      <c r="A11" s="2" t="s">
        <v>0</v>
      </c>
      <c r="B11" s="30" t="str">
        <f>IF(ISBLANK(A11),"",RIGHT(A11,LEN(A11)-FIND(".",A11)))</f>
        <v>ERRMSG_ARG_IS_EMPTY_STRING</v>
      </c>
      <c r="C11" s="2" t="s">
        <v>13</v>
      </c>
      <c r="D11" s="2" t="s">
        <v>1</v>
      </c>
      <c r="E11" s="30" t="str">
        <f>IF(OR(ISBLANK(F11),ISBLANK(G11)),"",CONCATENATE(F11,".",G11))</f>
        <v>Properties.Resources.ERRMSG_ARG_IS_NULL_OR_EMPTY</v>
      </c>
      <c r="F11" s="2" t="s">
        <v>10</v>
      </c>
      <c r="G11" s="2" t="s">
        <v>11</v>
      </c>
      <c r="H11" s="2" t="s">
        <v>12</v>
      </c>
      <c r="I11" s="3" t="s">
        <v>25</v>
      </c>
      <c r="J11" s="3" t="s">
        <v>26</v>
      </c>
      <c r="K11" s="3" t="s">
        <v>33</v>
      </c>
      <c r="L11" s="2"/>
      <c r="M11" s="2"/>
      <c r="N11" s="2"/>
      <c r="O11" s="2"/>
      <c r="P11" s="2"/>
      <c r="Q11" s="2"/>
      <c r="R11" s="2"/>
      <c r="S11" s="2"/>
    </row>
    <row r="12" spans="1:19" x14ac:dyDescent="0.25">
      <c r="A12" s="2" t="s">
        <v>36</v>
      </c>
      <c r="B12" s="30" t="str">
        <f>IF(ISBLANK(A12),"",RIGHT(A12,LEN(A12)-FIND(".",A12)))</f>
        <v>ERRMSG_ARG_IS_NULL</v>
      </c>
      <c r="C12" s="2" t="s">
        <v>13</v>
      </c>
      <c r="D12" s="2" t="s">
        <v>37</v>
      </c>
      <c r="E12" s="30" t="str">
        <f>IF(OR(ISBLANK(F12),ISBLANK(G12)),"",CONCATENATE(F12,".",G12))</f>
        <v>Properties.Resources.ERRMSG_ARG_IS_NULL</v>
      </c>
      <c r="F12" s="2" t="s">
        <v>10</v>
      </c>
      <c r="G12" s="2" t="s">
        <v>38</v>
      </c>
      <c r="H12" s="2" t="s">
        <v>39</v>
      </c>
      <c r="I12" s="3" t="s">
        <v>32</v>
      </c>
      <c r="J12" s="3" t="s">
        <v>33</v>
      </c>
      <c r="K12" s="3" t="s">
        <v>32</v>
      </c>
      <c r="L12" s="2"/>
      <c r="M12" s="2"/>
      <c r="N12" s="2"/>
      <c r="O12" s="2"/>
      <c r="P12" s="2"/>
      <c r="Q12" s="2"/>
      <c r="R12" s="2"/>
      <c r="S12" s="2"/>
    </row>
    <row r="13" spans="1:19" x14ac:dyDescent="0.25">
      <c r="A13" s="2" t="s">
        <v>192</v>
      </c>
      <c r="B13" s="30" t="str">
        <f>IF(ISBLANK(A13),"",RIGHT(A13,LEN(A13)-FIND(".",A13)))</f>
        <v>ERROR_SUCCESS</v>
      </c>
      <c r="C13" s="2" t="s">
        <v>18</v>
      </c>
      <c r="D13" s="2">
        <v>1</v>
      </c>
      <c r="E13" s="30" t="str">
        <f>IF(OR(ISBLANK(F13),ISBLANK(G13)),"",CONCATENATE(F13,".",G13))</f>
        <v>MagicNumbers.ERROR_SUCCESS</v>
      </c>
      <c r="F13" s="2" t="s">
        <v>19</v>
      </c>
      <c r="G13" s="2" t="str">
        <f>IF(ISBLANK(F13),"",B13)</f>
        <v>ERROR_SUCCESS</v>
      </c>
      <c r="H13" s="2">
        <f>IF(ISBLANK(D13),"",D13)</f>
        <v>1</v>
      </c>
      <c r="I13" s="3" t="s">
        <v>32</v>
      </c>
      <c r="J13" s="3" t="s">
        <v>33</v>
      </c>
      <c r="K13" s="3" t="s">
        <v>191</v>
      </c>
      <c r="L13" s="2"/>
      <c r="M13" s="2"/>
      <c r="N13" s="2"/>
      <c r="O13" s="2"/>
      <c r="P13" s="2"/>
      <c r="Q13" s="2"/>
      <c r="R13" s="2"/>
      <c r="S13" s="2"/>
    </row>
    <row r="14" spans="1:19" x14ac:dyDescent="0.25">
      <c r="A14" s="2" t="s">
        <v>205</v>
      </c>
      <c r="B14" s="30" t="str">
        <f>IF(ISBLANK(A14),"",RIGHT(A14,LEN(A14)-FIND(".",A14)))</f>
        <v>PLUS_ONE</v>
      </c>
      <c r="C14" s="2" t="s">
        <v>18</v>
      </c>
      <c r="D14" s="2">
        <v>1</v>
      </c>
      <c r="E14" s="30" t="str">
        <f>IF(OR(ISBLANK(F14),ISBLANK(G14)),"",CONCATENATE(F14,".",G14))</f>
        <v>MagicNumbers.PLUS_ONE</v>
      </c>
      <c r="F14" s="2" t="s">
        <v>19</v>
      </c>
      <c r="G14" s="2" t="str">
        <f>IF(ISBLANK(F14),"",B14)</f>
        <v>PLUS_ONE</v>
      </c>
      <c r="H14" s="2">
        <f>IF(ISBLANK(D14),"",D14)</f>
        <v>1</v>
      </c>
      <c r="I14" s="3"/>
      <c r="J14" s="3"/>
      <c r="K14" s="3"/>
      <c r="L14" s="2"/>
      <c r="M14" s="2"/>
      <c r="N14" s="2"/>
      <c r="O14" s="2"/>
      <c r="P14" s="2"/>
      <c r="Q14" s="2"/>
      <c r="R14" s="2"/>
      <c r="S14" s="2"/>
    </row>
    <row r="15" spans="1:19" x14ac:dyDescent="0.25">
      <c r="A15" s="2" t="s">
        <v>206</v>
      </c>
      <c r="B15" s="30" t="str">
        <f>IF(ISBLANK(A15),"",RIGHT(A15,LEN(A15)-FIND(".",A15)))</f>
        <v>PLUS_TWO</v>
      </c>
      <c r="C15" s="2" t="s">
        <v>18</v>
      </c>
      <c r="D15" s="2">
        <v>2</v>
      </c>
      <c r="E15" s="30" t="str">
        <f>IF(OR(ISBLANK(F15),ISBLANK(G15)),"",CONCATENATE(F15,".",G15))</f>
        <v>MagicNumbers.PLUS_TWO</v>
      </c>
      <c r="F15" s="2" t="s">
        <v>19</v>
      </c>
      <c r="G15" s="2" t="str">
        <f>IF(ISBLANK(F15),"",B15)</f>
        <v>PLUS_TWO</v>
      </c>
      <c r="H15" s="2">
        <f>IF(ISBLANK(D15),"",D15)</f>
        <v>2</v>
      </c>
      <c r="I15" s="3"/>
      <c r="J15" s="3"/>
      <c r="K15" s="3"/>
      <c r="L15" s="2"/>
      <c r="M15" s="2"/>
      <c r="N15" s="2"/>
      <c r="O15" s="2"/>
      <c r="P15" s="2"/>
      <c r="Q15" s="2"/>
      <c r="R15" s="2"/>
      <c r="S15" s="2"/>
    </row>
    <row r="16" spans="1:19" x14ac:dyDescent="0.25">
      <c r="A16" s="2" t="s">
        <v>198</v>
      </c>
      <c r="B16" s="30" t="str">
        <f>IF(ISBLANK(A16),"",RIGHT(A16,LEN(A16)-FIND(".",A16)))</f>
        <v>SB_CAPACITY_01KB</v>
      </c>
      <c r="C16" s="2" t="s">
        <v>18</v>
      </c>
      <c r="D16" s="2">
        <v>1024</v>
      </c>
      <c r="E16" s="30" t="str">
        <f>IF(OR(ISBLANK(F16),ISBLANK(G16)),"",CONCATENATE(F16,".",G16))</f>
        <v>MagicNumbers.CAPACITY_01KB</v>
      </c>
      <c r="F16" s="2" t="s">
        <v>19</v>
      </c>
      <c r="G16" s="2" t="s">
        <v>199</v>
      </c>
      <c r="H16" s="2">
        <f>IF(ISBLANK(D16),"",D16)</f>
        <v>1024</v>
      </c>
      <c r="I16" s="3" t="s">
        <v>32</v>
      </c>
      <c r="J16" s="3" t="s">
        <v>33</v>
      </c>
      <c r="K16" s="3" t="s">
        <v>191</v>
      </c>
      <c r="L16" s="2"/>
      <c r="M16" s="2"/>
      <c r="N16" s="2"/>
      <c r="O16" s="2"/>
      <c r="P16" s="2"/>
      <c r="Q16" s="2"/>
      <c r="R16" s="2"/>
      <c r="S16" s="2"/>
    </row>
    <row r="17" spans="1:19" x14ac:dyDescent="0.25">
      <c r="A17" s="2" t="s">
        <v>197</v>
      </c>
      <c r="B17" s="30" t="str">
        <f>IF(ISBLANK(A17),"",RIGHT(A17,LEN(A17)-FIND(".",A17)))</f>
        <v>TAB_CHAR</v>
      </c>
      <c r="C17" s="2" t="s">
        <v>28</v>
      </c>
      <c r="D17" s="4" t="s">
        <v>29</v>
      </c>
      <c r="E17" s="30" t="str">
        <f>IF(OR(ISBLANK(F17),ISBLANK(G17)),"",CONCATENATE(F17,".",G17))</f>
        <v>SpecialCharacters.TAB_CHAR</v>
      </c>
      <c r="F17" s="2" t="s">
        <v>31</v>
      </c>
      <c r="G17" s="2" t="str">
        <f>IF(ISBLANK(F17),"",B17)</f>
        <v>TAB_CHAR</v>
      </c>
      <c r="H17" s="2" t="str">
        <f>IF(ISBLANK(D17),"",D17)</f>
        <v>\t</v>
      </c>
      <c r="I17" s="3" t="s">
        <v>32</v>
      </c>
      <c r="J17" s="3" t="s">
        <v>33</v>
      </c>
      <c r="K17" s="3" t="s">
        <v>191</v>
      </c>
      <c r="L17" s="2"/>
      <c r="M17" s="2"/>
      <c r="N17" s="2"/>
      <c r="O17" s="2"/>
      <c r="P17" s="2"/>
      <c r="Q17" s="2"/>
      <c r="R17" s="2"/>
      <c r="S17" s="2"/>
    </row>
    <row r="18" spans="1:19" x14ac:dyDescent="0.25">
      <c r="A18" s="2" t="s">
        <v>17</v>
      </c>
      <c r="B18" s="30" t="str">
        <f>IF(ISBLANK(A18),"",RIGHT(A18,LEN(A18)-FIND(".",A18)))</f>
        <v>ZERO</v>
      </c>
      <c r="C18" s="2" t="s">
        <v>18</v>
      </c>
      <c r="D18" s="2">
        <v>0</v>
      </c>
      <c r="E18" s="30" t="str">
        <f>IF(OR(ISBLANK(F18),ISBLANK(G18)),"",CONCATENATE(F18,".",G18))</f>
        <v>MagicNumbers.ZERO</v>
      </c>
      <c r="F18" s="2" t="s">
        <v>19</v>
      </c>
      <c r="G18" s="2" t="s">
        <v>20</v>
      </c>
      <c r="H18" s="2">
        <f>IF(ISBLANK(D18),"",D18)</f>
        <v>0</v>
      </c>
      <c r="I18" s="3" t="s">
        <v>25</v>
      </c>
      <c r="J18" s="3" t="s">
        <v>26</v>
      </c>
      <c r="K18" s="3" t="s">
        <v>33</v>
      </c>
      <c r="L18" s="2"/>
      <c r="M18" s="2"/>
      <c r="N18" s="2"/>
      <c r="O18" s="2"/>
      <c r="P18" s="2"/>
      <c r="Q18" s="2"/>
      <c r="R18" s="2"/>
      <c r="S18" s="2"/>
    </row>
    <row r="19" spans="1:19" x14ac:dyDescent="0.25">
      <c r="A19" s="2" t="s">
        <v>27</v>
      </c>
      <c r="B19" s="30" t="str">
        <f>IF(ISBLANK(A19),"",RIGHT(A19,LEN(A19)-FIND(".",A19)))</f>
        <v>StandardConstants.TAB_CHAR</v>
      </c>
      <c r="C19" s="2" t="s">
        <v>28</v>
      </c>
      <c r="D19" s="2" t="s">
        <v>29</v>
      </c>
      <c r="E19" s="30" t="str">
        <f>IF(OR(ISBLANK(F19),ISBLANK(G19)),"",CONCATENATE(F19,".",G19))</f>
        <v>SpecialCharacters.TAB_CHAR</v>
      </c>
      <c r="F19" s="2" t="s">
        <v>31</v>
      </c>
      <c r="G19" s="2" t="s">
        <v>30</v>
      </c>
      <c r="H19" s="2" t="str">
        <f>IF(ISBLANK(D19),"",D19)</f>
        <v>\t</v>
      </c>
      <c r="I19" s="3" t="s">
        <v>32</v>
      </c>
      <c r="J19" s="3" t="s">
        <v>33</v>
      </c>
      <c r="K19" s="3" t="s">
        <v>25</v>
      </c>
      <c r="L19" s="2"/>
      <c r="M19" s="2"/>
      <c r="N19" s="2"/>
      <c r="O19" s="2"/>
      <c r="P19" s="2"/>
      <c r="Q19" s="2"/>
      <c r="R19" s="2"/>
      <c r="S19" s="2"/>
    </row>
    <row r="20" spans="1:19" x14ac:dyDescent="0.25">
      <c r="A20" s="2"/>
      <c r="B20" s="30" t="str">
        <f t="shared" ref="B16:B36" si="0">IF(ISBLANK(A20),"",RIGHT(A20,LEN(A20)-FIND(".",A20)))</f>
        <v/>
      </c>
      <c r="C20" s="2"/>
      <c r="D20" s="2"/>
      <c r="E20" s="30" t="str">
        <f t="shared" ref="E16:E36" si="1">IF(OR(ISBLANK(F20),ISBLANK(G20)),"",CONCATENATE(F20,".",G20))</f>
        <v/>
      </c>
      <c r="F20" s="2"/>
      <c r="G20" s="2" t="str">
        <f t="shared" ref="G17:G36" si="2">IF(ISBLANK(F20),"",B20)</f>
        <v/>
      </c>
      <c r="H20" s="2" t="str">
        <f t="shared" ref="H16:H36" si="3">IF(ISBLANK(D20),"",D20)</f>
        <v/>
      </c>
      <c r="I20" s="3"/>
      <c r="J20" s="3"/>
      <c r="K20" s="3"/>
      <c r="L20" s="2"/>
      <c r="M20" s="2"/>
      <c r="N20" s="2"/>
      <c r="O20" s="2"/>
      <c r="P20" s="2"/>
      <c r="Q20" s="2"/>
      <c r="R20" s="2"/>
      <c r="S20" s="2"/>
    </row>
    <row r="21" spans="1:19" x14ac:dyDescent="0.25">
      <c r="A21" s="2"/>
      <c r="B21" s="30" t="str">
        <f t="shared" si="0"/>
        <v/>
      </c>
      <c r="C21" s="2"/>
      <c r="D21" s="2"/>
      <c r="E21" s="30" t="str">
        <f t="shared" si="1"/>
        <v/>
      </c>
      <c r="F21" s="2"/>
      <c r="G21" s="2" t="str">
        <f t="shared" si="2"/>
        <v/>
      </c>
      <c r="H21" s="2" t="str">
        <f t="shared" si="3"/>
        <v/>
      </c>
      <c r="I21" s="3"/>
      <c r="J21" s="3"/>
      <c r="K21" s="3"/>
      <c r="L21" s="2"/>
      <c r="M21" s="2"/>
      <c r="N21" s="2"/>
      <c r="O21" s="2"/>
      <c r="P21" s="2"/>
      <c r="Q21" s="2"/>
      <c r="R21" s="2"/>
      <c r="S21" s="2"/>
    </row>
    <row r="22" spans="1:19" x14ac:dyDescent="0.25">
      <c r="A22" s="2"/>
      <c r="B22" s="30" t="str">
        <f t="shared" si="0"/>
        <v/>
      </c>
      <c r="C22" s="2"/>
      <c r="D22" s="2"/>
      <c r="E22" s="30" t="str">
        <f t="shared" si="1"/>
        <v/>
      </c>
      <c r="F22" s="2"/>
      <c r="G22" s="2" t="str">
        <f t="shared" si="2"/>
        <v/>
      </c>
      <c r="H22" s="2" t="str">
        <f t="shared" si="3"/>
        <v/>
      </c>
      <c r="I22" s="3"/>
      <c r="J22" s="3"/>
      <c r="K22" s="3"/>
      <c r="L22" s="2"/>
      <c r="M22" s="2"/>
      <c r="N22" s="2"/>
      <c r="O22" s="2"/>
      <c r="P22" s="2"/>
      <c r="Q22" s="2"/>
      <c r="R22" s="2"/>
      <c r="S22" s="2"/>
    </row>
    <row r="23" spans="1:19" x14ac:dyDescent="0.25">
      <c r="A23" s="2"/>
      <c r="B23" s="30" t="str">
        <f t="shared" si="0"/>
        <v/>
      </c>
      <c r="C23" s="2"/>
      <c r="D23" s="2"/>
      <c r="E23" s="30" t="str">
        <f t="shared" si="1"/>
        <v/>
      </c>
      <c r="F23" s="2"/>
      <c r="G23" s="2" t="str">
        <f t="shared" si="2"/>
        <v/>
      </c>
      <c r="H23" s="2" t="str">
        <f t="shared" si="3"/>
        <v/>
      </c>
      <c r="I23" s="3"/>
      <c r="J23" s="3"/>
      <c r="K23" s="3"/>
      <c r="L23" s="2"/>
      <c r="M23" s="2"/>
      <c r="N23" s="2"/>
      <c r="O23" s="2"/>
      <c r="P23" s="2"/>
      <c r="Q23" s="2"/>
      <c r="R23" s="2"/>
      <c r="S23" s="2"/>
    </row>
    <row r="24" spans="1:19" x14ac:dyDescent="0.25">
      <c r="A24" s="2"/>
      <c r="B24" s="30" t="str">
        <f t="shared" si="0"/>
        <v/>
      </c>
      <c r="C24" s="2"/>
      <c r="D24" s="2"/>
      <c r="E24" s="30" t="str">
        <f t="shared" si="1"/>
        <v/>
      </c>
      <c r="F24" s="2"/>
      <c r="G24" s="2" t="str">
        <f t="shared" si="2"/>
        <v/>
      </c>
      <c r="H24" s="2" t="str">
        <f t="shared" si="3"/>
        <v/>
      </c>
      <c r="I24" s="3"/>
      <c r="J24" s="3"/>
      <c r="K24" s="3"/>
      <c r="L24" s="2"/>
      <c r="M24" s="2"/>
      <c r="N24" s="2"/>
      <c r="O24" s="2"/>
      <c r="P24" s="2"/>
      <c r="Q24" s="2"/>
      <c r="R24" s="2"/>
      <c r="S24" s="2"/>
    </row>
    <row r="25" spans="1:19" x14ac:dyDescent="0.25">
      <c r="A25" s="2"/>
      <c r="B25" s="30" t="str">
        <f t="shared" si="0"/>
        <v/>
      </c>
      <c r="C25" s="2"/>
      <c r="D25" s="2"/>
      <c r="E25" s="30" t="str">
        <f t="shared" si="1"/>
        <v/>
      </c>
      <c r="F25" s="2"/>
      <c r="G25" s="2" t="str">
        <f t="shared" si="2"/>
        <v/>
      </c>
      <c r="H25" s="2" t="str">
        <f t="shared" si="3"/>
        <v/>
      </c>
      <c r="I25" s="3"/>
      <c r="J25" s="3"/>
      <c r="K25" s="3"/>
      <c r="L25" s="2"/>
      <c r="M25" s="2"/>
      <c r="N25" s="2"/>
      <c r="O25" s="2"/>
      <c r="P25" s="2"/>
      <c r="Q25" s="2"/>
      <c r="R25" s="2"/>
      <c r="S25" s="2"/>
    </row>
    <row r="26" spans="1:19" x14ac:dyDescent="0.25">
      <c r="A26" s="2"/>
      <c r="B26" s="30" t="str">
        <f t="shared" si="0"/>
        <v/>
      </c>
      <c r="C26" s="2"/>
      <c r="D26" s="2"/>
      <c r="E26" s="30" t="str">
        <f t="shared" si="1"/>
        <v/>
      </c>
      <c r="F26" s="2"/>
      <c r="G26" s="2" t="str">
        <f t="shared" si="2"/>
        <v/>
      </c>
      <c r="H26" s="2" t="str">
        <f t="shared" si="3"/>
        <v/>
      </c>
      <c r="I26" s="3"/>
      <c r="J26" s="3"/>
      <c r="K26" s="3"/>
      <c r="L26" s="2"/>
      <c r="M26" s="2"/>
      <c r="N26" s="2"/>
      <c r="O26" s="2"/>
      <c r="P26" s="2"/>
      <c r="Q26" s="2"/>
      <c r="R26" s="2"/>
      <c r="S26" s="2"/>
    </row>
    <row r="27" spans="1:19" x14ac:dyDescent="0.25">
      <c r="A27" s="2"/>
      <c r="B27" s="30" t="str">
        <f t="shared" si="0"/>
        <v/>
      </c>
      <c r="C27" s="2"/>
      <c r="D27" s="2"/>
      <c r="E27" s="30" t="str">
        <f t="shared" si="1"/>
        <v/>
      </c>
      <c r="F27" s="2"/>
      <c r="G27" s="2" t="str">
        <f t="shared" si="2"/>
        <v/>
      </c>
      <c r="H27" s="2" t="str">
        <f t="shared" si="3"/>
        <v/>
      </c>
      <c r="I27" s="3"/>
      <c r="J27" s="3"/>
      <c r="K27" s="3"/>
      <c r="L27" s="2"/>
      <c r="M27" s="2"/>
      <c r="N27" s="2"/>
      <c r="O27" s="2"/>
      <c r="P27" s="2"/>
      <c r="Q27" s="2"/>
      <c r="R27" s="2"/>
      <c r="S27" s="2"/>
    </row>
    <row r="28" spans="1:19" x14ac:dyDescent="0.25">
      <c r="A28" s="2"/>
      <c r="B28" s="30" t="str">
        <f t="shared" si="0"/>
        <v/>
      </c>
      <c r="C28" s="2"/>
      <c r="D28" s="2"/>
      <c r="E28" s="30" t="str">
        <f t="shared" si="1"/>
        <v/>
      </c>
      <c r="F28" s="2"/>
      <c r="G28" s="2" t="str">
        <f t="shared" si="2"/>
        <v/>
      </c>
      <c r="H28" s="2" t="str">
        <f t="shared" si="3"/>
        <v/>
      </c>
      <c r="I28" s="3"/>
      <c r="J28" s="3"/>
      <c r="K28" s="3"/>
      <c r="L28" s="2"/>
      <c r="M28" s="2"/>
      <c r="N28" s="2"/>
      <c r="O28" s="2"/>
      <c r="P28" s="2"/>
      <c r="Q28" s="2"/>
      <c r="R28" s="2"/>
      <c r="S28" s="2"/>
    </row>
    <row r="29" spans="1:19" x14ac:dyDescent="0.25">
      <c r="A29" s="2"/>
      <c r="B29" s="30" t="str">
        <f t="shared" si="0"/>
        <v/>
      </c>
      <c r="C29" s="2"/>
      <c r="D29" s="2"/>
      <c r="E29" s="30" t="str">
        <f t="shared" si="1"/>
        <v/>
      </c>
      <c r="F29" s="2"/>
      <c r="G29" s="2" t="str">
        <f t="shared" si="2"/>
        <v/>
      </c>
      <c r="H29" s="2" t="str">
        <f t="shared" si="3"/>
        <v/>
      </c>
      <c r="I29" s="3"/>
      <c r="J29" s="3"/>
      <c r="K29" s="3"/>
      <c r="L29" s="2"/>
      <c r="M29" s="2"/>
      <c r="N29" s="2"/>
      <c r="O29" s="2"/>
      <c r="P29" s="2"/>
      <c r="Q29" s="2"/>
      <c r="R29" s="2"/>
      <c r="S29" s="2"/>
    </row>
    <row r="30" spans="1:19" x14ac:dyDescent="0.25">
      <c r="A30" s="2"/>
      <c r="B30" s="30" t="str">
        <f t="shared" si="0"/>
        <v/>
      </c>
      <c r="C30" s="2"/>
      <c r="D30" s="2"/>
      <c r="E30" s="30" t="str">
        <f t="shared" si="1"/>
        <v/>
      </c>
      <c r="F30" s="2"/>
      <c r="G30" s="2" t="str">
        <f t="shared" si="2"/>
        <v/>
      </c>
      <c r="H30" s="2" t="str">
        <f t="shared" si="3"/>
        <v/>
      </c>
      <c r="I30" s="3"/>
      <c r="J30" s="3"/>
      <c r="K30" s="3"/>
      <c r="L30" s="2"/>
      <c r="M30" s="2"/>
      <c r="N30" s="2"/>
      <c r="O30" s="2"/>
      <c r="P30" s="2"/>
      <c r="Q30" s="2"/>
      <c r="R30" s="2"/>
      <c r="S30" s="2"/>
    </row>
    <row r="31" spans="1:19" x14ac:dyDescent="0.25">
      <c r="A31" s="2"/>
      <c r="B31" s="30" t="str">
        <f t="shared" si="0"/>
        <v/>
      </c>
      <c r="C31" s="2"/>
      <c r="D31" s="2"/>
      <c r="E31" s="30" t="str">
        <f t="shared" si="1"/>
        <v/>
      </c>
      <c r="F31" s="2"/>
      <c r="G31" s="2" t="str">
        <f t="shared" si="2"/>
        <v/>
      </c>
      <c r="H31" s="2" t="str">
        <f t="shared" si="3"/>
        <v/>
      </c>
      <c r="I31" s="3"/>
      <c r="J31" s="3"/>
      <c r="K31" s="3"/>
      <c r="L31" s="2"/>
      <c r="M31" s="2"/>
      <c r="N31" s="2"/>
      <c r="O31" s="2"/>
      <c r="P31" s="2"/>
      <c r="Q31" s="2"/>
      <c r="R31" s="2"/>
      <c r="S31" s="2"/>
    </row>
    <row r="32" spans="1:19" x14ac:dyDescent="0.25">
      <c r="A32" s="2"/>
      <c r="B32" s="30" t="str">
        <f t="shared" si="0"/>
        <v/>
      </c>
      <c r="C32" s="2"/>
      <c r="D32" s="2"/>
      <c r="E32" s="30" t="str">
        <f t="shared" si="1"/>
        <v/>
      </c>
      <c r="F32" s="2"/>
      <c r="G32" s="2" t="str">
        <f t="shared" si="2"/>
        <v/>
      </c>
      <c r="H32" s="2" t="str">
        <f t="shared" si="3"/>
        <v/>
      </c>
      <c r="I32" s="3"/>
      <c r="J32" s="3"/>
      <c r="K32" s="3"/>
      <c r="L32" s="2"/>
      <c r="M32" s="2"/>
      <c r="N32" s="2"/>
      <c r="O32" s="2"/>
      <c r="P32" s="2"/>
      <c r="Q32" s="2"/>
      <c r="R32" s="2"/>
      <c r="S32" s="2"/>
    </row>
    <row r="33" spans="1:19" x14ac:dyDescent="0.25">
      <c r="A33" s="2"/>
      <c r="B33" s="30" t="str">
        <f t="shared" si="0"/>
        <v/>
      </c>
      <c r="C33" s="2"/>
      <c r="D33" s="2"/>
      <c r="E33" s="30" t="str">
        <f t="shared" si="1"/>
        <v/>
      </c>
      <c r="F33" s="2"/>
      <c r="G33" s="2" t="str">
        <f t="shared" si="2"/>
        <v/>
      </c>
      <c r="H33" s="2" t="str">
        <f t="shared" si="3"/>
        <v/>
      </c>
      <c r="I33" s="3"/>
      <c r="J33" s="3"/>
      <c r="K33" s="3"/>
      <c r="L33" s="2"/>
      <c r="M33" s="2"/>
      <c r="N33" s="2"/>
      <c r="O33" s="2"/>
      <c r="P33" s="2"/>
      <c r="Q33" s="2"/>
      <c r="R33" s="2"/>
      <c r="S33" s="2"/>
    </row>
    <row r="34" spans="1:19" x14ac:dyDescent="0.25">
      <c r="A34" s="2"/>
      <c r="B34" s="30" t="str">
        <f t="shared" si="0"/>
        <v/>
      </c>
      <c r="C34" s="2"/>
      <c r="D34" s="2"/>
      <c r="E34" s="30" t="str">
        <f t="shared" si="1"/>
        <v/>
      </c>
      <c r="F34" s="2"/>
      <c r="G34" s="2" t="str">
        <f t="shared" si="2"/>
        <v/>
      </c>
      <c r="H34" s="2" t="str">
        <f t="shared" si="3"/>
        <v/>
      </c>
      <c r="I34" s="3"/>
      <c r="J34" s="3"/>
      <c r="K34" s="3"/>
      <c r="L34" s="2"/>
      <c r="M34" s="2"/>
      <c r="N34" s="2"/>
      <c r="O34" s="2"/>
      <c r="P34" s="2"/>
      <c r="Q34" s="2"/>
      <c r="R34" s="2"/>
      <c r="S34" s="2"/>
    </row>
    <row r="35" spans="1:19" x14ac:dyDescent="0.25">
      <c r="A35" s="2"/>
      <c r="B35" s="30" t="str">
        <f t="shared" si="0"/>
        <v/>
      </c>
      <c r="C35" s="2"/>
      <c r="D35" s="2"/>
      <c r="E35" s="30" t="str">
        <f t="shared" si="1"/>
        <v/>
      </c>
      <c r="F35" s="2"/>
      <c r="G35" s="2" t="str">
        <f t="shared" si="2"/>
        <v/>
      </c>
      <c r="H35" s="2" t="str">
        <f t="shared" si="3"/>
        <v/>
      </c>
      <c r="I35" s="3"/>
      <c r="J35" s="3"/>
      <c r="K35" s="3"/>
      <c r="L35" s="2"/>
      <c r="M35" s="2"/>
      <c r="N35" s="2"/>
      <c r="O35" s="2"/>
      <c r="P35" s="2"/>
      <c r="Q35" s="2"/>
      <c r="R35" s="2"/>
      <c r="S35" s="2"/>
    </row>
    <row r="36" spans="1:19" x14ac:dyDescent="0.25">
      <c r="A36" s="2"/>
      <c r="B36" s="30" t="str">
        <f t="shared" si="0"/>
        <v/>
      </c>
      <c r="C36" s="2"/>
      <c r="D36" s="2"/>
      <c r="E36" s="30" t="str">
        <f t="shared" si="1"/>
        <v/>
      </c>
      <c r="F36" s="2"/>
      <c r="G36" s="2" t="str">
        <f t="shared" si="2"/>
        <v/>
      </c>
      <c r="H36" s="2" t="str">
        <f t="shared" si="3"/>
        <v/>
      </c>
      <c r="I36" s="3"/>
      <c r="J36" s="3"/>
      <c r="K36" s="3"/>
      <c r="L36" s="2"/>
      <c r="M36" s="2"/>
      <c r="N36" s="2"/>
      <c r="O36" s="2"/>
      <c r="P36" s="2"/>
      <c r="Q36" s="2"/>
      <c r="R36" s="2"/>
      <c r="S36" s="2"/>
    </row>
  </sheetData>
  <sortState ref="A3:S19">
    <sortCondition ref="A3:A19"/>
  </sortState>
  <mergeCells count="3">
    <mergeCell ref="A1:D1"/>
    <mergeCell ref="E1:H1"/>
    <mergeCell ref="I1:K1"/>
  </mergeCells>
  <conditionalFormatting sqref="A3">
    <cfRule type="expression" dxfId="136" priority="21">
      <formula>OR(ISBLANK(A3),LEN(A3)=0)</formula>
    </cfRule>
  </conditionalFormatting>
  <conditionalFormatting sqref="A4:A14">
    <cfRule type="expression" dxfId="135" priority="20">
      <formula>OR(ISBLANK(A4),LEN(A4)=0)</formula>
    </cfRule>
  </conditionalFormatting>
  <conditionalFormatting sqref="C3:D14">
    <cfRule type="expression" dxfId="134" priority="19">
      <formula>OR(ISBLANK(C3),LEN(C3)=0)</formula>
    </cfRule>
  </conditionalFormatting>
  <conditionalFormatting sqref="F3:S13 L14:S14 F14:J14">
    <cfRule type="expression" dxfId="133" priority="18">
      <formula>OR(ISBLANK(F3),LEN(F3)=0)</formula>
    </cfRule>
  </conditionalFormatting>
  <conditionalFormatting sqref="B3">
    <cfRule type="expression" dxfId="132" priority="17">
      <formula>OR(ISBLANK(B3),LEN(B3)=0)</formula>
    </cfRule>
  </conditionalFormatting>
  <conditionalFormatting sqref="B4:B14">
    <cfRule type="expression" dxfId="131" priority="16">
      <formula>OR(ISBLANK(B4),LEN(B4)=0)</formula>
    </cfRule>
  </conditionalFormatting>
  <conditionalFormatting sqref="E3:E14">
    <cfRule type="expression" dxfId="130" priority="15">
      <formula>OR(ISBLANK(E3),LEN(E3)=0)</formula>
    </cfRule>
  </conditionalFormatting>
  <conditionalFormatting sqref="A15">
    <cfRule type="expression" dxfId="129" priority="14">
      <formula>OR(ISBLANK(A15),LEN(A15)=0)</formula>
    </cfRule>
  </conditionalFormatting>
  <conditionalFormatting sqref="C15:D15">
    <cfRule type="expression" dxfId="128" priority="13">
      <formula>OR(ISBLANK(C15),LEN(C15)=0)</formula>
    </cfRule>
  </conditionalFormatting>
  <conditionalFormatting sqref="F15:H15 L15:S15">
    <cfRule type="expression" dxfId="127" priority="12">
      <formula>OR(ISBLANK(F15),LEN(F15)=0)</formula>
    </cfRule>
  </conditionalFormatting>
  <conditionalFormatting sqref="B15">
    <cfRule type="expression" dxfId="126" priority="11">
      <formula>OR(ISBLANK(B15),LEN(B15)=0)</formula>
    </cfRule>
  </conditionalFormatting>
  <conditionalFormatting sqref="E15">
    <cfRule type="expression" dxfId="125" priority="10">
      <formula>OR(ISBLANK(E15),LEN(E15)=0)</formula>
    </cfRule>
  </conditionalFormatting>
  <conditionalFormatting sqref="A16:A36">
    <cfRule type="expression" dxfId="124" priority="9">
      <formula>OR(ISBLANK(A16),LEN(A16)=0)</formula>
    </cfRule>
  </conditionalFormatting>
  <conditionalFormatting sqref="C16:D36">
    <cfRule type="expression" dxfId="123" priority="8">
      <formula>OR(ISBLANK(C16),LEN(C16)=0)</formula>
    </cfRule>
  </conditionalFormatting>
  <conditionalFormatting sqref="F18:S36 L16:S17 F16:H17">
    <cfRule type="expression" dxfId="122" priority="7">
      <formula>OR(ISBLANK(F16),LEN(F16)=0)</formula>
    </cfRule>
  </conditionalFormatting>
  <conditionalFormatting sqref="B16:B36">
    <cfRule type="expression" dxfId="121" priority="6">
      <formula>OR(ISBLANK(B16),LEN(B16)=0)</formula>
    </cfRule>
  </conditionalFormatting>
  <conditionalFormatting sqref="E16:E36">
    <cfRule type="expression" dxfId="120" priority="5">
      <formula>OR(ISBLANK(E16),LEN(E16)=0)</formula>
    </cfRule>
  </conditionalFormatting>
  <conditionalFormatting sqref="K14:K17">
    <cfRule type="expression" dxfId="119" priority="4">
      <formula>OR(ISBLANK(K14),LEN(K14)=0)</formula>
    </cfRule>
  </conditionalFormatting>
  <conditionalFormatting sqref="I15:J15">
    <cfRule type="expression" dxfId="118" priority="3">
      <formula>OR(ISBLANK(I15),LEN(I15)=0)</formula>
    </cfRule>
  </conditionalFormatting>
  <conditionalFormatting sqref="I16:J16">
    <cfRule type="expression" dxfId="117" priority="2">
      <formula>OR(ISBLANK(I16),LEN(I16)=0)</formula>
    </cfRule>
  </conditionalFormatting>
  <conditionalFormatting sqref="I17:J17">
    <cfRule type="expression" dxfId="116" priority="1">
      <formula>OR(ISBLANK(I17),LEN(I17)=0)</formula>
    </cfRule>
  </conditionalFormatting>
  <pageMargins left="0.7" right="0.7" top="0.75" bottom="0.75" header="0.3" footer="0.3"/>
  <pageSetup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O16"/>
  <sheetViews>
    <sheetView workbookViewId="0">
      <selection activeCell="A9" sqref="A9"/>
    </sheetView>
  </sheetViews>
  <sheetFormatPr defaultRowHeight="15" x14ac:dyDescent="0.25"/>
  <cols>
    <col min="1" max="1" width="13" bestFit="1" customWidth="1"/>
    <col min="2" max="2" width="13" customWidth="1"/>
    <col min="3" max="3" width="113" bestFit="1" customWidth="1"/>
    <col min="4" max="4" width="10.625" bestFit="1" customWidth="1"/>
    <col min="5" max="5" width="88.25" bestFit="1" customWidth="1"/>
    <col min="6" max="7" width="13" customWidth="1"/>
    <col min="8" max="8" width="25.375" bestFit="1" customWidth="1"/>
    <col min="9" max="9" width="15" bestFit="1" customWidth="1"/>
    <col min="10" max="10" width="24.25" bestFit="1" customWidth="1"/>
    <col min="11" max="11" width="41.5" bestFit="1" customWidth="1"/>
    <col min="12" max="12" width="55.25" bestFit="1" customWidth="1"/>
    <col min="13" max="13" width="25.375" bestFit="1" customWidth="1"/>
    <col min="14" max="14" width="7.75" bestFit="1" customWidth="1"/>
  </cols>
  <sheetData>
    <row r="1" spans="1:15" ht="18" x14ac:dyDescent="0.25">
      <c r="A1" s="7" t="s">
        <v>9</v>
      </c>
      <c r="B1" s="7" t="s">
        <v>187</v>
      </c>
      <c r="C1" s="7" t="s">
        <v>177</v>
      </c>
      <c r="D1" s="7" t="s">
        <v>165</v>
      </c>
      <c r="E1" s="7"/>
      <c r="F1" s="7" t="s">
        <v>166</v>
      </c>
      <c r="G1" s="7" t="s">
        <v>167</v>
      </c>
      <c r="H1" s="7" t="s">
        <v>158</v>
      </c>
      <c r="I1" s="7" t="s">
        <v>176</v>
      </c>
      <c r="J1" s="7" t="s">
        <v>159</v>
      </c>
      <c r="K1" s="7" t="s">
        <v>42</v>
      </c>
      <c r="L1" s="7" t="s">
        <v>160</v>
      </c>
      <c r="M1" s="7" t="s">
        <v>9</v>
      </c>
      <c r="N1" s="7" t="s">
        <v>5</v>
      </c>
      <c r="O1" s="7"/>
    </row>
    <row r="2" spans="1:15" x14ac:dyDescent="0.25">
      <c r="A2" s="5" t="str">
        <f>C2</f>
        <v>None</v>
      </c>
      <c r="B2" s="5">
        <f>LEN(A2)</f>
        <v>4</v>
      </c>
      <c r="C2" s="5" t="s">
        <v>41</v>
      </c>
      <c r="D2" s="5">
        <v>0</v>
      </c>
      <c r="E2" s="5" t="str">
        <f>CONCATENATE(A2," = ", D2," ,  // ",F2," (binary = ",G2,") - ",K2)</f>
        <v>None = 0 ,  // 0x00 (binary = 00000000) - Just return the hexadecimal glyphs.</v>
      </c>
      <c r="F2" s="5" t="str">
        <f>IF(ISBLANK(D2),"",CONCATENATE("0x",DEC2HEX(D2,2)))</f>
        <v>0x00</v>
      </c>
      <c r="G2" s="5" t="str">
        <f>IF(ISBLANK(D2),"",DEC2BIN(D2,8))</f>
        <v>00000000</v>
      </c>
      <c r="H2" s="5"/>
      <c r="I2" s="5" t="str">
        <f>M2</f>
        <v>HEXADECIMAL_UC</v>
      </c>
      <c r="J2" s="5"/>
      <c r="K2" s="6" t="s">
        <v>43</v>
      </c>
      <c r="L2" s="5" t="str">
        <f>L10</f>
        <v>public const string HEXADECIMAL_UC = @"X";</v>
      </c>
      <c r="M2" s="5" t="str">
        <f>IF(ISBLANK(L2),"",TRIM(MID(L2,21,FIND("=",L2)-21)))</f>
        <v>HEXADECIMAL_UC</v>
      </c>
      <c r="N2" s="5" t="str">
        <f>IF(ISBLANK(L2),"",MID(L2,FIND(CONCATENATE("@",CHAR(34)),L2)+LEN(CONCATENATE("@",CHAR(34))),FIND(CONCATENATE(CHAR(34),";"),L2)-FIND(CONCATENATE("@",CHAR(34)),L2)-LEN(CONCATENATE("@",CHAR(34)))))</f>
        <v>X</v>
      </c>
      <c r="O2" s="5"/>
    </row>
    <row r="3" spans="1:15" x14ac:dyDescent="0.25">
      <c r="A3" s="29" t="str">
        <f t="shared" ref="A3:A10" si="0">C3</f>
        <v>Prefix_Ox_LC</v>
      </c>
      <c r="B3" s="29">
        <f t="shared" ref="B3:B14" si="1">LEN(A3)</f>
        <v>12</v>
      </c>
      <c r="C3" s="29" t="s">
        <v>45</v>
      </c>
      <c r="D3" s="29">
        <v>1</v>
      </c>
      <c r="E3" s="5" t="str">
        <f>CONCATENATE(A3," = ", D3," ,  // ",F3," (binary = ",G3,") - ",K3)</f>
        <v>Prefix_Ox_LC = 1 ,  // 0x01 (binary = 00000001) - Prefix the hexadecimal glyphs with Ox.</v>
      </c>
      <c r="F3" s="5" t="str">
        <f t="shared" ref="F3:F14" si="2">IF(ISBLANK(D3),"",CONCATENATE("0x",DEC2HEX(D3,2)))</f>
        <v>0x01</v>
      </c>
      <c r="G3" s="5" t="str">
        <f t="shared" ref="G3:G8" si="3">IF(ISBLANK(D3),"",DEC2BIN(D3,8))</f>
        <v>00000001</v>
      </c>
      <c r="H3" s="5" t="str">
        <f>M3</f>
        <v>HEXADECIMAL_PREFIX_0H_LC</v>
      </c>
      <c r="I3" s="5"/>
      <c r="J3" s="5"/>
      <c r="K3" s="6" t="s">
        <v>44</v>
      </c>
      <c r="L3" s="5" t="s">
        <v>162</v>
      </c>
      <c r="M3" s="5" t="str">
        <f t="shared" ref="M3:M10" si="4">IF(ISBLANK(L3),"",TRIM(MID(L3,21,FIND("=",L3)-21)))</f>
        <v>HEXADECIMAL_PREFIX_0H_LC</v>
      </c>
      <c r="N3" s="5" t="str">
        <f>IF(ISBLANK(L3),"",MID(L3,FIND(CONCATENATE("@",CHAR(34)),L3)+LEN(CONCATENATE("@",CHAR(34))),FIND(CONCATENATE(CHAR(34),";"),L3)-FIND(CONCATENATE("@",CHAR(34)),L3)-LEN(CONCATENATE("@",CHAR(34)))))</f>
        <v>0h</v>
      </c>
      <c r="O3" s="5"/>
    </row>
    <row r="4" spans="1:15" x14ac:dyDescent="0.25">
      <c r="A4" s="29" t="str">
        <f t="shared" si="0"/>
        <v>Prefix_Ox_UC</v>
      </c>
      <c r="B4" s="29">
        <f t="shared" si="1"/>
        <v>12</v>
      </c>
      <c r="C4" s="29" t="s">
        <v>47</v>
      </c>
      <c r="D4" s="29">
        <v>2</v>
      </c>
      <c r="E4" s="5" t="str">
        <f t="shared" ref="E4:E14" si="5">CONCATENATE(A4," = ", D4," ,  // ",F4," (binary = ",G4,") - ",K4)</f>
        <v>Prefix_Ox_UC = 2 ,  // 0x02 (binary = 00000010) - Prefix the hexadecimal glyphs with OX.</v>
      </c>
      <c r="F4" s="5" t="str">
        <f t="shared" si="2"/>
        <v>0x02</v>
      </c>
      <c r="G4" s="5" t="str">
        <f t="shared" si="3"/>
        <v>00000010</v>
      </c>
      <c r="H4" s="5" t="str">
        <f t="shared" ref="H4:H6" si="6">M4</f>
        <v>HEXADECIMAL_PREFIX_0H_UC</v>
      </c>
      <c r="I4" s="5"/>
      <c r="J4" s="5"/>
      <c r="K4" s="6" t="s">
        <v>46</v>
      </c>
      <c r="L4" s="5" t="s">
        <v>161</v>
      </c>
      <c r="M4" s="5" t="str">
        <f t="shared" si="4"/>
        <v>HEXADECIMAL_PREFIX_0H_UC</v>
      </c>
      <c r="N4" s="5" t="str">
        <f t="shared" ref="N4:N8" si="7">IF(ISBLANK(L4),"",MID(L4,FIND(CONCATENATE("@",CHAR(34)),L4)+LEN(CONCATENATE("@",CHAR(34))),FIND(CONCATENATE(CHAR(34),";"),L4)-FIND(CONCATENATE("@",CHAR(34)),L4)-LEN(CONCATENATE("@",CHAR(34)))))</f>
        <v>0H</v>
      </c>
      <c r="O4" s="5"/>
    </row>
    <row r="5" spans="1:15" x14ac:dyDescent="0.25">
      <c r="A5" s="5" t="str">
        <f t="shared" si="0"/>
        <v>Prefix_Oh_LC</v>
      </c>
      <c r="B5" s="5">
        <f t="shared" si="1"/>
        <v>12</v>
      </c>
      <c r="C5" s="5" t="s">
        <v>49</v>
      </c>
      <c r="D5" s="5">
        <v>3</v>
      </c>
      <c r="E5" s="5" t="str">
        <f t="shared" si="5"/>
        <v>Prefix_Oh_LC = 3 ,  // 0x03 (binary = 00000011) - Prefix the hexadecimal glyphs with Oh.</v>
      </c>
      <c r="F5" s="5" t="str">
        <f t="shared" si="2"/>
        <v>0x03</v>
      </c>
      <c r="G5" s="5" t="str">
        <f t="shared" si="3"/>
        <v>00000011</v>
      </c>
      <c r="H5" s="5" t="str">
        <f t="shared" si="6"/>
        <v>HEXADECIMAL_PREFIX_0X_LC</v>
      </c>
      <c r="I5" s="5"/>
      <c r="J5" s="5"/>
      <c r="K5" s="6" t="s">
        <v>48</v>
      </c>
      <c r="L5" s="5" t="s">
        <v>163</v>
      </c>
      <c r="M5" s="5" t="str">
        <f t="shared" si="4"/>
        <v>HEXADECIMAL_PREFIX_0X_LC</v>
      </c>
      <c r="N5" s="5" t="str">
        <f t="shared" si="7"/>
        <v>0x</v>
      </c>
      <c r="O5" s="5"/>
    </row>
    <row r="6" spans="1:15" x14ac:dyDescent="0.25">
      <c r="A6" s="5" t="str">
        <f t="shared" si="0"/>
        <v>Prefix_Oh_UC</v>
      </c>
      <c r="B6" s="5">
        <f t="shared" si="1"/>
        <v>12</v>
      </c>
      <c r="C6" s="5" t="s">
        <v>51</v>
      </c>
      <c r="D6" s="5">
        <v>4</v>
      </c>
      <c r="E6" s="5" t="str">
        <f t="shared" si="5"/>
        <v>Prefix_Oh_UC = 4 ,  // 0x04 (binary = 00000100) - Prefix the hexadecimal glyphs with OH.</v>
      </c>
      <c r="F6" s="5" t="str">
        <f t="shared" si="2"/>
        <v>0x04</v>
      </c>
      <c r="G6" s="5" t="str">
        <f t="shared" si="3"/>
        <v>00000100</v>
      </c>
      <c r="H6" s="5" t="str">
        <f t="shared" si="6"/>
        <v>HEXADECIMAL_PREFIX_0X_UC</v>
      </c>
      <c r="I6" s="5"/>
      <c r="J6" s="5"/>
      <c r="K6" s="6" t="s">
        <v>50</v>
      </c>
      <c r="L6" s="5" t="s">
        <v>164</v>
      </c>
      <c r="M6" s="5" t="str">
        <f t="shared" si="4"/>
        <v>HEXADECIMAL_PREFIX_0X_UC</v>
      </c>
      <c r="N6" s="5" t="str">
        <f t="shared" si="7"/>
        <v>0X</v>
      </c>
      <c r="O6" s="5"/>
    </row>
    <row r="7" spans="1:15" x14ac:dyDescent="0.25">
      <c r="A7" s="5" t="str">
        <f t="shared" si="0"/>
        <v>Suffix_h_LC</v>
      </c>
      <c r="B7" s="5">
        <f t="shared" si="1"/>
        <v>11</v>
      </c>
      <c r="C7" s="5" t="s">
        <v>53</v>
      </c>
      <c r="D7" s="5">
        <v>8</v>
      </c>
      <c r="E7" s="5" t="str">
        <f t="shared" si="5"/>
        <v>Suffix_h_LC = 8 ,  // 0x08 (binary = 00001000) - Suffix the hexadecimal glyphs with lower case h.</v>
      </c>
      <c r="F7" s="5" t="str">
        <f t="shared" si="2"/>
        <v>0x08</v>
      </c>
      <c r="G7" s="5" t="str">
        <f t="shared" si="3"/>
        <v>00001000</v>
      </c>
      <c r="H7" s="5"/>
      <c r="I7" s="5"/>
      <c r="J7" s="5" t="str">
        <f>M7</f>
        <v>HEXADECIMAL_SUFFIX_H_LC</v>
      </c>
      <c r="K7" s="6" t="s">
        <v>186</v>
      </c>
      <c r="L7" s="5" t="s">
        <v>174</v>
      </c>
      <c r="M7" s="5" t="str">
        <f t="shared" si="4"/>
        <v>HEXADECIMAL_SUFFIX_H_LC</v>
      </c>
      <c r="N7" s="5" t="str">
        <f t="shared" si="7"/>
        <v>h</v>
      </c>
      <c r="O7" s="5"/>
    </row>
    <row r="8" spans="1:15" x14ac:dyDescent="0.25">
      <c r="A8" s="5" t="str">
        <f t="shared" si="0"/>
        <v>Suffix_h_UC</v>
      </c>
      <c r="B8" s="5">
        <f t="shared" si="1"/>
        <v>11</v>
      </c>
      <c r="C8" s="5" t="s">
        <v>54</v>
      </c>
      <c r="D8" s="5">
        <v>16</v>
      </c>
      <c r="E8" s="5" t="str">
        <f t="shared" si="5"/>
        <v>Suffix_h_UC = 16 ,  // 0x10 (binary = 00010000) - Suffix the hexadecimal glyphs with upper case h.</v>
      </c>
      <c r="F8" s="5" t="str">
        <f t="shared" si="2"/>
        <v>0x10</v>
      </c>
      <c r="G8" s="5" t="str">
        <f t="shared" si="3"/>
        <v>00010000</v>
      </c>
      <c r="H8" s="5"/>
      <c r="I8" s="5"/>
      <c r="J8" s="5" t="str">
        <f>M8</f>
        <v>HEXADECIMAL_SUFFIX_H_UC</v>
      </c>
      <c r="K8" s="6" t="s">
        <v>52</v>
      </c>
      <c r="L8" s="5" t="s">
        <v>175</v>
      </c>
      <c r="M8" s="5" t="str">
        <f t="shared" si="4"/>
        <v>HEXADECIMAL_SUFFIX_H_UC</v>
      </c>
      <c r="N8" s="5" t="str">
        <f t="shared" si="7"/>
        <v>H</v>
      </c>
      <c r="O8" s="5"/>
    </row>
    <row r="9" spans="1:15" x14ac:dyDescent="0.25">
      <c r="A9" s="29" t="str">
        <f t="shared" si="0"/>
        <v>Glyphs_LC</v>
      </c>
      <c r="B9" s="29">
        <f t="shared" si="1"/>
        <v>9</v>
      </c>
      <c r="C9" s="29" t="s">
        <v>169</v>
      </c>
      <c r="D9" s="29">
        <v>32</v>
      </c>
      <c r="E9" s="5" t="str">
        <f t="shared" si="5"/>
        <v>Glyphs_LC = 32 ,  // 0x20 (binary = 00100000) - Use lower case hexadecimal glyphs.</v>
      </c>
      <c r="F9" s="5" t="str">
        <f t="shared" si="2"/>
        <v>0x20</v>
      </c>
      <c r="G9" s="5" t="str">
        <f t="shared" ref="G9:G10" si="8">IF(ISBLANK(D9),"",DEC2BIN(D9,8))</f>
        <v>00100000</v>
      </c>
      <c r="H9" s="5"/>
      <c r="I9" s="5" t="str">
        <f>M9</f>
        <v>HEXADECIMAL_LC</v>
      </c>
      <c r="J9" s="5"/>
      <c r="K9" s="6" t="s">
        <v>170</v>
      </c>
      <c r="L9" s="5" t="s">
        <v>172</v>
      </c>
      <c r="M9" s="5" t="str">
        <f t="shared" si="4"/>
        <v>HEXADECIMAL_LC</v>
      </c>
      <c r="N9" s="5" t="str">
        <f t="shared" ref="N9:N10" si="9">IF(ISBLANK(L9),"",MID(L9,FIND(CONCATENATE("@",CHAR(34)),L9)+LEN(CONCATENATE("@",CHAR(34))),FIND(CONCATENATE(CHAR(34),";"),L9)-FIND(CONCATENATE("@",CHAR(34)),L9)-LEN(CONCATENATE("@",CHAR(34)))))</f>
        <v>x</v>
      </c>
      <c r="O9" s="5"/>
    </row>
    <row r="10" spans="1:15" x14ac:dyDescent="0.25">
      <c r="A10" s="5" t="str">
        <f t="shared" si="0"/>
        <v>Glyphs_UC</v>
      </c>
      <c r="B10" s="5">
        <f t="shared" si="1"/>
        <v>9</v>
      </c>
      <c r="C10" s="5" t="s">
        <v>168</v>
      </c>
      <c r="D10" s="5">
        <v>64</v>
      </c>
      <c r="E10" s="5" t="str">
        <f t="shared" si="5"/>
        <v>Glyphs_UC = 64 ,  // 0x40 (binary = 01000000) - Use upper case hexadecimal glyphs.</v>
      </c>
      <c r="F10" s="5" t="str">
        <f t="shared" si="2"/>
        <v>0x40</v>
      </c>
      <c r="G10" s="5" t="str">
        <f t="shared" si="8"/>
        <v>01000000</v>
      </c>
      <c r="H10" s="5"/>
      <c r="I10" s="5" t="str">
        <f>M10</f>
        <v>HEXADECIMAL_UC</v>
      </c>
      <c r="J10" s="5"/>
      <c r="K10" s="6" t="s">
        <v>171</v>
      </c>
      <c r="L10" s="5" t="s">
        <v>173</v>
      </c>
      <c r="M10" s="5" t="str">
        <f t="shared" si="4"/>
        <v>HEXADECIMAL_UC</v>
      </c>
      <c r="N10" s="5" t="str">
        <f t="shared" si="9"/>
        <v>X</v>
      </c>
      <c r="O10" s="5"/>
    </row>
    <row r="11" spans="1:15" x14ac:dyDescent="0.25">
      <c r="A11" s="5" t="s">
        <v>178</v>
      </c>
      <c r="B11" s="5">
        <f t="shared" si="1"/>
        <v>12</v>
      </c>
      <c r="C11" s="5" t="str">
        <f>"Prefix_Ox_LC | Prefix_Ox_UC | Prefix_Oh_LC | Prefix_Oh_UC"</f>
        <v>Prefix_Ox_LC | Prefix_Ox_UC | Prefix_Oh_LC | Prefix_Oh_UC</v>
      </c>
      <c r="D11" s="5">
        <f>Prefix_Ox_LC+Prefix_Ox_UC+Prefix_Oh_LC+Prefix_Oh_UC</f>
        <v>10</v>
      </c>
      <c r="E11" s="5" t="str">
        <f t="shared" si="5"/>
        <v>All_Prefixes = 10 ,  // 0x0A (binary = 00001010) - All prefix flags</v>
      </c>
      <c r="F11" s="5" t="str">
        <f t="shared" si="2"/>
        <v>0x0A</v>
      </c>
      <c r="G11" s="5" t="str">
        <f t="shared" ref="G11:G14" si="10">IF(ISBLANK(D11),"",DEC2BIN(D11,8))</f>
        <v>00001010</v>
      </c>
      <c r="H11" s="5"/>
      <c r="I11" s="5"/>
      <c r="J11" s="5"/>
      <c r="K11" s="6" t="s">
        <v>182</v>
      </c>
      <c r="L11" s="5"/>
      <c r="M11" s="5"/>
      <c r="N11" s="5"/>
      <c r="O11" s="5"/>
    </row>
    <row r="12" spans="1:15" x14ac:dyDescent="0.25">
      <c r="A12" s="5" t="s">
        <v>179</v>
      </c>
      <c r="B12" s="5">
        <f t="shared" si="1"/>
        <v>12</v>
      </c>
      <c r="C12" s="5" t="str">
        <f>"Suffix_h_LC | Suffix_h_UC"</f>
        <v>Suffix_h_LC | Suffix_h_UC</v>
      </c>
      <c r="D12" s="5">
        <f>Suffix_h_LC+Suffix_h_UC</f>
        <v>24</v>
      </c>
      <c r="E12" s="5" t="str">
        <f t="shared" si="5"/>
        <v>All_Suffixes = 24 ,  // 0x18 (binary = 00011000) - All suffix flags</v>
      </c>
      <c r="F12" s="5" t="str">
        <f t="shared" si="2"/>
        <v>0x18</v>
      </c>
      <c r="G12" s="5" t="str">
        <f t="shared" si="10"/>
        <v>00011000</v>
      </c>
      <c r="H12" s="5"/>
      <c r="I12" s="5"/>
      <c r="J12" s="5"/>
      <c r="K12" s="6" t="s">
        <v>183</v>
      </c>
      <c r="L12" s="5"/>
      <c r="M12" s="5"/>
      <c r="N12" s="5"/>
      <c r="O12" s="5"/>
    </row>
    <row r="13" spans="1:15" x14ac:dyDescent="0.25">
      <c r="A13" s="5" t="s">
        <v>180</v>
      </c>
      <c r="B13" s="5">
        <f t="shared" si="1"/>
        <v>10</v>
      </c>
      <c r="C13" s="5" t="str">
        <f>"Glyphs_LC | Glyphs_UC"</f>
        <v>Glyphs_LC | Glyphs_UC</v>
      </c>
      <c r="D13" s="5">
        <f>Glyphs_LC+Glyphs_UC</f>
        <v>96</v>
      </c>
      <c r="E13" s="5" t="str">
        <f t="shared" si="5"/>
        <v>All_Glyphs = 96 ,  // 0x60 (binary = 01100000) - All glyph flags</v>
      </c>
      <c r="F13" s="5" t="str">
        <f t="shared" si="2"/>
        <v>0x60</v>
      </c>
      <c r="G13" s="5" t="str">
        <f t="shared" si="10"/>
        <v>01100000</v>
      </c>
      <c r="H13" s="5"/>
      <c r="I13" s="5"/>
      <c r="J13" s="5"/>
      <c r="K13" s="6" t="s">
        <v>184</v>
      </c>
      <c r="L13" s="5"/>
      <c r="M13" s="5"/>
      <c r="N13" s="5"/>
      <c r="O13" s="5"/>
    </row>
    <row r="14" spans="1:15" x14ac:dyDescent="0.25">
      <c r="A14" s="5" t="s">
        <v>181</v>
      </c>
      <c r="B14" s="5">
        <f t="shared" si="1"/>
        <v>9</v>
      </c>
      <c r="C14" s="5" t="str">
        <f>"Prefix_Oh_LC___Prefix_Oh_UC___Prefix_Ox_LC___Prefix_Ox_UC | Suffix_h_LC___Suffix_h_UC | Glyphs_LC___Glyphs_UC"</f>
        <v>Prefix_Oh_LC___Prefix_Oh_UC___Prefix_Ox_LC___Prefix_Ox_UC | Suffix_h_LC___Suffix_h_UC | Glyphs_LC___Glyphs_UC</v>
      </c>
      <c r="D14" s="5">
        <f>Prefix_Oh_LC___Prefix_Oh_UC___Prefix_Ox_LC___Prefix_Ox_UC+Suffix_h_LC___Suffix_h_UC+Glyphs_LC___Glyphs_UC</f>
        <v>130</v>
      </c>
      <c r="E14" s="5" t="str">
        <f t="shared" si="5"/>
        <v>All_Flags = 130 ,  // 0x82 (binary = 10000010) - All flags, period</v>
      </c>
      <c r="F14" s="5" t="str">
        <f t="shared" si="2"/>
        <v>0x82</v>
      </c>
      <c r="G14" s="5" t="str">
        <f t="shared" si="10"/>
        <v>10000010</v>
      </c>
      <c r="H14" s="5"/>
      <c r="I14" s="5"/>
      <c r="J14" s="5"/>
      <c r="K14" s="6" t="s">
        <v>185</v>
      </c>
      <c r="L14" s="5"/>
      <c r="M14" s="5"/>
      <c r="N14" s="5"/>
      <c r="O14" s="5"/>
    </row>
    <row r="16" spans="1:15" ht="18" x14ac:dyDescent="0.25">
      <c r="A16" s="7" t="s">
        <v>188</v>
      </c>
      <c r="B16" s="5">
        <f>MAX(B2:B15)</f>
        <v>12</v>
      </c>
    </row>
  </sheetData>
  <conditionalFormatting sqref="H2:I6 I7:J8">
    <cfRule type="expression" dxfId="115" priority="48">
      <formula>ISBLANK(H2)</formula>
    </cfRule>
  </conditionalFormatting>
  <conditionalFormatting sqref="J2">
    <cfRule type="expression" dxfId="114" priority="46">
      <formula>ISBLANK(J2)</formula>
    </cfRule>
  </conditionalFormatting>
  <conditionalFormatting sqref="J3:J6">
    <cfRule type="expression" dxfId="113" priority="45">
      <formula>ISBLANK(J3)</formula>
    </cfRule>
  </conditionalFormatting>
  <conditionalFormatting sqref="L2">
    <cfRule type="expression" dxfId="112" priority="44">
      <formula>OR(ISBLANK(L2),LEN(L2)=0)</formula>
    </cfRule>
  </conditionalFormatting>
  <conditionalFormatting sqref="L3:L8">
    <cfRule type="expression" dxfId="111" priority="42">
      <formula>OR(ISBLANK(L3),LEN(L3)=0)</formula>
    </cfRule>
  </conditionalFormatting>
  <conditionalFormatting sqref="M2 O2">
    <cfRule type="expression" dxfId="110" priority="41">
      <formula>OR(ISBLANK(M2),LEN(M2)=0)</formula>
    </cfRule>
  </conditionalFormatting>
  <conditionalFormatting sqref="O3:O8">
    <cfRule type="expression" dxfId="109" priority="40">
      <formula>OR(ISBLANK(O3),LEN(O3)=0)</formula>
    </cfRule>
  </conditionalFormatting>
  <conditionalFormatting sqref="N3:N8">
    <cfRule type="expression" dxfId="108" priority="38">
      <formula>OR(ISBLANK(N3),LEN(N3)=0)</formula>
    </cfRule>
  </conditionalFormatting>
  <conditionalFormatting sqref="N2">
    <cfRule type="expression" dxfId="107" priority="37">
      <formula>OR(ISBLANK(N2),LEN(N2)=0)</formula>
    </cfRule>
  </conditionalFormatting>
  <conditionalFormatting sqref="J9">
    <cfRule type="expression" dxfId="106" priority="23">
      <formula>ISBLANK(J9)</formula>
    </cfRule>
  </conditionalFormatting>
  <conditionalFormatting sqref="O9">
    <cfRule type="expression" dxfId="105" priority="21">
      <formula>OR(ISBLANK(O9),LEN(O9)=0)</formula>
    </cfRule>
  </conditionalFormatting>
  <conditionalFormatting sqref="N10">
    <cfRule type="expression" dxfId="104" priority="13">
      <formula>OR(ISBLANK(N10),LEN(N10)=0)</formula>
    </cfRule>
  </conditionalFormatting>
  <conditionalFormatting sqref="N9">
    <cfRule type="expression" dxfId="103" priority="19">
      <formula>OR(ISBLANK(N9),LEN(N9)=0)</formula>
    </cfRule>
  </conditionalFormatting>
  <conditionalFormatting sqref="M3:M10">
    <cfRule type="expression" dxfId="102" priority="12">
      <formula>OR(ISBLANK(M3),LEN(M3)=0)</formula>
    </cfRule>
  </conditionalFormatting>
  <conditionalFormatting sqref="H9">
    <cfRule type="expression" dxfId="101" priority="24">
      <formula>ISBLANK(H9)</formula>
    </cfRule>
  </conditionalFormatting>
  <conditionalFormatting sqref="L9">
    <cfRule type="expression" dxfId="100" priority="22">
      <formula>OR(ISBLANK(L9),LEN(L9)=0)</formula>
    </cfRule>
  </conditionalFormatting>
  <conditionalFormatting sqref="H10">
    <cfRule type="expression" dxfId="99" priority="18">
      <formula>ISBLANK(H10)</formula>
    </cfRule>
  </conditionalFormatting>
  <conditionalFormatting sqref="H11:I14">
    <cfRule type="expression" dxfId="98" priority="10">
      <formula>ISBLANK(H11)</formula>
    </cfRule>
  </conditionalFormatting>
  <conditionalFormatting sqref="L10">
    <cfRule type="expression" dxfId="97" priority="16">
      <formula>OR(ISBLANK(L10),LEN(L10)=0)</formula>
    </cfRule>
  </conditionalFormatting>
  <conditionalFormatting sqref="O10">
    <cfRule type="expression" dxfId="96" priority="15">
      <formula>OR(ISBLANK(O10),LEN(O10)=0)</formula>
    </cfRule>
  </conditionalFormatting>
  <conditionalFormatting sqref="M11:M14">
    <cfRule type="expression" dxfId="95" priority="6">
      <formula>OR(ISBLANK(M11),LEN(M11)=0)</formula>
    </cfRule>
  </conditionalFormatting>
  <conditionalFormatting sqref="J10">
    <cfRule type="expression" dxfId="94" priority="11">
      <formula>ISBLANK(J10)</formula>
    </cfRule>
  </conditionalFormatting>
  <conditionalFormatting sqref="L11:L14">
    <cfRule type="expression" dxfId="93" priority="9">
      <formula>OR(ISBLANK(L11),LEN(L11)=0)</formula>
    </cfRule>
  </conditionalFormatting>
  <conditionalFormatting sqref="O11:O14">
    <cfRule type="expression" dxfId="92" priority="8">
      <formula>OR(ISBLANK(O11),LEN(O11)=0)</formula>
    </cfRule>
  </conditionalFormatting>
  <conditionalFormatting sqref="N11:N14">
    <cfRule type="expression" dxfId="91" priority="7">
      <formula>OR(ISBLANK(N11),LEN(N11)=0)</formula>
    </cfRule>
  </conditionalFormatting>
  <conditionalFormatting sqref="J11:J14">
    <cfRule type="expression" dxfId="90" priority="5">
      <formula>ISBLANK(J11)</formula>
    </cfRule>
  </conditionalFormatting>
  <conditionalFormatting sqref="I9">
    <cfRule type="expression" dxfId="89" priority="4">
      <formula>ISBLANK(I9)</formula>
    </cfRule>
  </conditionalFormatting>
  <conditionalFormatting sqref="I10">
    <cfRule type="expression" dxfId="88" priority="3">
      <formula>ISBLANK(I10)</formula>
    </cfRule>
  </conditionalFormatting>
  <conditionalFormatting sqref="H7">
    <cfRule type="expression" dxfId="87" priority="2">
      <formula>ISBLANK(H7)</formula>
    </cfRule>
  </conditionalFormatting>
  <conditionalFormatting sqref="H8">
    <cfRule type="expression" dxfId="86" priority="1">
      <formula>ISBLANK(H8)</formula>
    </cfRule>
  </conditionalFormatting>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U14"/>
  <sheetViews>
    <sheetView workbookViewId="0">
      <pane xSplit="2" ySplit="2" topLeftCell="C3" activePane="bottomRight" state="frozen"/>
      <selection pane="topRight" activeCell="C1" sqref="C1"/>
      <selection pane="bottomLeft" activeCell="A3" sqref="A3"/>
      <selection pane="bottomRight" activeCell="C3" sqref="C3:U14"/>
    </sheetView>
  </sheetViews>
  <sheetFormatPr defaultRowHeight="15" x14ac:dyDescent="0.25"/>
  <cols>
    <col min="1" max="1" width="24.25" style="8" bestFit="1" customWidth="1"/>
    <col min="2" max="2" width="7.75" style="8" bestFit="1" customWidth="1"/>
    <col min="3" max="3" width="23.25" style="8" bestFit="1" customWidth="1"/>
    <col min="4" max="4" width="20.125" style="8" bestFit="1" customWidth="1"/>
    <col min="5" max="5" width="10.75" style="8" bestFit="1" customWidth="1"/>
    <col min="6" max="6" width="13.875" style="8" bestFit="1" customWidth="1"/>
    <col min="7" max="7" width="13.875" style="8" customWidth="1"/>
    <col min="8" max="9" width="11.625" style="8" customWidth="1"/>
    <col min="10" max="10" width="8.375" style="8" bestFit="1" customWidth="1"/>
    <col min="11" max="11" width="6.125" style="8" bestFit="1" customWidth="1"/>
    <col min="12" max="12" width="13.125" style="8" bestFit="1" customWidth="1"/>
    <col min="13" max="13" width="8" style="8" bestFit="1" customWidth="1"/>
    <col min="14" max="14" width="10" style="8" bestFit="1" customWidth="1"/>
    <col min="15" max="15" width="6.375" style="8" bestFit="1" customWidth="1"/>
    <col min="16" max="16" width="6.625" style="8" bestFit="1" customWidth="1"/>
    <col min="17" max="17" width="14.375" style="8" bestFit="1" customWidth="1"/>
    <col min="18" max="18" width="14" style="8" bestFit="1" customWidth="1"/>
    <col min="19" max="19" width="9" style="8"/>
    <col min="20" max="20" width="50.625" style="8" customWidth="1"/>
    <col min="21" max="21" width="81" style="8" bestFit="1" customWidth="1"/>
    <col min="22" max="16384" width="9" style="8"/>
  </cols>
  <sheetData>
    <row r="1" spans="1:21" ht="22.5" x14ac:dyDescent="0.25">
      <c r="A1" s="36" t="s">
        <v>61</v>
      </c>
      <c r="B1" s="37"/>
      <c r="C1" s="43" t="s">
        <v>144</v>
      </c>
      <c r="D1" s="44"/>
      <c r="E1" s="46" t="s">
        <v>83</v>
      </c>
      <c r="F1" s="9" t="s">
        <v>69</v>
      </c>
      <c r="G1" s="26"/>
      <c r="H1" s="14"/>
      <c r="I1" s="14"/>
      <c r="J1" s="14"/>
      <c r="K1" s="14"/>
      <c r="L1" s="36" t="s">
        <v>71</v>
      </c>
      <c r="M1" s="38"/>
      <c r="N1" s="36" t="s">
        <v>62</v>
      </c>
      <c r="O1" s="37"/>
      <c r="P1" s="37"/>
      <c r="Q1" s="37"/>
      <c r="R1" s="37"/>
      <c r="S1" s="38"/>
      <c r="T1" s="36" t="s">
        <v>68</v>
      </c>
      <c r="U1" s="38"/>
    </row>
    <row r="2" spans="1:21" ht="18" x14ac:dyDescent="0.25">
      <c r="A2" s="9" t="s">
        <v>9</v>
      </c>
      <c r="B2" s="27" t="s">
        <v>5</v>
      </c>
      <c r="C2" s="9" t="s">
        <v>145</v>
      </c>
      <c r="D2" s="28" t="s">
        <v>146</v>
      </c>
      <c r="E2" s="47"/>
      <c r="F2" s="9" t="s">
        <v>123</v>
      </c>
      <c r="G2" s="9" t="s">
        <v>124</v>
      </c>
      <c r="H2" s="9" t="s">
        <v>79</v>
      </c>
      <c r="I2" s="9" t="s">
        <v>78</v>
      </c>
      <c r="J2" s="9" t="s">
        <v>134</v>
      </c>
      <c r="K2" s="9" t="s">
        <v>135</v>
      </c>
      <c r="L2" s="9" t="s">
        <v>72</v>
      </c>
      <c r="M2" s="9" t="s">
        <v>73</v>
      </c>
      <c r="N2" s="9" t="s">
        <v>63</v>
      </c>
      <c r="O2" s="9" t="s">
        <v>64</v>
      </c>
      <c r="P2" s="9" t="s">
        <v>65</v>
      </c>
      <c r="Q2" s="9" t="s">
        <v>77</v>
      </c>
      <c r="R2" s="9" t="s">
        <v>66</v>
      </c>
      <c r="S2" s="9" t="s">
        <v>67</v>
      </c>
      <c r="T2" s="9" t="s">
        <v>42</v>
      </c>
      <c r="U2" s="9" t="s">
        <v>59</v>
      </c>
    </row>
    <row r="3" spans="1:21" ht="42.75" x14ac:dyDescent="0.25">
      <c r="A3" s="10" t="s">
        <v>55</v>
      </c>
      <c r="B3" s="10" t="s">
        <v>56</v>
      </c>
      <c r="C3" s="10"/>
      <c r="D3" s="10"/>
      <c r="E3" s="11" t="s">
        <v>84</v>
      </c>
      <c r="F3" s="11" t="b">
        <v>1</v>
      </c>
      <c r="G3" s="11" t="b">
        <v>1</v>
      </c>
      <c r="H3" s="11" t="b">
        <v>1</v>
      </c>
      <c r="I3" s="11" t="b">
        <v>1</v>
      </c>
      <c r="J3" s="11" t="b">
        <v>1</v>
      </c>
      <c r="K3" s="11" t="b">
        <v>0</v>
      </c>
      <c r="L3" s="11" t="s">
        <v>81</v>
      </c>
      <c r="M3" s="11" t="s">
        <v>70</v>
      </c>
      <c r="N3" s="11" t="b">
        <v>1</v>
      </c>
      <c r="O3" s="11" t="b">
        <v>1</v>
      </c>
      <c r="P3" s="11" t="b">
        <v>0</v>
      </c>
      <c r="Q3" s="11" t="b">
        <v>0</v>
      </c>
      <c r="R3" s="11" t="b">
        <v>0</v>
      </c>
      <c r="S3" s="11" t="b">
        <v>0</v>
      </c>
      <c r="T3" s="13" t="s">
        <v>57</v>
      </c>
      <c r="U3" s="12" t="s">
        <v>58</v>
      </c>
    </row>
    <row r="4" spans="1:21" ht="85.5" x14ac:dyDescent="0.25">
      <c r="A4" s="10" t="s">
        <v>74</v>
      </c>
      <c r="B4" s="10" t="s">
        <v>75</v>
      </c>
      <c r="C4" s="10" t="s">
        <v>149</v>
      </c>
      <c r="D4" s="10" t="s">
        <v>150</v>
      </c>
      <c r="E4" s="11" t="s">
        <v>85</v>
      </c>
      <c r="F4" s="11" t="b">
        <v>0</v>
      </c>
      <c r="G4" s="11" t="b">
        <v>0</v>
      </c>
      <c r="H4" s="11" t="b">
        <v>0</v>
      </c>
      <c r="I4" s="11" t="b">
        <v>0</v>
      </c>
      <c r="J4" s="11" t="b">
        <v>1</v>
      </c>
      <c r="K4" s="11" t="b">
        <v>0</v>
      </c>
      <c r="L4" s="11" t="s">
        <v>82</v>
      </c>
      <c r="M4" s="11" t="s">
        <v>76</v>
      </c>
      <c r="N4" s="11" t="b">
        <v>1</v>
      </c>
      <c r="O4" s="11" t="b">
        <v>0</v>
      </c>
      <c r="P4" s="11" t="b">
        <v>0</v>
      </c>
      <c r="Q4" s="11" t="b">
        <v>0</v>
      </c>
      <c r="R4" s="11" t="b">
        <v>0</v>
      </c>
      <c r="S4" s="11" t="b">
        <v>0</v>
      </c>
      <c r="T4" s="13" t="s">
        <v>86</v>
      </c>
      <c r="U4" s="12" t="s">
        <v>93</v>
      </c>
    </row>
    <row r="5" spans="1:21" ht="42.75" x14ac:dyDescent="0.25">
      <c r="A5" s="10" t="s">
        <v>60</v>
      </c>
      <c r="B5" s="10" t="s">
        <v>80</v>
      </c>
      <c r="C5" s="10" t="s">
        <v>147</v>
      </c>
      <c r="D5" s="10" t="s">
        <v>148</v>
      </c>
      <c r="E5" s="11" t="s">
        <v>84</v>
      </c>
      <c r="F5" s="11" t="b">
        <v>0</v>
      </c>
      <c r="G5" s="11" t="b">
        <v>0</v>
      </c>
      <c r="H5" s="11" t="b">
        <v>1</v>
      </c>
      <c r="I5" s="11" t="b">
        <v>1</v>
      </c>
      <c r="J5" s="11" t="b">
        <v>1</v>
      </c>
      <c r="K5" s="11" t="b">
        <v>0</v>
      </c>
      <c r="L5" s="11" t="s">
        <v>81</v>
      </c>
      <c r="M5" s="11" t="s">
        <v>70</v>
      </c>
      <c r="N5" s="11" t="b">
        <v>1</v>
      </c>
      <c r="O5" s="11" t="b">
        <v>1</v>
      </c>
      <c r="P5" s="11" t="b">
        <v>0</v>
      </c>
      <c r="Q5" s="11" t="b">
        <v>0</v>
      </c>
      <c r="R5" s="11" t="b">
        <v>0</v>
      </c>
      <c r="S5" s="11" t="b">
        <v>0</v>
      </c>
      <c r="T5" s="13" t="s">
        <v>120</v>
      </c>
      <c r="U5" s="15" t="s">
        <v>94</v>
      </c>
    </row>
    <row r="6" spans="1:21" ht="71.25" customHeight="1" x14ac:dyDescent="0.25">
      <c r="A6" s="10" t="s">
        <v>90</v>
      </c>
      <c r="B6" s="10" t="s">
        <v>91</v>
      </c>
      <c r="C6" s="10"/>
      <c r="D6" s="10"/>
      <c r="E6" s="34" t="s">
        <v>84</v>
      </c>
      <c r="F6" s="34" t="b">
        <v>0</v>
      </c>
      <c r="G6" s="34" t="b">
        <v>0</v>
      </c>
      <c r="H6" s="34" t="b">
        <v>0</v>
      </c>
      <c r="I6" s="34" t="b">
        <v>1</v>
      </c>
      <c r="J6" s="34" t="b">
        <v>1</v>
      </c>
      <c r="K6" s="34" t="b">
        <v>0</v>
      </c>
      <c r="L6" s="34" t="s">
        <v>81</v>
      </c>
      <c r="M6" s="34" t="s">
        <v>70</v>
      </c>
      <c r="N6" s="34" t="b">
        <v>1</v>
      </c>
      <c r="O6" s="34" t="b">
        <v>1</v>
      </c>
      <c r="P6" s="34" t="b">
        <v>1</v>
      </c>
      <c r="Q6" s="34" t="b">
        <v>1</v>
      </c>
      <c r="R6" s="34" t="b">
        <v>1</v>
      </c>
      <c r="S6" s="34" t="b">
        <v>1</v>
      </c>
      <c r="T6" s="39" t="s">
        <v>88</v>
      </c>
      <c r="U6" s="41" t="s">
        <v>92</v>
      </c>
    </row>
    <row r="7" spans="1:21" x14ac:dyDescent="0.25">
      <c r="A7" s="10" t="s">
        <v>89</v>
      </c>
      <c r="B7" s="10" t="s">
        <v>87</v>
      </c>
      <c r="C7" s="10" t="s">
        <v>151</v>
      </c>
      <c r="D7" s="10" t="s">
        <v>152</v>
      </c>
      <c r="E7" s="35"/>
      <c r="F7" s="35"/>
      <c r="G7" s="35"/>
      <c r="H7" s="35"/>
      <c r="I7" s="35"/>
      <c r="J7" s="35"/>
      <c r="K7" s="35"/>
      <c r="L7" s="35"/>
      <c r="M7" s="35"/>
      <c r="N7" s="35"/>
      <c r="O7" s="35"/>
      <c r="P7" s="35"/>
      <c r="Q7" s="35"/>
      <c r="R7" s="35"/>
      <c r="S7" s="35"/>
      <c r="T7" s="40"/>
      <c r="U7" s="42"/>
    </row>
    <row r="8" spans="1:21" ht="185.25" customHeight="1" x14ac:dyDescent="0.25">
      <c r="A8" s="10" t="s">
        <v>116</v>
      </c>
      <c r="B8" s="10" t="s">
        <v>118</v>
      </c>
      <c r="C8" s="10"/>
      <c r="D8" s="10"/>
      <c r="E8" s="34" t="s">
        <v>85</v>
      </c>
      <c r="F8" s="34" t="b">
        <v>0</v>
      </c>
      <c r="G8" s="34" t="b">
        <v>0</v>
      </c>
      <c r="H8" s="34" t="b">
        <v>0</v>
      </c>
      <c r="I8" s="34" t="b">
        <v>0</v>
      </c>
      <c r="J8" s="34" t="b">
        <v>0</v>
      </c>
      <c r="K8" s="34" t="b">
        <v>0</v>
      </c>
      <c r="L8" s="34" t="s">
        <v>82</v>
      </c>
      <c r="M8" s="34" t="s">
        <v>76</v>
      </c>
      <c r="N8" s="34" t="b">
        <v>1</v>
      </c>
      <c r="O8" s="34" t="b">
        <v>0</v>
      </c>
      <c r="P8" s="34" t="b">
        <v>0</v>
      </c>
      <c r="Q8" s="34" t="b">
        <v>0</v>
      </c>
      <c r="R8" s="34" t="b">
        <v>0</v>
      </c>
      <c r="S8" s="34" t="b">
        <v>0</v>
      </c>
      <c r="T8" s="39" t="s">
        <v>114</v>
      </c>
      <c r="U8" s="45" t="s">
        <v>115</v>
      </c>
    </row>
    <row r="9" spans="1:21" x14ac:dyDescent="0.25">
      <c r="A9" s="10" t="s">
        <v>117</v>
      </c>
      <c r="B9" s="10" t="s">
        <v>119</v>
      </c>
      <c r="C9" s="10" t="s">
        <v>153</v>
      </c>
      <c r="D9" s="10" t="s">
        <v>150</v>
      </c>
      <c r="E9" s="35"/>
      <c r="F9" s="35"/>
      <c r="G9" s="35"/>
      <c r="H9" s="35"/>
      <c r="I9" s="35"/>
      <c r="J9" s="35"/>
      <c r="K9" s="35"/>
      <c r="L9" s="35"/>
      <c r="M9" s="35"/>
      <c r="N9" s="35"/>
      <c r="O9" s="35"/>
      <c r="P9" s="35"/>
      <c r="Q9" s="35"/>
      <c r="R9" s="35"/>
      <c r="S9" s="35"/>
      <c r="T9" s="40"/>
      <c r="U9" s="42"/>
    </row>
    <row r="10" spans="1:21" ht="57" x14ac:dyDescent="0.25">
      <c r="A10" s="10" t="s">
        <v>121</v>
      </c>
      <c r="B10" s="10" t="s">
        <v>122</v>
      </c>
      <c r="C10" s="10" t="s">
        <v>154</v>
      </c>
      <c r="D10" s="10" t="s">
        <v>148</v>
      </c>
      <c r="E10" s="11" t="s">
        <v>84</v>
      </c>
      <c r="F10" s="11" t="b">
        <v>1</v>
      </c>
      <c r="G10" s="11" t="b">
        <v>1</v>
      </c>
      <c r="H10" s="11" t="b">
        <v>1</v>
      </c>
      <c r="I10" s="11" t="b">
        <v>1</v>
      </c>
      <c r="J10" s="11" t="b">
        <v>1</v>
      </c>
      <c r="K10" s="11" t="b">
        <v>0</v>
      </c>
      <c r="L10" s="11" t="s">
        <v>81</v>
      </c>
      <c r="M10" s="11" t="s">
        <v>70</v>
      </c>
      <c r="N10" s="11" t="b">
        <v>1</v>
      </c>
      <c r="O10" s="11" t="b">
        <v>1</v>
      </c>
      <c r="P10" s="11" t="b">
        <v>0</v>
      </c>
      <c r="Q10" s="11" t="b">
        <v>0</v>
      </c>
      <c r="R10" s="11" t="b">
        <v>0</v>
      </c>
      <c r="S10" s="11" t="b">
        <v>0</v>
      </c>
      <c r="T10" s="13" t="s">
        <v>125</v>
      </c>
      <c r="U10" s="12" t="s">
        <v>126</v>
      </c>
    </row>
    <row r="11" spans="1:21" ht="57" x14ac:dyDescent="0.25">
      <c r="A11" s="10" t="s">
        <v>127</v>
      </c>
      <c r="B11" s="10" t="s">
        <v>128</v>
      </c>
      <c r="C11" s="10" t="s">
        <v>155</v>
      </c>
      <c r="D11" s="10" t="s">
        <v>148</v>
      </c>
      <c r="E11" s="11" t="s">
        <v>84</v>
      </c>
      <c r="F11" s="11" t="b">
        <v>1</v>
      </c>
      <c r="G11" s="11" t="b">
        <v>1</v>
      </c>
      <c r="H11" s="11" t="b">
        <v>1</v>
      </c>
      <c r="I11" s="11" t="b">
        <v>1</v>
      </c>
      <c r="J11" s="11" t="b">
        <v>1</v>
      </c>
      <c r="K11" s="11" t="b">
        <v>0</v>
      </c>
      <c r="L11" s="11" t="s">
        <v>81</v>
      </c>
      <c r="M11" s="11" t="s">
        <v>70</v>
      </c>
      <c r="N11" s="11" t="b">
        <v>1</v>
      </c>
      <c r="O11" s="11" t="b">
        <v>1</v>
      </c>
      <c r="P11" s="11" t="b">
        <v>0</v>
      </c>
      <c r="Q11" s="11" t="b">
        <v>0</v>
      </c>
      <c r="R11" s="11" t="b">
        <v>0</v>
      </c>
      <c r="S11" s="11" t="b">
        <v>0</v>
      </c>
      <c r="T11" s="13" t="s">
        <v>129</v>
      </c>
      <c r="U11" s="12" t="s">
        <v>130</v>
      </c>
    </row>
    <row r="12" spans="1:21" ht="71.25" x14ac:dyDescent="0.25">
      <c r="A12" s="10" t="s">
        <v>132</v>
      </c>
      <c r="B12" s="10" t="s">
        <v>133</v>
      </c>
      <c r="C12" s="10"/>
      <c r="D12" s="10"/>
      <c r="E12" s="11" t="s">
        <v>84</v>
      </c>
      <c r="F12" s="11" t="b">
        <v>0</v>
      </c>
      <c r="G12" s="11" t="b">
        <v>0</v>
      </c>
      <c r="H12" s="11" t="b">
        <v>1</v>
      </c>
      <c r="I12" s="11" t="b">
        <v>0</v>
      </c>
      <c r="J12" s="11" t="b">
        <v>1</v>
      </c>
      <c r="K12" s="11" t="b">
        <v>1</v>
      </c>
      <c r="L12" s="11" t="s">
        <v>136</v>
      </c>
      <c r="M12" s="11" t="s">
        <v>76</v>
      </c>
      <c r="N12" s="11" t="b">
        <v>0</v>
      </c>
      <c r="O12" s="11" t="b">
        <v>1</v>
      </c>
      <c r="P12" s="11" t="b">
        <v>0</v>
      </c>
      <c r="Q12" s="11" t="b">
        <v>0</v>
      </c>
      <c r="R12" s="11" t="b">
        <v>0</v>
      </c>
      <c r="S12" s="11" t="b">
        <v>0</v>
      </c>
      <c r="T12" s="13" t="s">
        <v>131</v>
      </c>
      <c r="U12" s="12" t="s">
        <v>137</v>
      </c>
    </row>
    <row r="13" spans="1:21" x14ac:dyDescent="0.25">
      <c r="A13" s="10" t="s">
        <v>138</v>
      </c>
      <c r="B13" s="10" t="s">
        <v>140</v>
      </c>
      <c r="C13" s="10" t="s">
        <v>156</v>
      </c>
      <c r="D13" s="10" t="s">
        <v>148</v>
      </c>
      <c r="E13" s="11" t="s">
        <v>84</v>
      </c>
      <c r="F13" s="34" t="b">
        <v>0</v>
      </c>
      <c r="G13" s="34" t="b">
        <v>0</v>
      </c>
      <c r="H13" s="34" t="b">
        <v>1</v>
      </c>
      <c r="I13" s="34" t="b">
        <v>0</v>
      </c>
      <c r="J13" s="34" t="b">
        <v>1</v>
      </c>
      <c r="K13" s="34" t="b">
        <v>1</v>
      </c>
      <c r="L13" s="34" t="s">
        <v>81</v>
      </c>
      <c r="M13" s="34" t="s">
        <v>70</v>
      </c>
      <c r="N13" s="34" t="b">
        <v>1</v>
      </c>
      <c r="O13" s="34" t="b">
        <v>1</v>
      </c>
      <c r="P13" s="34" t="b">
        <v>0</v>
      </c>
      <c r="Q13" s="34" t="b">
        <v>0</v>
      </c>
      <c r="R13" s="34" t="b">
        <v>0</v>
      </c>
      <c r="S13" s="34" t="b">
        <v>0</v>
      </c>
      <c r="T13" s="39" t="s">
        <v>142</v>
      </c>
      <c r="U13" s="45" t="s">
        <v>143</v>
      </c>
    </row>
    <row r="14" spans="1:21" x14ac:dyDescent="0.25">
      <c r="A14" s="10" t="s">
        <v>139</v>
      </c>
      <c r="B14" s="10" t="s">
        <v>141</v>
      </c>
      <c r="C14" s="10" t="s">
        <v>157</v>
      </c>
      <c r="D14" s="10" t="s">
        <v>148</v>
      </c>
      <c r="E14" s="11" t="s">
        <v>84</v>
      </c>
      <c r="F14" s="35"/>
      <c r="G14" s="35"/>
      <c r="H14" s="35"/>
      <c r="I14" s="35"/>
      <c r="J14" s="35"/>
      <c r="K14" s="35"/>
      <c r="L14" s="35"/>
      <c r="M14" s="35"/>
      <c r="N14" s="35"/>
      <c r="O14" s="35"/>
      <c r="P14" s="35"/>
      <c r="Q14" s="35"/>
      <c r="R14" s="35"/>
      <c r="S14" s="35"/>
      <c r="T14" s="40"/>
      <c r="U14" s="42"/>
    </row>
  </sheetData>
  <mergeCells count="56">
    <mergeCell ref="T13:T14"/>
    <mergeCell ref="U13:U14"/>
    <mergeCell ref="E1:E2"/>
    <mergeCell ref="P13:P14"/>
    <mergeCell ref="Q13:Q14"/>
    <mergeCell ref="R8:R9"/>
    <mergeCell ref="S8:S9"/>
    <mergeCell ref="T8:T9"/>
    <mergeCell ref="U8:U9"/>
    <mergeCell ref="M8:M9"/>
    <mergeCell ref="N8:N9"/>
    <mergeCell ref="O8:O9"/>
    <mergeCell ref="P8:P9"/>
    <mergeCell ref="Q8:Q9"/>
    <mergeCell ref="K6:K7"/>
    <mergeCell ref="K8:K9"/>
    <mergeCell ref="L8:L9"/>
    <mergeCell ref="R13:R14"/>
    <mergeCell ref="S13:S14"/>
    <mergeCell ref="O6:O7"/>
    <mergeCell ref="P6:P7"/>
    <mergeCell ref="Q6:Q7"/>
    <mergeCell ref="M6:M7"/>
    <mergeCell ref="N6:N7"/>
    <mergeCell ref="C1:D1"/>
    <mergeCell ref="L13:L14"/>
    <mergeCell ref="M13:M14"/>
    <mergeCell ref="N13:N14"/>
    <mergeCell ref="O13:O14"/>
    <mergeCell ref="F13:F14"/>
    <mergeCell ref="G13:G14"/>
    <mergeCell ref="H13:H14"/>
    <mergeCell ref="I13:I14"/>
    <mergeCell ref="J13:J14"/>
    <mergeCell ref="K13:K14"/>
    <mergeCell ref="G6:G7"/>
    <mergeCell ref="G8:G9"/>
    <mergeCell ref="E8:E9"/>
    <mergeCell ref="F8:F9"/>
    <mergeCell ref="H8:H9"/>
    <mergeCell ref="I8:I9"/>
    <mergeCell ref="J8:J9"/>
    <mergeCell ref="A1:B1"/>
    <mergeCell ref="N1:S1"/>
    <mergeCell ref="T1:U1"/>
    <mergeCell ref="L1:M1"/>
    <mergeCell ref="E6:E7"/>
    <mergeCell ref="F6:F7"/>
    <mergeCell ref="H6:H7"/>
    <mergeCell ref="I6:I7"/>
    <mergeCell ref="J6:J7"/>
    <mergeCell ref="R6:R7"/>
    <mergeCell ref="S6:S7"/>
    <mergeCell ref="T6:T7"/>
    <mergeCell ref="U6:U7"/>
    <mergeCell ref="L6:L7"/>
  </mergeCells>
  <conditionalFormatting sqref="C3">
    <cfRule type="expression" dxfId="85" priority="6">
      <formula>LEN(C3)=0</formula>
    </cfRule>
  </conditionalFormatting>
  <conditionalFormatting sqref="C4:C6 C8:C14">
    <cfRule type="expression" dxfId="84" priority="5">
      <formula>LEN(C4)=0</formula>
    </cfRule>
  </conditionalFormatting>
  <conditionalFormatting sqref="D3">
    <cfRule type="expression" dxfId="83" priority="4">
      <formula>LEN(D3)=0</formula>
    </cfRule>
  </conditionalFormatting>
  <conditionalFormatting sqref="D4:D6 D8:D14">
    <cfRule type="expression" dxfId="82" priority="3">
      <formula>LEN(D4)=0</formula>
    </cfRule>
  </conditionalFormatting>
  <conditionalFormatting sqref="C7">
    <cfRule type="expression" dxfId="81" priority="2">
      <formula>LEN(C7)=0</formula>
    </cfRule>
  </conditionalFormatting>
  <conditionalFormatting sqref="D7">
    <cfRule type="expression" dxfId="80" priority="1">
      <formula>LEN(D7)=0</formula>
    </cfRule>
  </conditionalFormatting>
  <hyperlinks>
    <hyperlink ref="U3" r:id="rId1" location="CFormatString"/>
    <hyperlink ref="U4" r:id="rId2" location="DFormatString"/>
    <hyperlink ref="U6:U7" r:id="rId3" location="GFormatString" display="https://msdn.microsoft.com/en-us/library/dwhawy9k(v=vs.100).aspx#GFormatString"/>
    <hyperlink ref="U5" r:id="rId4" location="FFormatString"/>
    <hyperlink ref="U8" r:id="rId5" location="XFormatString"/>
    <hyperlink ref="U10" r:id="rId6" location="NFormatString"/>
    <hyperlink ref="U11" r:id="rId7" location="PFormatString"/>
    <hyperlink ref="U12" r:id="rId8" location="RFormatString"/>
    <hyperlink ref="U13:U14" r:id="rId9" location="EFormatString" display="https://msdn.microsoft.com/en-us/library/dwhawy9k(v=vs.110).aspx#EFormatString"/>
  </hyperlinks>
  <pageMargins left="0.7" right="0.7" top="0.75" bottom="0.75" header="0.3" footer="0.3"/>
  <pageSetup scale="30" fitToHeight="0" orientation="landscape" horizontalDpi="0" verticalDpi="0" r:id="rId10"/>
  <headerFooter>
    <oddHeader>&amp;C&amp;"Arial,Bold"&amp;14&amp;A</oddHeader>
    <oddFooter>&amp;L&amp;"Tahoma,Regular"&amp;8
Printed&amp;D @ &amp;T&amp;C&amp;"Tahoma,Regular"&amp;8&amp;Z&amp;F&amp;R&amp;"Tahoma,Regular"&amp;8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E7"/>
  <sheetViews>
    <sheetView workbookViewId="0">
      <pane xSplit="1" ySplit="1" topLeftCell="C2" activePane="bottomRight" state="frozen"/>
      <selection pane="topRight" activeCell="B1" sqref="B1"/>
      <selection pane="bottomLeft" activeCell="A2" sqref="A2"/>
      <selection pane="bottomRight" activeCell="A2" sqref="A2"/>
    </sheetView>
  </sheetViews>
  <sheetFormatPr defaultRowHeight="15" x14ac:dyDescent="0.25"/>
  <cols>
    <col min="1" max="1" width="119.375" bestFit="1" customWidth="1"/>
    <col min="2" max="2" width="100.75" bestFit="1" customWidth="1"/>
    <col min="3" max="3" width="11.875" bestFit="1" customWidth="1"/>
    <col min="4" max="4" width="6.875" bestFit="1" customWidth="1"/>
    <col min="5" max="5" width="20.125" bestFit="1" customWidth="1"/>
  </cols>
  <sheetData>
    <row r="1" spans="1:5" ht="18" x14ac:dyDescent="0.25">
      <c r="A1" s="16" t="s">
        <v>103</v>
      </c>
      <c r="B1" s="16" t="s">
        <v>104</v>
      </c>
      <c r="C1" s="16" t="s">
        <v>111</v>
      </c>
      <c r="D1" s="17" t="s">
        <v>102</v>
      </c>
      <c r="E1" s="16" t="s">
        <v>101</v>
      </c>
    </row>
    <row r="2" spans="1:5" x14ac:dyDescent="0.25">
      <c r="A2" s="18" t="s">
        <v>100</v>
      </c>
      <c r="B2" s="18" t="s">
        <v>105</v>
      </c>
      <c r="C2" s="19" t="s">
        <v>112</v>
      </c>
      <c r="D2" s="20">
        <v>18432</v>
      </c>
      <c r="E2" s="21">
        <v>40825.578935185185</v>
      </c>
    </row>
    <row r="3" spans="1:5" x14ac:dyDescent="0.25">
      <c r="A3" s="22" t="s">
        <v>99</v>
      </c>
      <c r="B3" s="22" t="s">
        <v>106</v>
      </c>
      <c r="C3" s="23" t="s">
        <v>113</v>
      </c>
      <c r="D3" s="24">
        <v>18432</v>
      </c>
      <c r="E3" s="25">
        <v>40825.571203703701</v>
      </c>
    </row>
    <row r="4" spans="1:5" x14ac:dyDescent="0.25">
      <c r="A4" s="22" t="s">
        <v>98</v>
      </c>
      <c r="B4" s="22" t="s">
        <v>107</v>
      </c>
      <c r="C4" s="23" t="s">
        <v>112</v>
      </c>
      <c r="D4" s="24">
        <v>18432</v>
      </c>
      <c r="E4" s="25">
        <v>40825.578923611109</v>
      </c>
    </row>
    <row r="5" spans="1:5" x14ac:dyDescent="0.25">
      <c r="A5" s="22" t="s">
        <v>97</v>
      </c>
      <c r="B5" s="22" t="s">
        <v>108</v>
      </c>
      <c r="C5" s="23" t="s">
        <v>113</v>
      </c>
      <c r="D5" s="24">
        <v>18432</v>
      </c>
      <c r="E5" s="25">
        <v>40825.571203703701</v>
      </c>
    </row>
    <row r="6" spans="1:5" x14ac:dyDescent="0.25">
      <c r="A6" s="22" t="s">
        <v>96</v>
      </c>
      <c r="B6" s="22" t="s">
        <v>109</v>
      </c>
      <c r="C6" s="23" t="s">
        <v>112</v>
      </c>
      <c r="D6" s="24">
        <v>18432</v>
      </c>
      <c r="E6" s="25">
        <v>40825.578923611109</v>
      </c>
    </row>
    <row r="7" spans="1:5" x14ac:dyDescent="0.25">
      <c r="A7" s="22" t="s">
        <v>95</v>
      </c>
      <c r="B7" s="22" t="s">
        <v>110</v>
      </c>
      <c r="C7" s="23" t="s">
        <v>112</v>
      </c>
      <c r="D7" s="24">
        <v>18432</v>
      </c>
      <c r="E7" s="25">
        <v>40825.578923611109</v>
      </c>
    </row>
  </sheetData>
  <conditionalFormatting sqref="A2:E2">
    <cfRule type="expression" dxfId="79" priority="3">
      <formula>$C2&lt;&gt;WWDisplayAssemblyInfo_bin_directory</formula>
    </cfRule>
    <cfRule type="expression" dxfId="78" priority="4">
      <formula>$C2=WWDisplayAssemblyInfo_bin_directory</formula>
    </cfRule>
  </conditionalFormatting>
  <conditionalFormatting sqref="A3:E7">
    <cfRule type="expression" dxfId="77" priority="1">
      <formula>$C3&lt;&gt;WWDisplayAssemblyInfo_bin_directory</formula>
    </cfRule>
    <cfRule type="expression" dxfId="76" priority="2">
      <formula>$C3=WWDisplayAssemblyInfo_bin_directory</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5"/>
  <sheetViews>
    <sheetView workbookViewId="0">
      <pane xSplit="2" ySplit="2" topLeftCell="C3" activePane="bottomRight" state="frozen"/>
      <selection pane="topRight" activeCell="C1" sqref="C1"/>
      <selection pane="bottomLeft" activeCell="A3" sqref="A3"/>
      <selection pane="bottomRight" activeCell="K5" sqref="K5"/>
    </sheetView>
  </sheetViews>
  <sheetFormatPr defaultRowHeight="15" x14ac:dyDescent="0.25"/>
  <cols>
    <col min="1" max="1" width="19.125" bestFit="1" customWidth="1"/>
    <col min="2" max="2" width="10.125" bestFit="1" customWidth="1"/>
    <col min="3" max="3" width="12.875" bestFit="1" customWidth="1"/>
    <col min="4" max="4" width="17.125" bestFit="1" customWidth="1"/>
    <col min="5" max="5" width="13" bestFit="1" customWidth="1"/>
    <col min="6" max="6" width="12.875" bestFit="1" customWidth="1"/>
    <col min="7" max="7" width="17.125" bestFit="1" customWidth="1"/>
    <col min="8" max="8" width="13" bestFit="1" customWidth="1"/>
    <col min="9" max="9" width="12.875" bestFit="1" customWidth="1"/>
    <col min="10" max="10" width="8.75" bestFit="1" customWidth="1"/>
  </cols>
  <sheetData>
    <row r="1" spans="1:10" ht="22.5" x14ac:dyDescent="0.3">
      <c r="A1" s="54" t="s">
        <v>420</v>
      </c>
      <c r="B1" s="55" t="s">
        <v>425</v>
      </c>
      <c r="C1" s="52"/>
      <c r="D1" s="51" t="s">
        <v>421</v>
      </c>
      <c r="E1" s="55"/>
      <c r="F1" s="52"/>
      <c r="G1" s="51" t="s">
        <v>422</v>
      </c>
      <c r="H1" s="55"/>
      <c r="I1" s="52"/>
      <c r="J1" s="48"/>
    </row>
    <row r="2" spans="1:10" ht="18" x14ac:dyDescent="0.25">
      <c r="A2" s="48" t="s">
        <v>9</v>
      </c>
      <c r="B2" s="48" t="s">
        <v>111</v>
      </c>
      <c r="C2" s="48" t="s">
        <v>428</v>
      </c>
      <c r="D2" s="48" t="s">
        <v>423</v>
      </c>
      <c r="E2" s="48" t="s">
        <v>111</v>
      </c>
      <c r="F2" s="56" t="s">
        <v>428</v>
      </c>
      <c r="G2" s="48" t="s">
        <v>423</v>
      </c>
      <c r="H2" s="48" t="s">
        <v>111</v>
      </c>
      <c r="I2" s="48" t="s">
        <v>428</v>
      </c>
      <c r="J2" s="48" t="s">
        <v>424</v>
      </c>
    </row>
    <row r="3" spans="1:10" x14ac:dyDescent="0.25">
      <c r="A3" s="49" t="s">
        <v>23</v>
      </c>
      <c r="B3" s="57" t="s">
        <v>606</v>
      </c>
      <c r="C3" s="57" t="s">
        <v>607</v>
      </c>
      <c r="D3" s="53">
        <v>41908.056944444441</v>
      </c>
      <c r="E3" s="49" t="s">
        <v>427</v>
      </c>
      <c r="F3" s="57">
        <v>2014</v>
      </c>
      <c r="G3" s="53">
        <v>42524</v>
      </c>
      <c r="H3" s="49" t="s">
        <v>429</v>
      </c>
      <c r="I3" s="57">
        <v>2014</v>
      </c>
      <c r="J3" s="50" t="s">
        <v>426</v>
      </c>
    </row>
    <row r="4" spans="1:10" x14ac:dyDescent="0.25">
      <c r="A4" s="49" t="s">
        <v>22</v>
      </c>
      <c r="B4" s="57" t="s">
        <v>606</v>
      </c>
      <c r="C4" s="57" t="s">
        <v>607</v>
      </c>
      <c r="D4" s="53">
        <f>D3</f>
        <v>41908.056944444441</v>
      </c>
      <c r="E4" s="49" t="s">
        <v>430</v>
      </c>
      <c r="F4" s="57">
        <v>2014</v>
      </c>
      <c r="G4" s="53">
        <v>42526.102777777778</v>
      </c>
      <c r="H4" s="49" t="s">
        <v>431</v>
      </c>
      <c r="I4" s="57">
        <v>2014</v>
      </c>
      <c r="J4" s="50" t="s">
        <v>426</v>
      </c>
    </row>
    <row r="5" spans="1:10" x14ac:dyDescent="0.25">
      <c r="A5" s="49" t="s">
        <v>24</v>
      </c>
      <c r="B5" s="57" t="s">
        <v>606</v>
      </c>
      <c r="C5" s="57" t="s">
        <v>608</v>
      </c>
      <c r="D5" s="53">
        <f>D4</f>
        <v>41908.056944444441</v>
      </c>
      <c r="E5" s="49" t="s">
        <v>432</v>
      </c>
      <c r="F5" s="57" t="s">
        <v>433</v>
      </c>
      <c r="G5" s="53">
        <v>42526.239583333336</v>
      </c>
      <c r="H5" s="49" t="s">
        <v>434</v>
      </c>
      <c r="I5" s="57" t="s">
        <v>433</v>
      </c>
      <c r="J5" s="50" t="s">
        <v>426</v>
      </c>
    </row>
  </sheetData>
  <mergeCells count="3">
    <mergeCell ref="D1:F1"/>
    <mergeCell ref="G1:I1"/>
    <mergeCell ref="B1:C1"/>
  </mergeCells>
  <conditionalFormatting sqref="A3:J5">
    <cfRule type="expression" dxfId="75" priority="12">
      <formula>OR($J3="Done",$J3="Fixed",$J3="OK")</formula>
    </cfRule>
  </conditionalFormatting>
  <conditionalFormatting sqref="A3">
    <cfRule type="expression" dxfId="74" priority="11">
      <formula>OR(ISBLANK(A3),LEN(A3)=0)</formula>
    </cfRule>
  </conditionalFormatting>
  <conditionalFormatting sqref="B3:J3">
    <cfRule type="expression" dxfId="73" priority="10">
      <formula>OR(isempty(B3),LEN(B3)=0)</formula>
    </cfRule>
  </conditionalFormatting>
  <conditionalFormatting sqref="B3:J3">
    <cfRule type="expression" dxfId="72" priority="9">
      <formula>OR(ISBLANK(B3),LEN(B3)=0)</formula>
    </cfRule>
  </conditionalFormatting>
  <conditionalFormatting sqref="A4:A5">
    <cfRule type="expression" dxfId="71" priority="7">
      <formula>OR(ISBLANK(A4),LEN(A4)=0)</formula>
    </cfRule>
  </conditionalFormatting>
  <conditionalFormatting sqref="B4:J5">
    <cfRule type="expression" dxfId="70" priority="6">
      <formula>OR(isempty(B4),LEN(B4)=0)</formula>
    </cfRule>
  </conditionalFormatting>
  <conditionalFormatting sqref="B4:J5">
    <cfRule type="expression" dxfId="69" priority="5">
      <formula>OR(ISBLANK(B4),LEN(B4)=0)</formula>
    </cfRule>
  </conditionalFormatting>
  <conditionalFormatting sqref="B4:C4">
    <cfRule type="expression" dxfId="10" priority="4">
      <formula>OR(isempty(B4),LEN(B4)=0)</formula>
    </cfRule>
  </conditionalFormatting>
  <conditionalFormatting sqref="B4:C4">
    <cfRule type="expression" dxfId="8" priority="3">
      <formula>OR(ISBLANK(B4),LEN(B4)=0)</formula>
    </cfRule>
  </conditionalFormatting>
  <conditionalFormatting sqref="B5:C5">
    <cfRule type="expression" dxfId="3" priority="2">
      <formula>OR(isempty(B5),LEN(B5)=0)</formula>
    </cfRule>
  </conditionalFormatting>
  <conditionalFormatting sqref="B5:C5">
    <cfRule type="expression" dxfId="1" priority="1">
      <formula>OR(ISBLANK(B5),LEN(B5)=0)</formula>
    </cfRule>
  </conditionalFormatting>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1" tint="0.34998626667073579"/>
  </sheetPr>
  <dimension ref="A1:H221"/>
  <sheetViews>
    <sheetView workbookViewId="0">
      <pane xSplit="1" ySplit="1" topLeftCell="H47" activePane="bottomRight" state="frozen"/>
      <selection pane="topRight" activeCell="B1" sqref="B1"/>
      <selection pane="bottomLeft" activeCell="A2" sqref="A2"/>
      <selection pane="bottomRight" activeCell="H97" sqref="H97:H100"/>
    </sheetView>
  </sheetViews>
  <sheetFormatPr defaultRowHeight="15" x14ac:dyDescent="0.25"/>
  <cols>
    <col min="4" max="4" width="131.875" bestFit="1" customWidth="1"/>
    <col min="5" max="5" width="14" bestFit="1" customWidth="1"/>
    <col min="7" max="7" width="20.125" bestFit="1" customWidth="1"/>
    <col min="8" max="8" width="188.125" bestFit="1" customWidth="1"/>
  </cols>
  <sheetData>
    <row r="1" spans="1:8" ht="18" x14ac:dyDescent="0.25">
      <c r="A1" s="58" t="s">
        <v>103</v>
      </c>
      <c r="B1" s="58" t="s">
        <v>587</v>
      </c>
      <c r="C1" s="58" t="s">
        <v>604</v>
      </c>
      <c r="D1" s="58" t="s">
        <v>104</v>
      </c>
      <c r="E1" s="59" t="s">
        <v>111</v>
      </c>
      <c r="F1" s="60" t="s">
        <v>102</v>
      </c>
      <c r="G1" s="58" t="s">
        <v>101</v>
      </c>
      <c r="H1" s="58" t="s">
        <v>605</v>
      </c>
    </row>
    <row r="2" spans="1:8" hidden="1" x14ac:dyDescent="0.25">
      <c r="A2" s="61" t="s">
        <v>314</v>
      </c>
      <c r="B2" s="61" t="b">
        <f>NOT(ISNA(VLOOKUP(CONCATENATE(A2,".config"),DLLServices2_Config_Inventory_Details,1,FALSE)))</f>
        <v>1</v>
      </c>
      <c r="C2" s="61"/>
      <c r="D2" s="61" t="s">
        <v>105</v>
      </c>
      <c r="E2" s="62" t="s">
        <v>572</v>
      </c>
      <c r="F2" s="63">
        <v>54784</v>
      </c>
      <c r="G2" s="64">
        <v>41926.081319444442</v>
      </c>
      <c r="H2" s="61" t="str">
        <f>IF(AND(NOT(B2),C2),CONCATENATE("call XCopyD.CMD",CHAR(32),[1]!QuoteSpaces(DLLServices2_Config_Inventory_Master_Copy),CHAR(32),[1]!QuoteSpaces([1]!GetFolder(A2))," /f /v"),"")</f>
        <v/>
      </c>
    </row>
    <row r="3" spans="1:8" hidden="1" x14ac:dyDescent="0.25">
      <c r="A3" s="61" t="s">
        <v>313</v>
      </c>
      <c r="B3" s="61" t="b">
        <f>NOT(ISNA(VLOOKUP(CONCATENATE(A3,".config"),DLLServices2_Config_Inventory_Details,1,FALSE)))</f>
        <v>1</v>
      </c>
      <c r="C3" s="61"/>
      <c r="D3" s="61" t="s">
        <v>435</v>
      </c>
      <c r="E3" s="62" t="s">
        <v>572</v>
      </c>
      <c r="F3" s="63">
        <v>54784</v>
      </c>
      <c r="G3" s="64">
        <v>41926.081342592595</v>
      </c>
      <c r="H3" s="61" t="str">
        <f>IF(AND(NOT(B3),C3),CONCATENATE("call XCopyD.CMD",CHAR(32),[1]!QuoteSpaces(DLLServices2_Config_Inventory_Master_Copy),CHAR(32),[1]!QuoteSpaces([1]!GetFolder(A3))," /f /v"),"")</f>
        <v/>
      </c>
    </row>
    <row r="4" spans="1:8" hidden="1" x14ac:dyDescent="0.25">
      <c r="A4" s="61" t="s">
        <v>312</v>
      </c>
      <c r="B4" s="61" t="b">
        <f>NOT(ISNA(VLOOKUP(CONCATENATE(A4,".config"),DLLServices2_Config_Inventory_Details,1,FALSE)))</f>
        <v>1</v>
      </c>
      <c r="C4" s="61"/>
      <c r="D4" s="61" t="s">
        <v>436</v>
      </c>
      <c r="E4" s="62" t="s">
        <v>572</v>
      </c>
      <c r="F4" s="63">
        <v>54784</v>
      </c>
      <c r="G4" s="64">
        <v>41926.081319444442</v>
      </c>
      <c r="H4" s="61" t="str">
        <f>IF(AND(NOT(B4),C4),CONCATENATE("call XCopyD.CMD",CHAR(32),[1]!QuoteSpaces(DLLServices2_Config_Inventory_Master_Copy),CHAR(32),[1]!QuoteSpaces([1]!GetFolder(A4))," /f /v"),"")</f>
        <v/>
      </c>
    </row>
    <row r="5" spans="1:8" hidden="1" x14ac:dyDescent="0.25">
      <c r="A5" s="61" t="s">
        <v>311</v>
      </c>
      <c r="B5" s="61" t="b">
        <f>NOT(ISNA(VLOOKUP(CONCATENATE(A5,".config"),DLLServices2_Config_Inventory_Details,1,FALSE)))</f>
        <v>1</v>
      </c>
      <c r="C5" s="61"/>
      <c r="D5" s="61" t="s">
        <v>437</v>
      </c>
      <c r="E5" s="62" t="s">
        <v>572</v>
      </c>
      <c r="F5" s="63">
        <v>54784</v>
      </c>
      <c r="G5" s="64">
        <v>41926.081342592595</v>
      </c>
      <c r="H5" s="61" t="str">
        <f>IF(AND(NOT(B5),C5),CONCATENATE("call XCopyD.CMD",CHAR(32),[1]!QuoteSpaces(DLLServices2_Config_Inventory_Master_Copy),CHAR(32),[1]!QuoteSpaces([1]!GetFolder(A5))," /f /v"),"")</f>
        <v/>
      </c>
    </row>
    <row r="6" spans="1:8" hidden="1" x14ac:dyDescent="0.25">
      <c r="A6" s="61" t="s">
        <v>310</v>
      </c>
      <c r="B6" s="61" t="b">
        <f>NOT(ISNA(VLOOKUP(CONCATENATE(A6,".config"),DLLServices2_Config_Inventory_Details,1,FALSE)))</f>
        <v>1</v>
      </c>
      <c r="C6" s="61"/>
      <c r="D6" s="61" t="s">
        <v>438</v>
      </c>
      <c r="E6" s="62" t="s">
        <v>572</v>
      </c>
      <c r="F6" s="63">
        <v>54784</v>
      </c>
      <c r="G6" s="64">
        <v>41926.039675925924</v>
      </c>
      <c r="H6" s="61" t="str">
        <f>IF(AND(NOT(B6),C6),CONCATENATE("call XCopyD.CMD",CHAR(32),[1]!QuoteSpaces(DLLServices2_Config_Inventory_Master_Copy),CHAR(32),[1]!QuoteSpaces([1]!GetFolder(A6))," /f /v"),"")</f>
        <v/>
      </c>
    </row>
    <row r="7" spans="1:8" hidden="1" x14ac:dyDescent="0.25">
      <c r="A7" s="61" t="s">
        <v>309</v>
      </c>
      <c r="B7" s="61" t="b">
        <f>NOT(ISNA(VLOOKUP(CONCATENATE(A7,".config"),DLLServices2_Config_Inventory_Details,1,FALSE)))</f>
        <v>1</v>
      </c>
      <c r="C7" s="61"/>
      <c r="D7" s="61" t="s">
        <v>439</v>
      </c>
      <c r="E7" s="62" t="s">
        <v>572</v>
      </c>
      <c r="F7" s="63">
        <v>54784</v>
      </c>
      <c r="G7" s="64">
        <v>41926.081342592595</v>
      </c>
      <c r="H7" s="61" t="str">
        <f>IF(AND(NOT(B7),C7),CONCATENATE("call XCopyD.CMD",CHAR(32),[1]!QuoteSpaces(DLLServices2_Config_Inventory_Master_Copy),CHAR(32),[1]!QuoteSpaces([1]!GetFolder(A7))," /f /v"),"")</f>
        <v/>
      </c>
    </row>
    <row r="8" spans="1:8" hidden="1" x14ac:dyDescent="0.25">
      <c r="A8" s="61" t="s">
        <v>308</v>
      </c>
      <c r="B8" s="61" t="b">
        <f>NOT(ISNA(VLOOKUP(CONCATENATE(A8,".config"),DLLServices2_Config_Inventory_Details,1,FALSE)))</f>
        <v>1</v>
      </c>
      <c r="C8" s="61"/>
      <c r="D8" s="61" t="s">
        <v>440</v>
      </c>
      <c r="E8" s="62" t="s">
        <v>572</v>
      </c>
      <c r="F8" s="63">
        <v>54784</v>
      </c>
      <c r="G8" s="64">
        <v>41926.081342592595</v>
      </c>
      <c r="H8" s="61" t="str">
        <f>IF(AND(NOT(B8),C8),CONCATENATE("call XCopyD.CMD",CHAR(32),[1]!QuoteSpaces(DLLServices2_Config_Inventory_Master_Copy),CHAR(32),[1]!QuoteSpaces([1]!GetFolder(A8))," /f /v"),"")</f>
        <v/>
      </c>
    </row>
    <row r="9" spans="1:8" hidden="1" x14ac:dyDescent="0.25">
      <c r="A9" s="61" t="s">
        <v>307</v>
      </c>
      <c r="B9" s="61" t="b">
        <f>NOT(ISNA(VLOOKUP(CONCATENATE(A9,".config"),DLLServices2_Config_Inventory_Details,1,FALSE)))</f>
        <v>1</v>
      </c>
      <c r="C9" s="61"/>
      <c r="D9" s="61" t="s">
        <v>442</v>
      </c>
      <c r="E9" s="62" t="s">
        <v>572</v>
      </c>
      <c r="F9" s="63">
        <v>54784</v>
      </c>
      <c r="G9" s="64">
        <v>41926.081342592595</v>
      </c>
      <c r="H9" s="61" t="str">
        <f>IF(AND(NOT(B9),C9),CONCATENATE("call XCopyD.CMD",CHAR(32),[1]!QuoteSpaces(DLLServices2_Config_Inventory_Master_Copy),CHAR(32),[1]!QuoteSpaces([1]!GetFolder(A9))," /f /v"),"")</f>
        <v/>
      </c>
    </row>
    <row r="10" spans="1:8" hidden="1" x14ac:dyDescent="0.25">
      <c r="A10" s="61" t="s">
        <v>306</v>
      </c>
      <c r="B10" s="61" t="b">
        <f>NOT(ISNA(VLOOKUP(CONCATENATE(A10,".config"),DLLServices2_Config_Inventory_Details,1,FALSE)))</f>
        <v>1</v>
      </c>
      <c r="C10" s="61"/>
      <c r="D10" s="61" t="s">
        <v>443</v>
      </c>
      <c r="E10" s="62" t="s">
        <v>572</v>
      </c>
      <c r="F10" s="63">
        <v>54784</v>
      </c>
      <c r="G10" s="64">
        <v>41926.081342592595</v>
      </c>
      <c r="H10" s="61" t="str">
        <f>IF(AND(NOT(B10),C10),CONCATENATE("call XCopyD.CMD",CHAR(32),[1]!QuoteSpaces(DLLServices2_Config_Inventory_Master_Copy),CHAR(32),[1]!QuoteSpaces([1]!GetFolder(A10))," /f /v"),"")</f>
        <v/>
      </c>
    </row>
    <row r="11" spans="1:8" hidden="1" x14ac:dyDescent="0.25">
      <c r="A11" s="61" t="s">
        <v>305</v>
      </c>
      <c r="B11" s="61" t="b">
        <f>NOT(ISNA(VLOOKUP(CONCATENATE(A11,".config"),DLLServices2_Config_Inventory_Details,1,FALSE)))</f>
        <v>1</v>
      </c>
      <c r="C11" s="61"/>
      <c r="D11" s="61" t="s">
        <v>445</v>
      </c>
      <c r="E11" s="62" t="s">
        <v>572</v>
      </c>
      <c r="F11" s="63">
        <v>54784</v>
      </c>
      <c r="G11" s="64">
        <v>41926.081342592595</v>
      </c>
      <c r="H11" s="61" t="str">
        <f>IF(AND(NOT(B11),C11),CONCATENATE("call XCopyD.CMD",CHAR(32),[1]!QuoteSpaces(DLLServices2_Config_Inventory_Master_Copy),CHAR(32),[1]!QuoteSpaces([1]!GetFolder(A11))," /f /v"),"")</f>
        <v/>
      </c>
    </row>
    <row r="12" spans="1:8" hidden="1" x14ac:dyDescent="0.25">
      <c r="A12" s="61" t="s">
        <v>304</v>
      </c>
      <c r="B12" s="61" t="b">
        <f>NOT(ISNA(VLOOKUP(CONCATENATE(A12,".config"),DLLServices2_Config_Inventory_Details,1,FALSE)))</f>
        <v>1</v>
      </c>
      <c r="C12" s="61"/>
      <c r="D12" s="61" t="s">
        <v>446</v>
      </c>
      <c r="E12" s="62" t="s">
        <v>572</v>
      </c>
      <c r="F12" s="63">
        <v>54784</v>
      </c>
      <c r="G12" s="64">
        <v>41926.081342592595</v>
      </c>
      <c r="H12" s="61" t="str">
        <f>IF(AND(NOT(B12),C12),CONCATENATE("call XCopyD.CMD",CHAR(32),[1]!QuoteSpaces(DLLServices2_Config_Inventory_Master_Copy),CHAR(32),[1]!QuoteSpaces([1]!GetFolder(A12))," /f /v"),"")</f>
        <v/>
      </c>
    </row>
    <row r="13" spans="1:8" hidden="1" x14ac:dyDescent="0.25">
      <c r="A13" s="61" t="s">
        <v>303</v>
      </c>
      <c r="B13" s="61" t="b">
        <f>NOT(ISNA(VLOOKUP(CONCATENATE(A13,".config"),DLLServices2_Config_Inventory_Details,1,FALSE)))</f>
        <v>1</v>
      </c>
      <c r="C13" s="61"/>
      <c r="D13" s="61" t="s">
        <v>448</v>
      </c>
      <c r="E13" s="62" t="s">
        <v>572</v>
      </c>
      <c r="F13" s="63">
        <v>54784</v>
      </c>
      <c r="G13" s="64">
        <v>41926.081342592595</v>
      </c>
      <c r="H13" s="61" t="str">
        <f>IF(AND(NOT(B13),C13),CONCATENATE("call XCopyD.CMD",CHAR(32),[1]!QuoteSpaces(DLLServices2_Config_Inventory_Master_Copy),CHAR(32),[1]!QuoteSpaces([1]!GetFolder(A13))," /f /v"),"")</f>
        <v/>
      </c>
    </row>
    <row r="14" spans="1:8" hidden="1" x14ac:dyDescent="0.25">
      <c r="A14" s="61" t="s">
        <v>302</v>
      </c>
      <c r="B14" s="61" t="b">
        <f>NOT(ISNA(VLOOKUP(CONCATENATE(A14,".config"),DLLServices2_Config_Inventory_Details,1,FALSE)))</f>
        <v>1</v>
      </c>
      <c r="C14" s="61"/>
      <c r="D14" s="61" t="s">
        <v>449</v>
      </c>
      <c r="E14" s="62" t="s">
        <v>572</v>
      </c>
      <c r="F14" s="63">
        <v>54784</v>
      </c>
      <c r="G14" s="64">
        <v>41926.081342592595</v>
      </c>
      <c r="H14" s="61" t="str">
        <f>IF(AND(NOT(B14),C14),CONCATENATE("call XCopyD.CMD",CHAR(32),[1]!QuoteSpaces(DLLServices2_Config_Inventory_Master_Copy),CHAR(32),[1]!QuoteSpaces([1]!GetFolder(A14))," /f /v"),"")</f>
        <v/>
      </c>
    </row>
    <row r="15" spans="1:8" x14ac:dyDescent="0.25">
      <c r="A15" s="61" t="s">
        <v>301</v>
      </c>
      <c r="B15" s="90" t="b">
        <f>NOT(ISNA(VLOOKUP(CONCATENATE(A15,".config"),DLLServices2_Config_Inventory_Details,1,FALSE)))</f>
        <v>0</v>
      </c>
      <c r="C15" s="90" t="b">
        <v>0</v>
      </c>
      <c r="D15" s="61" t="s">
        <v>539</v>
      </c>
      <c r="E15" s="62" t="s">
        <v>572</v>
      </c>
      <c r="F15" s="63">
        <v>54784</v>
      </c>
      <c r="G15" s="64">
        <v>41926.081342592595</v>
      </c>
      <c r="H15" s="61" t="str">
        <f>IF(AND(NOT(B15),C15),CONCATENATE("call XCopyD.CMD",CHAR(32),[1]!QuoteSpaces(DLLServices2_Config_Inventory_Master_Copy),CHAR(32),[1]!QuoteSpaces([1]!GetFolder(A15))," /f /v"),"")</f>
        <v/>
      </c>
    </row>
    <row r="16" spans="1:8" x14ac:dyDescent="0.25">
      <c r="A16" s="61" t="s">
        <v>300</v>
      </c>
      <c r="B16" s="90" t="b">
        <f>NOT(ISNA(VLOOKUP(CONCATENATE(A16,".config"),DLLServices2_Config_Inventory_Details,1,FALSE)))</f>
        <v>0</v>
      </c>
      <c r="C16" s="90" t="b">
        <v>0</v>
      </c>
      <c r="D16" s="61" t="s">
        <v>540</v>
      </c>
      <c r="E16" s="62" t="s">
        <v>572</v>
      </c>
      <c r="F16" s="63">
        <v>54784</v>
      </c>
      <c r="G16" s="64">
        <v>41926.081342592595</v>
      </c>
      <c r="H16" s="61" t="str">
        <f>IF(AND(NOT(B16),C16),CONCATENATE("call XCopyD.CMD",CHAR(32),[1]!QuoteSpaces(DLLServices2_Config_Inventory_Master_Copy),CHAR(32),[1]!QuoteSpaces([1]!GetFolder(A16))," /f /v"),"")</f>
        <v/>
      </c>
    </row>
    <row r="17" spans="1:8" hidden="1" x14ac:dyDescent="0.25">
      <c r="A17" s="61" t="s">
        <v>299</v>
      </c>
      <c r="B17" s="61" t="b">
        <f>NOT(ISNA(VLOOKUP(CONCATENATE(A17,".config"),DLLServices2_Config_Inventory_Details,1,FALSE)))</f>
        <v>1</v>
      </c>
      <c r="C17" s="61"/>
      <c r="D17" s="61" t="s">
        <v>450</v>
      </c>
      <c r="E17" s="62" t="s">
        <v>572</v>
      </c>
      <c r="F17" s="63">
        <v>54784</v>
      </c>
      <c r="G17" s="64">
        <v>41926.081342592595</v>
      </c>
      <c r="H17" s="61" t="str">
        <f>IF(AND(NOT(B17),C17),CONCATENATE("call XCopyD.CMD",CHAR(32),[1]!QuoteSpaces(DLLServices2_Config_Inventory_Master_Copy),CHAR(32),[1]!QuoteSpaces([1]!GetFolder(A17))," /f /v"),"")</f>
        <v/>
      </c>
    </row>
    <row r="18" spans="1:8" hidden="1" x14ac:dyDescent="0.25">
      <c r="A18" s="61" t="s">
        <v>298</v>
      </c>
      <c r="B18" s="61" t="b">
        <f>NOT(ISNA(VLOOKUP(CONCATENATE(A18,".config"),DLLServices2_Config_Inventory_Details,1,FALSE)))</f>
        <v>1</v>
      </c>
      <c r="C18" s="61"/>
      <c r="D18" s="61" t="s">
        <v>451</v>
      </c>
      <c r="E18" s="62" t="s">
        <v>572</v>
      </c>
      <c r="F18" s="63">
        <v>54784</v>
      </c>
      <c r="G18" s="64">
        <v>41926.081342592595</v>
      </c>
      <c r="H18" s="61" t="str">
        <f>IF(AND(NOT(B18),C18),CONCATENATE("call XCopyD.CMD",CHAR(32),[1]!QuoteSpaces(DLLServices2_Config_Inventory_Master_Copy),CHAR(32),[1]!QuoteSpaces([1]!GetFolder(A18))," /f /v"),"")</f>
        <v/>
      </c>
    </row>
    <row r="19" spans="1:8" x14ac:dyDescent="0.25">
      <c r="A19" s="61" t="s">
        <v>297</v>
      </c>
      <c r="B19" s="90" t="b">
        <f>NOT(ISNA(VLOOKUP(CONCATENATE(A19,".config"),DLLServices2_Config_Inventory_Details,1,FALSE)))</f>
        <v>0</v>
      </c>
      <c r="C19" s="90" t="b">
        <v>1</v>
      </c>
      <c r="D19" s="61" t="s">
        <v>541</v>
      </c>
      <c r="E19" s="62" t="s">
        <v>573</v>
      </c>
      <c r="F19" s="63">
        <v>108032</v>
      </c>
      <c r="G19" s="64">
        <v>42501.058298611111</v>
      </c>
      <c r="H19" s="61" t="str">
        <f>IF(AND(NOT(B19),C19),CONCATENATE("call XCopyD.CMD",CHAR(32),[1]!QuoteSpaces(DLLServices2_Config_Inventory_Master_Copy),CHAR(32),[1]!QuoteSpaces([1]!GetFolder(A19))," /f /v"),"")</f>
        <v>call XCopyD.CMD "C:\Users\DAVE\Documents\Visual Studio 2013\Projects\WizardWrx_Libs\DLLServices2\DLLServices2\WizardWrx.DLLServices2.dll.config" C:\Users\DAVE\Documents\Programming\Visual_Studio_6\DLL\ProcessInfo\CDeclToStdCallMigrationTool\CDeclToStdCallMigrationTool\bin\Debug /f /v</v>
      </c>
    </row>
    <row r="20" spans="1:8" hidden="1" x14ac:dyDescent="0.25">
      <c r="A20" s="61" t="s">
        <v>296</v>
      </c>
      <c r="B20" s="61" t="b">
        <f>NOT(ISNA(VLOOKUP(CONCATENATE(A20,".config"),DLLServices2_Config_Inventory_Details,1,FALSE)))</f>
        <v>1</v>
      </c>
      <c r="C20" s="61"/>
      <c r="D20" s="61" t="s">
        <v>452</v>
      </c>
      <c r="E20" s="62" t="s">
        <v>574</v>
      </c>
      <c r="F20" s="63">
        <v>81920</v>
      </c>
      <c r="G20" s="64">
        <v>42174.757037037038</v>
      </c>
      <c r="H20" s="61" t="str">
        <f>IF(AND(NOT(B20),C20),CONCATENATE("call XCopyD.CMD",CHAR(32),[1]!QuoteSpaces(DLLServices2_Config_Inventory_Master_Copy),CHAR(32),[1]!QuoteSpaces([1]!GetFolder(A20))," /f /v"),"")</f>
        <v/>
      </c>
    </row>
    <row r="21" spans="1:8" hidden="1" x14ac:dyDescent="0.25">
      <c r="A21" s="61" t="s">
        <v>295</v>
      </c>
      <c r="B21" s="61" t="b">
        <f>NOT(ISNA(VLOOKUP(CONCATENATE(A21,".config"),DLLServices2_Config_Inventory_Details,1,FALSE)))</f>
        <v>1</v>
      </c>
      <c r="C21" s="61"/>
      <c r="D21" s="61" t="s">
        <v>454</v>
      </c>
      <c r="E21" s="62" t="s">
        <v>575</v>
      </c>
      <c r="F21" s="63">
        <v>114688</v>
      </c>
      <c r="G21" s="64">
        <v>42510.164340277777</v>
      </c>
      <c r="H21" s="61" t="str">
        <f>IF(AND(NOT(B21),C21),CONCATENATE("call XCopyD.CMD",CHAR(32),[1]!QuoteSpaces(DLLServices2_Config_Inventory_Master_Copy),CHAR(32),[1]!QuoteSpaces([1]!GetFolder(A21))," /f /v"),"")</f>
        <v/>
      </c>
    </row>
    <row r="22" spans="1:8" hidden="1" x14ac:dyDescent="0.25">
      <c r="A22" s="61" t="s">
        <v>294</v>
      </c>
      <c r="B22" s="61" t="b">
        <f>NOT(ISNA(VLOOKUP(CONCATENATE(A22,".config"),DLLServices2_Config_Inventory_Details,1,FALSE)))</f>
        <v>1</v>
      </c>
      <c r="C22" s="61"/>
      <c r="D22" s="61" t="s">
        <v>456</v>
      </c>
      <c r="E22" s="62" t="s">
        <v>575</v>
      </c>
      <c r="F22" s="63">
        <v>114688</v>
      </c>
      <c r="G22" s="64">
        <v>42510.164340277777</v>
      </c>
      <c r="H22" s="61" t="str">
        <f>IF(AND(NOT(B22),C22),CONCATENATE("call XCopyD.CMD",CHAR(32),[1]!QuoteSpaces(DLLServices2_Config_Inventory_Master_Copy),CHAR(32),[1]!QuoteSpaces([1]!GetFolder(A22))," /f /v"),"")</f>
        <v/>
      </c>
    </row>
    <row r="23" spans="1:8" hidden="1" x14ac:dyDescent="0.25">
      <c r="A23" s="61" t="s">
        <v>293</v>
      </c>
      <c r="B23" s="61" t="b">
        <f>NOT(ISNA(VLOOKUP(CONCATENATE(A23,".config"),DLLServices2_Config_Inventory_Details,1,FALSE)))</f>
        <v>1</v>
      </c>
      <c r="C23" s="61"/>
      <c r="D23" s="61" t="s">
        <v>457</v>
      </c>
      <c r="E23" s="62" t="s">
        <v>575</v>
      </c>
      <c r="F23" s="63">
        <v>114688</v>
      </c>
      <c r="G23" s="64">
        <v>42510.164340277777</v>
      </c>
      <c r="H23" s="61" t="str">
        <f>IF(AND(NOT(B23),C23),CONCATENATE("call XCopyD.CMD",CHAR(32),[1]!QuoteSpaces(DLLServices2_Config_Inventory_Master_Copy),CHAR(32),[1]!QuoteSpaces([1]!GetFolder(A23))," /f /v"),"")</f>
        <v/>
      </c>
    </row>
    <row r="24" spans="1:8" hidden="1" x14ac:dyDescent="0.25">
      <c r="A24" s="61" t="s">
        <v>292</v>
      </c>
      <c r="B24" s="61" t="b">
        <f>NOT(ISNA(VLOOKUP(CONCATENATE(A24,".config"),DLLServices2_Config_Inventory_Details,1,FALSE)))</f>
        <v>1</v>
      </c>
      <c r="C24" s="61"/>
      <c r="D24" s="61" t="s">
        <v>458</v>
      </c>
      <c r="E24" s="62" t="s">
        <v>575</v>
      </c>
      <c r="F24" s="63">
        <v>114688</v>
      </c>
      <c r="G24" s="64">
        <v>42510.164340277777</v>
      </c>
      <c r="H24" s="61" t="str">
        <f>IF(AND(NOT(B24),C24),CONCATENATE("call XCopyD.CMD",CHAR(32),[1]!QuoteSpaces(DLLServices2_Config_Inventory_Master_Copy),CHAR(32),[1]!QuoteSpaces([1]!GetFolder(A24))," /f /v"),"")</f>
        <v/>
      </c>
    </row>
    <row r="25" spans="1:8" hidden="1" x14ac:dyDescent="0.25">
      <c r="A25" s="61" t="s">
        <v>291</v>
      </c>
      <c r="B25" s="61" t="b">
        <f>NOT(ISNA(VLOOKUP(CONCATENATE(A25,".config"),DLLServices2_Config_Inventory_Details,1,FALSE)))</f>
        <v>1</v>
      </c>
      <c r="C25" s="61"/>
      <c r="D25" s="61" t="s">
        <v>459</v>
      </c>
      <c r="E25" s="62" t="s">
        <v>575</v>
      </c>
      <c r="F25" s="63">
        <v>114688</v>
      </c>
      <c r="G25" s="64">
        <v>42510.164340277777</v>
      </c>
      <c r="H25" s="61" t="str">
        <f>IF(AND(NOT(B25),C25),CONCATENATE("call XCopyD.CMD",CHAR(32),[1]!QuoteSpaces(DLLServices2_Config_Inventory_Master_Copy),CHAR(32),[1]!QuoteSpaces([1]!GetFolder(A25))," /f /v"),"")</f>
        <v/>
      </c>
    </row>
    <row r="26" spans="1:8" x14ac:dyDescent="0.25">
      <c r="A26" s="61" t="s">
        <v>290</v>
      </c>
      <c r="B26" s="90" t="b">
        <f>NOT(ISNA(VLOOKUP(CONCATENATE(A26,".config"),DLLServices2_Config_Inventory_Details,1,FALSE)))</f>
        <v>0</v>
      </c>
      <c r="C26" s="90" t="b">
        <v>1</v>
      </c>
      <c r="D26" s="61" t="s">
        <v>542</v>
      </c>
      <c r="E26" s="62" t="s">
        <v>576</v>
      </c>
      <c r="F26" s="63">
        <v>96768</v>
      </c>
      <c r="G26" s="64">
        <v>42248.593275462961</v>
      </c>
      <c r="H26" s="61" t="str">
        <f>IF(AND(NOT(B26),C26),CONCATENATE("call XCopyD.CMD",CHAR(32),[1]!QuoteSpaces(DLLServices2_Config_Inventory_Master_Copy),CHAR(32),[1]!QuoteSpaces([1]!GetFolder(A26))," /f /v"),"")</f>
        <v>call XCopyD.CMD "C:\Users\DAVE\Documents\Visual Studio 2013\Projects\WizardWrx_Libs\DLLServices2\DLLServices2\WizardWrx.DLLServices2.dll.config" "C:\Users\DAVE\Documents\Visual Studio 2013\Projects\Console_Apps\MassUpdateColorIndex\MassUpdateColorIndex\bin\Debug" /f /v</v>
      </c>
    </row>
    <row r="27" spans="1:8" x14ac:dyDescent="0.25">
      <c r="A27" s="61" t="s">
        <v>289</v>
      </c>
      <c r="B27" s="90" t="b">
        <f>NOT(ISNA(VLOOKUP(CONCATENATE(A27,".config"),DLLServices2_Config_Inventory_Details,1,FALSE)))</f>
        <v>0</v>
      </c>
      <c r="C27" s="90" t="b">
        <v>1</v>
      </c>
      <c r="D27" s="61" t="s">
        <v>543</v>
      </c>
      <c r="E27" s="62" t="s">
        <v>576</v>
      </c>
      <c r="F27" s="63">
        <v>96768</v>
      </c>
      <c r="G27" s="64">
        <v>42248.593275462961</v>
      </c>
      <c r="H27" s="61" t="str">
        <f>IF(AND(NOT(B27),C27),CONCATENATE("call XCopyD.CMD",CHAR(32),[1]!QuoteSpaces(DLLServices2_Config_Inventory_Master_Copy),CHAR(32),[1]!QuoteSpaces([1]!GetFolder(A27))," /f /v"),"")</f>
        <v>call XCopyD.CMD "C:\Users\DAVE\Documents\Visual Studio 2013\Projects\WizardWrx_Libs\DLLServices2\DLLServices2\WizardWrx.DLLServices2.dll.config" "C:\Users\DAVE\Documents\Visual Studio 2013\Projects\Console_Apps\MassUpdateColorIndex\MassUpdateColorIndex\bin\Release" /f /v</v>
      </c>
    </row>
    <row r="28" spans="1:8" x14ac:dyDescent="0.25">
      <c r="A28" s="61" t="s">
        <v>288</v>
      </c>
      <c r="B28" s="90" t="b">
        <f>NOT(ISNA(VLOOKUP(CONCATENATE(A28,".config"),DLLServices2_Config_Inventory_Details,1,FALSE)))</f>
        <v>0</v>
      </c>
      <c r="C28" s="90" t="b">
        <v>1</v>
      </c>
      <c r="D28" s="61" t="s">
        <v>544</v>
      </c>
      <c r="E28" s="62" t="s">
        <v>572</v>
      </c>
      <c r="F28" s="63">
        <v>54784</v>
      </c>
      <c r="G28" s="64">
        <v>41926.081342592595</v>
      </c>
      <c r="H28" s="61" t="str">
        <f>IF(AND(NOT(B28),C28),CONCATENATE("call XCopyD.CMD",CHAR(32),[1]!QuoteSpaces(DLLServices2_Config_Inventory_Master_Copy),CHAR(32),[1]!QuoteSpaces([1]!GetFolder(A28))," /f /v"),"")</f>
        <v>call XCopyD.CMD "C:\Users\DAVE\Documents\Visual Studio 2013\Projects\WizardWrx_Libs\DLLServices2\DLLServices2\WizardWrx.DLLServices2.dll.config" "C:\Users\DAVE\Documents\Visual Studio 2013\Projects\Console_Apps\MultiCat\MultiCat\bin\Debug" /f /v</v>
      </c>
    </row>
    <row r="29" spans="1:8" x14ac:dyDescent="0.25">
      <c r="A29" s="61" t="s">
        <v>287</v>
      </c>
      <c r="B29" s="90" t="b">
        <f>NOT(ISNA(VLOOKUP(CONCATENATE(A29,".config"),DLLServices2_Config_Inventory_Details,1,FALSE)))</f>
        <v>0</v>
      </c>
      <c r="C29" s="90" t="b">
        <v>1</v>
      </c>
      <c r="D29" s="61" t="s">
        <v>545</v>
      </c>
      <c r="E29" s="62" t="s">
        <v>577</v>
      </c>
      <c r="F29" s="63">
        <v>46080</v>
      </c>
      <c r="G29" s="64">
        <v>41797.068935185183</v>
      </c>
      <c r="H29" s="61" t="str">
        <f>IF(AND(NOT(B29),C29),CONCATENATE("call XCopyD.CMD",CHAR(32),[1]!QuoteSpaces(DLLServices2_Config_Inventory_Master_Copy),CHAR(32),[1]!QuoteSpaces([1]!GetFolder(A29))," /f /v"),"")</f>
        <v>call XCopyD.CMD "C:\Users\DAVE\Documents\Visual Studio 2013\Projects\WizardWrx_Libs\DLLServices2\DLLServices2\WizardWrx.DLLServices2.dll.config" "C:\Users\DAVE\Documents\Visual Studio 2013\Projects\Console_Apps\NFiles\NFiles\bin\Debug" /f /v</v>
      </c>
    </row>
    <row r="30" spans="1:8" hidden="1" x14ac:dyDescent="0.25">
      <c r="A30" s="61" t="s">
        <v>286</v>
      </c>
      <c r="B30" s="61" t="b">
        <f>NOT(ISNA(VLOOKUP(CONCATENATE(A30,".config"),DLLServices2_Config_Inventory_Details,1,FALSE)))</f>
        <v>1</v>
      </c>
      <c r="C30" s="61"/>
      <c r="D30" s="61" t="s">
        <v>461</v>
      </c>
      <c r="E30" s="62" t="s">
        <v>578</v>
      </c>
      <c r="F30" s="63">
        <v>52224</v>
      </c>
      <c r="G30" s="64">
        <v>41840.874699074076</v>
      </c>
      <c r="H30" s="61" t="str">
        <f>IF(AND(NOT(B30),C30),CONCATENATE("call XCopyD.CMD",CHAR(32),[1]!QuoteSpaces(DLLServices2_Config_Inventory_Master_Copy),CHAR(32),[1]!QuoteSpaces([1]!GetFolder(A30))," /f /v"),"")</f>
        <v/>
      </c>
    </row>
    <row r="31" spans="1:8" x14ac:dyDescent="0.25">
      <c r="A31" s="61" t="s">
        <v>285</v>
      </c>
      <c r="B31" s="90" t="b">
        <f>NOT(ISNA(VLOOKUP(CONCATENATE(A31,".config"),DLLServices2_Config_Inventory_Details,1,FALSE)))</f>
        <v>0</v>
      </c>
      <c r="C31" s="90" t="b">
        <v>1</v>
      </c>
      <c r="D31" s="61" t="s">
        <v>546</v>
      </c>
      <c r="E31" s="62" t="s">
        <v>572</v>
      </c>
      <c r="F31" s="63">
        <v>54784</v>
      </c>
      <c r="G31" s="64">
        <v>41926.081319444442</v>
      </c>
      <c r="H31" s="61" t="str">
        <f>IF(AND(NOT(B31),C31),CONCATENATE("call XCopyD.CMD",CHAR(32),[1]!QuoteSpaces(DLLServices2_Config_Inventory_Master_Copy),CHAR(32),[1]!QuoteSpaces([1]!GetFolder(A31))," /f /v"),"")</f>
        <v>call XCopyD.CMD "C:\Users\DAVE\Documents\Visual Studio 2013\Projects\WizardWrx_Libs\DLLServices2\DLLServices2\WizardWrx.DLLServices2.dll.config" "C:\Users\DAVE\Documents\Visual Studio 2013\Projects\NOLANB\DataEaseDirectoryReader\DataEase\bin\Debug" /f /v</v>
      </c>
    </row>
    <row r="32" spans="1:8" x14ac:dyDescent="0.25">
      <c r="A32" s="61" t="s">
        <v>284</v>
      </c>
      <c r="B32" s="90" t="b">
        <f>NOT(ISNA(VLOOKUP(CONCATENATE(A32,".config"),DLLServices2_Config_Inventory_Details,1,FALSE)))</f>
        <v>0</v>
      </c>
      <c r="C32" s="90" t="b">
        <v>1</v>
      </c>
      <c r="D32" s="61" t="s">
        <v>547</v>
      </c>
      <c r="E32" s="62" t="s">
        <v>572</v>
      </c>
      <c r="F32" s="63">
        <v>54784</v>
      </c>
      <c r="G32" s="64">
        <v>41926.081319444442</v>
      </c>
      <c r="H32" s="61" t="str">
        <f>IF(AND(NOT(B32),C32),CONCATENATE("call XCopyD.CMD",CHAR(32),[1]!QuoteSpaces(DLLServices2_Config_Inventory_Master_Copy),CHAR(32),[1]!QuoteSpaces([1]!GetFolder(A32))," /f /v"),"")</f>
        <v>call XCopyD.CMD "C:\Users\DAVE\Documents\Visual Studio 2013\Projects\WizardWrx_Libs\DLLServices2\DLLServices2\WizardWrx.DLLServices2.dll.config" "C:\Users\DAVE\Documents\Visual Studio 2013\Projects\NOLANB\DataEaseDirectoryReader\DataEase\bin\Release" /f /v</v>
      </c>
    </row>
    <row r="33" spans="1:8" hidden="1" x14ac:dyDescent="0.25">
      <c r="A33" s="61" t="s">
        <v>283</v>
      </c>
      <c r="B33" s="61" t="b">
        <f>NOT(ISNA(VLOOKUP(CONCATENATE(A33,".config"),DLLServices2_Config_Inventory_Details,1,FALSE)))</f>
        <v>1</v>
      </c>
      <c r="C33" s="61"/>
      <c r="D33" s="61" t="s">
        <v>465</v>
      </c>
      <c r="E33" s="62" t="s">
        <v>572</v>
      </c>
      <c r="F33" s="63">
        <v>54784</v>
      </c>
      <c r="G33" s="64">
        <v>41926.081319444442</v>
      </c>
      <c r="H33" s="61" t="str">
        <f>IF(AND(NOT(B33),C33),CONCATENATE("call XCopyD.CMD",CHAR(32),[1]!QuoteSpaces(DLLServices2_Config_Inventory_Master_Copy),CHAR(32),[1]!QuoteSpaces([1]!GetFolder(A33))," /f /v"),"")</f>
        <v/>
      </c>
    </row>
    <row r="34" spans="1:8" hidden="1" x14ac:dyDescent="0.25">
      <c r="A34" s="61" t="s">
        <v>282</v>
      </c>
      <c r="B34" s="61" t="b">
        <f>NOT(ISNA(VLOOKUP(CONCATENATE(A34,".config"),DLLServices2_Config_Inventory_Details,1,FALSE)))</f>
        <v>1</v>
      </c>
      <c r="C34" s="61"/>
      <c r="D34" s="61" t="s">
        <v>466</v>
      </c>
      <c r="E34" s="62" t="s">
        <v>572</v>
      </c>
      <c r="F34" s="63">
        <v>54784</v>
      </c>
      <c r="G34" s="64">
        <v>41926.081319444442</v>
      </c>
      <c r="H34" s="61" t="str">
        <f>IF(AND(NOT(B34),C34),CONCATENATE("call XCopyD.CMD",CHAR(32),[1]!QuoteSpaces(DLLServices2_Config_Inventory_Master_Copy),CHAR(32),[1]!QuoteSpaces([1]!GetFolder(A34))," /f /v"),"")</f>
        <v/>
      </c>
    </row>
    <row r="35" spans="1:8" hidden="1" x14ac:dyDescent="0.25">
      <c r="A35" s="61" t="s">
        <v>281</v>
      </c>
      <c r="B35" s="61" t="b">
        <f>NOT(ISNA(VLOOKUP(CONCATENATE(A35,".config"),DLLServices2_Config_Inventory_Details,1,FALSE)))</f>
        <v>1</v>
      </c>
      <c r="C35" s="61"/>
      <c r="D35" s="61" t="s">
        <v>468</v>
      </c>
      <c r="E35" s="62" t="s">
        <v>572</v>
      </c>
      <c r="F35" s="63">
        <v>54784</v>
      </c>
      <c r="G35" s="64">
        <v>41926.081319444442</v>
      </c>
      <c r="H35" s="61" t="str">
        <f>IF(AND(NOT(B35),C35),CONCATENATE("call XCopyD.CMD",CHAR(32),[1]!QuoteSpaces(DLLServices2_Config_Inventory_Master_Copy),CHAR(32),[1]!QuoteSpaces([1]!GetFolder(A35))," /f /v"),"")</f>
        <v/>
      </c>
    </row>
    <row r="36" spans="1:8" hidden="1" x14ac:dyDescent="0.25">
      <c r="A36" s="61" t="s">
        <v>280</v>
      </c>
      <c r="B36" s="61" t="b">
        <f>NOT(ISNA(VLOOKUP(CONCATENATE(A36,".config"),DLLServices2_Config_Inventory_Details,1,FALSE)))</f>
        <v>1</v>
      </c>
      <c r="C36" s="61"/>
      <c r="D36" s="61" t="s">
        <v>469</v>
      </c>
      <c r="E36" s="62" t="s">
        <v>572</v>
      </c>
      <c r="F36" s="63">
        <v>54784</v>
      </c>
      <c r="G36" s="64">
        <v>41926.081319444442</v>
      </c>
      <c r="H36" s="61" t="str">
        <f>IF(AND(NOT(B36),C36),CONCATENATE("call XCopyD.CMD",CHAR(32),[1]!QuoteSpaces(DLLServices2_Config_Inventory_Master_Copy),CHAR(32),[1]!QuoteSpaces([1]!GetFolder(A36))," /f /v"),"")</f>
        <v/>
      </c>
    </row>
    <row r="37" spans="1:8" hidden="1" x14ac:dyDescent="0.25">
      <c r="A37" s="61" t="s">
        <v>279</v>
      </c>
      <c r="B37" s="61" t="b">
        <f>NOT(ISNA(VLOOKUP(CONCATENATE(A37,".config"),DLLServices2_Config_Inventory_Details,1,FALSE)))</f>
        <v>1</v>
      </c>
      <c r="C37" s="61"/>
      <c r="D37" s="61" t="s">
        <v>471</v>
      </c>
      <c r="E37" s="62" t="s">
        <v>572</v>
      </c>
      <c r="F37" s="63">
        <v>54784</v>
      </c>
      <c r="G37" s="64">
        <v>41926.081342592595</v>
      </c>
      <c r="H37" s="61" t="str">
        <f>IF(AND(NOT(B37),C37),CONCATENATE("call XCopyD.CMD",CHAR(32),[1]!QuoteSpaces(DLLServices2_Config_Inventory_Master_Copy),CHAR(32),[1]!QuoteSpaces([1]!GetFolder(A37))," /f /v"),"")</f>
        <v/>
      </c>
    </row>
    <row r="38" spans="1:8" hidden="1" x14ac:dyDescent="0.25">
      <c r="A38" s="61" t="s">
        <v>278</v>
      </c>
      <c r="B38" s="61" t="b">
        <f>NOT(ISNA(VLOOKUP(CONCATENATE(A38,".config"),DLLServices2_Config_Inventory_Details,1,FALSE)))</f>
        <v>1</v>
      </c>
      <c r="C38" s="61"/>
      <c r="D38" s="61" t="s">
        <v>472</v>
      </c>
      <c r="E38" s="62" t="s">
        <v>572</v>
      </c>
      <c r="F38" s="63">
        <v>54784</v>
      </c>
      <c r="G38" s="64">
        <v>41926.081342592595</v>
      </c>
      <c r="H38" s="61" t="str">
        <f>IF(AND(NOT(B38),C38),CONCATENATE("call XCopyD.CMD",CHAR(32),[1]!QuoteSpaces(DLLServices2_Config_Inventory_Master_Copy),CHAR(32),[1]!QuoteSpaces([1]!GetFolder(A38))," /f /v"),"")</f>
        <v/>
      </c>
    </row>
    <row r="39" spans="1:8" x14ac:dyDescent="0.25">
      <c r="A39" s="61" t="s">
        <v>277</v>
      </c>
      <c r="B39" s="90" t="b">
        <f>NOT(ISNA(VLOOKUP(CONCATENATE(A39,".config"),DLLServices2_Config_Inventory_Details,1,FALSE)))</f>
        <v>0</v>
      </c>
      <c r="C39" s="90" t="b">
        <v>1</v>
      </c>
      <c r="D39" s="61" t="s">
        <v>548</v>
      </c>
      <c r="E39" s="62" t="s">
        <v>572</v>
      </c>
      <c r="F39" s="63">
        <v>54784</v>
      </c>
      <c r="G39" s="64">
        <v>41926.081342592595</v>
      </c>
      <c r="H39" s="61" t="str">
        <f>IF(AND(NOT(B39),C39),CONCATENATE("call XCopyD.CMD",CHAR(32),[1]!QuoteSpaces(DLLServices2_Config_Inventory_Master_Copy),CHAR(32),[1]!QuoteSpaces([1]!GetFolder(A39))," /f /v"),"")</f>
        <v>call XCopyD.CMD "C:\Users\DAVE\Documents\Visual Studio 2013\Projects\WizardWrx_Libs\DLLServices2\DLLServices2\WizardWrx.DLLServices2.dll.config" "C:\Users\DAVE\Documents\Visual Studio 2013\Projects\NOLANB\EZPayWebPmtsNotifier\EZPayWebPmtsNotifier\bin\Debug" /f /v</v>
      </c>
    </row>
    <row r="40" spans="1:8" x14ac:dyDescent="0.25">
      <c r="A40" s="61" t="s">
        <v>276</v>
      </c>
      <c r="B40" s="90" t="b">
        <f>NOT(ISNA(VLOOKUP(CONCATENATE(A40,".config"),DLLServices2_Config_Inventory_Details,1,FALSE)))</f>
        <v>0</v>
      </c>
      <c r="C40" s="90" t="b">
        <v>1</v>
      </c>
      <c r="D40" s="61" t="s">
        <v>549</v>
      </c>
      <c r="E40" s="62" t="s">
        <v>572</v>
      </c>
      <c r="F40" s="63">
        <v>54784</v>
      </c>
      <c r="G40" s="64">
        <v>41926.081342592595</v>
      </c>
      <c r="H40" s="61" t="str">
        <f>IF(AND(NOT(B40),C40),CONCATENATE("call XCopyD.CMD",CHAR(32),[1]!QuoteSpaces(DLLServices2_Config_Inventory_Master_Copy),CHAR(32),[1]!QuoteSpaces([1]!GetFolder(A40))," /f /v"),"")</f>
        <v>call XCopyD.CMD "C:\Users\DAVE\Documents\Visual Studio 2013\Projects\WizardWrx_Libs\DLLServices2\DLLServices2\WizardWrx.DLLServices2.dll.config" "C:\Users\DAVE\Documents\Visual Studio 2013\Projects\NOLANB\EZPayWebPmtsNotifier\EZPayWebPmtsNotifier\bin\Release" /f /v</v>
      </c>
    </row>
    <row r="41" spans="1:8" hidden="1" x14ac:dyDescent="0.25">
      <c r="A41" s="61" t="s">
        <v>275</v>
      </c>
      <c r="B41" s="61" t="b">
        <f>NOT(ISNA(VLOOKUP(CONCATENATE(A41,".config"),DLLServices2_Config_Inventory_Details,1,FALSE)))</f>
        <v>1</v>
      </c>
      <c r="C41" s="61"/>
      <c r="D41" s="61" t="s">
        <v>474</v>
      </c>
      <c r="E41" s="62" t="s">
        <v>572</v>
      </c>
      <c r="F41" s="63">
        <v>54784</v>
      </c>
      <c r="G41" s="64">
        <v>41926.081342592595</v>
      </c>
      <c r="H41" s="61" t="str">
        <f>IF(AND(NOT(B41),C41),CONCATENATE("call XCopyD.CMD",CHAR(32),[1]!QuoteSpaces(DLLServices2_Config_Inventory_Master_Copy),CHAR(32),[1]!QuoteSpaces([1]!GetFolder(A41))," /f /v"),"")</f>
        <v/>
      </c>
    </row>
    <row r="42" spans="1:8" hidden="1" x14ac:dyDescent="0.25">
      <c r="A42" s="61" t="s">
        <v>274</v>
      </c>
      <c r="B42" s="61" t="b">
        <f>NOT(ISNA(VLOOKUP(CONCATENATE(A42,".config"),DLLServices2_Config_Inventory_Details,1,FALSE)))</f>
        <v>1</v>
      </c>
      <c r="C42" s="61"/>
      <c r="D42" s="61" t="s">
        <v>475</v>
      </c>
      <c r="E42" s="62" t="s">
        <v>572</v>
      </c>
      <c r="F42" s="63">
        <v>54784</v>
      </c>
      <c r="G42" s="64">
        <v>41926.081342592595</v>
      </c>
      <c r="H42" s="61" t="str">
        <f>IF(AND(NOT(B42),C42),CONCATENATE("call XCopyD.CMD",CHAR(32),[1]!QuoteSpaces(DLLServices2_Config_Inventory_Master_Copy),CHAR(32),[1]!QuoteSpaces([1]!GetFolder(A42))," /f /v"),"")</f>
        <v/>
      </c>
    </row>
    <row r="43" spans="1:8" hidden="1" x14ac:dyDescent="0.25">
      <c r="A43" s="61" t="s">
        <v>273</v>
      </c>
      <c r="B43" s="61" t="b">
        <f>NOT(ISNA(VLOOKUP(CONCATENATE(A43,".config"),DLLServices2_Config_Inventory_Details,1,FALSE)))</f>
        <v>1</v>
      </c>
      <c r="C43" s="61"/>
      <c r="D43" s="61" t="s">
        <v>477</v>
      </c>
      <c r="E43" s="62" t="s">
        <v>578</v>
      </c>
      <c r="F43" s="63">
        <v>52224</v>
      </c>
      <c r="G43" s="64">
        <v>41840.874699074076</v>
      </c>
      <c r="H43" s="61" t="str">
        <f>IF(AND(NOT(B43),C43),CONCATENATE("call XCopyD.CMD",CHAR(32),[1]!QuoteSpaces(DLLServices2_Config_Inventory_Master_Copy),CHAR(32),[1]!QuoteSpaces([1]!GetFolder(A43))," /f /v"),"")</f>
        <v/>
      </c>
    </row>
    <row r="44" spans="1:8" hidden="1" x14ac:dyDescent="0.25">
      <c r="A44" s="61" t="s">
        <v>272</v>
      </c>
      <c r="B44" s="61" t="b">
        <f>NOT(ISNA(VLOOKUP(CONCATENATE(A44,".config"),DLLServices2_Config_Inventory_Details,1,FALSE)))</f>
        <v>1</v>
      </c>
      <c r="C44" s="61"/>
      <c r="D44" s="61" t="s">
        <v>478</v>
      </c>
      <c r="E44" s="62" t="s">
        <v>578</v>
      </c>
      <c r="F44" s="63">
        <v>52224</v>
      </c>
      <c r="G44" s="64">
        <v>41840.874699074076</v>
      </c>
      <c r="H44" s="61" t="str">
        <f>IF(AND(NOT(B44),C44),CONCATENATE("call XCopyD.CMD",CHAR(32),[1]!QuoteSpaces(DLLServices2_Config_Inventory_Master_Copy),CHAR(32),[1]!QuoteSpaces([1]!GetFolder(A44))," /f /v"),"")</f>
        <v/>
      </c>
    </row>
    <row r="45" spans="1:8" hidden="1" x14ac:dyDescent="0.25">
      <c r="A45" s="61" t="s">
        <v>271</v>
      </c>
      <c r="B45" s="61" t="b">
        <f>NOT(ISNA(VLOOKUP(CONCATENATE(A45,".config"),DLLServices2_Config_Inventory_Details,1,FALSE)))</f>
        <v>1</v>
      </c>
      <c r="C45" s="61"/>
      <c r="D45" s="61" t="s">
        <v>480</v>
      </c>
      <c r="E45" s="62" t="s">
        <v>572</v>
      </c>
      <c r="F45" s="63">
        <v>54784</v>
      </c>
      <c r="G45" s="64">
        <v>41926.081319444442</v>
      </c>
      <c r="H45" s="61" t="str">
        <f>IF(AND(NOT(B45),C45),CONCATENATE("call XCopyD.CMD",CHAR(32),[1]!QuoteSpaces(DLLServices2_Config_Inventory_Master_Copy),CHAR(32),[1]!QuoteSpaces([1]!GetFolder(A45))," /f /v"),"")</f>
        <v/>
      </c>
    </row>
    <row r="46" spans="1:8" hidden="1" x14ac:dyDescent="0.25">
      <c r="A46" s="61" t="s">
        <v>270</v>
      </c>
      <c r="B46" s="61" t="b">
        <f>NOT(ISNA(VLOOKUP(CONCATENATE(A46,".config"),DLLServices2_Config_Inventory_Details,1,FALSE)))</f>
        <v>1</v>
      </c>
      <c r="C46" s="61"/>
      <c r="D46" s="61" t="s">
        <v>481</v>
      </c>
      <c r="E46" s="62" t="s">
        <v>572</v>
      </c>
      <c r="F46" s="63">
        <v>54784</v>
      </c>
      <c r="G46" s="64">
        <v>41926.081319444442</v>
      </c>
      <c r="H46" s="61" t="str">
        <f>IF(AND(NOT(B46),C46),CONCATENATE("call XCopyD.CMD",CHAR(32),[1]!QuoteSpaces(DLLServices2_Config_Inventory_Master_Copy),CHAR(32),[1]!QuoteSpaces([1]!GetFolder(A46))," /f /v"),"")</f>
        <v/>
      </c>
    </row>
    <row r="47" spans="1:8" x14ac:dyDescent="0.25">
      <c r="A47" s="61" t="s">
        <v>269</v>
      </c>
      <c r="B47" s="90" t="b">
        <f>NOT(ISNA(VLOOKUP(CONCATENATE(A47,".config"),DLLServices2_Config_Inventory_Details,1,FALSE)))</f>
        <v>0</v>
      </c>
      <c r="C47" s="90" t="b">
        <v>1</v>
      </c>
      <c r="D47" s="61" t="s">
        <v>550</v>
      </c>
      <c r="E47" s="62" t="s">
        <v>579</v>
      </c>
      <c r="F47" s="63">
        <v>109056</v>
      </c>
      <c r="G47" s="64">
        <v>42469.828321759262</v>
      </c>
      <c r="H47" s="61" t="str">
        <f>IF(AND(NOT(B47),C47),CONCATENATE("call XCopyD.CMD",CHAR(32),[1]!QuoteSpaces(DLLServices2_Config_Inventory_Master_Copy),CHAR(32),[1]!QuoteSpaces([1]!GetFolder(A47))," /f /v"),"")</f>
        <v>call XCopyD.CMD "C:\Users\DAVE\Documents\Visual Studio 2013\Projects\WizardWrx_Libs\DLLServices2\DLLServices2\WizardWrx.DLLServices2.dll.config" "C:\Users\DAVE\Documents\Visual Studio 2013\Projects\Tools_for_Programmers\BitView\BitView\bin\Debug" /f /v</v>
      </c>
    </row>
    <row r="48" spans="1:8" hidden="1" x14ac:dyDescent="0.25">
      <c r="A48" s="61" t="s">
        <v>268</v>
      </c>
      <c r="B48" s="61" t="b">
        <f>NOT(ISNA(VLOOKUP(CONCATENATE(A48,".config"),DLLServices2_Config_Inventory_Details,1,FALSE)))</f>
        <v>1</v>
      </c>
      <c r="C48" s="61"/>
      <c r="D48" s="61" t="s">
        <v>483</v>
      </c>
      <c r="E48" s="62" t="s">
        <v>580</v>
      </c>
      <c r="F48" s="63">
        <v>52224</v>
      </c>
      <c r="G48" s="64">
        <v>41812.999189814815</v>
      </c>
      <c r="H48" s="61" t="str">
        <f>IF(AND(NOT(B48),C48),CONCATENATE("call XCopyD.CMD",CHAR(32),[1]!QuoteSpaces(DLLServices2_Config_Inventory_Master_Copy),CHAR(32),[1]!QuoteSpaces([1]!GetFolder(A48))," /f /v"),"")</f>
        <v/>
      </c>
    </row>
    <row r="49" spans="1:8" hidden="1" x14ac:dyDescent="0.25">
      <c r="A49" s="61" t="s">
        <v>267</v>
      </c>
      <c r="B49" s="61" t="b">
        <f>NOT(ISNA(VLOOKUP(CONCATENATE(A49,".config"),DLLServices2_Config_Inventory_Details,1,FALSE)))</f>
        <v>1</v>
      </c>
      <c r="C49" s="61"/>
      <c r="D49" s="61" t="s">
        <v>485</v>
      </c>
      <c r="E49" s="62" t="s">
        <v>576</v>
      </c>
      <c r="F49" s="63">
        <v>96768</v>
      </c>
      <c r="G49" s="64">
        <v>42248.593275462961</v>
      </c>
      <c r="H49" s="61" t="str">
        <f>IF(AND(NOT(B49),C49),CONCATENATE("call XCopyD.CMD",CHAR(32),[1]!QuoteSpaces(DLLServices2_Config_Inventory_Master_Copy),CHAR(32),[1]!QuoteSpaces([1]!GetFolder(A49))," /f /v"),"")</f>
        <v/>
      </c>
    </row>
    <row r="50" spans="1:8" x14ac:dyDescent="0.25">
      <c r="A50" s="61" t="s">
        <v>266</v>
      </c>
      <c r="B50" s="90" t="b">
        <f>NOT(ISNA(VLOOKUP(CONCATENATE(A50,".config"),DLLServices2_Config_Inventory_Details,1,FALSE)))</f>
        <v>0</v>
      </c>
      <c r="C50" s="90" t="b">
        <v>1</v>
      </c>
      <c r="D50" s="61" t="s">
        <v>551</v>
      </c>
      <c r="E50" s="62" t="s">
        <v>581</v>
      </c>
      <c r="F50" s="63">
        <v>98816</v>
      </c>
      <c r="G50" s="64">
        <v>42330.62</v>
      </c>
      <c r="H50" s="61" t="str">
        <f>IF(AND(NOT(B50),C50),CONCATENATE("call XCopyD.CMD",CHAR(32),[1]!QuoteSpaces(DLLServices2_Config_Inventory_Master_Copy),CHAR(32),[1]!QuoteSpaces([1]!GetFolder(A50))," /f /v"),"")</f>
        <v>call XCopyD.CMD "C:\Users\DAVE\Documents\Visual Studio 2013\Projects\WizardWrx_Libs\DLLServices2\DLLServices2\WizardWrx.DLLServices2.dll.config" "C:\Users\DAVE\Documents\Visual Studio 2013\Projects\Tools_for_Programmers\MemView\MemView\bin\Debug" /f /v</v>
      </c>
    </row>
    <row r="51" spans="1:8" hidden="1" x14ac:dyDescent="0.25">
      <c r="A51" s="61" t="s">
        <v>265</v>
      </c>
      <c r="B51" s="61" t="b">
        <f>NOT(ISNA(VLOOKUP(CONCATENATE(A51,".config"),DLLServices2_Config_Inventory_Details,1,FALSE)))</f>
        <v>1</v>
      </c>
      <c r="C51" s="61"/>
      <c r="D51" s="61" t="s">
        <v>488</v>
      </c>
      <c r="E51" s="62" t="s">
        <v>580</v>
      </c>
      <c r="F51" s="63">
        <v>52224</v>
      </c>
      <c r="G51" s="64">
        <v>41812.999189814815</v>
      </c>
      <c r="H51" s="61" t="str">
        <f>IF(AND(NOT(B51),C51),CONCATENATE("call XCopyD.CMD",CHAR(32),[1]!QuoteSpaces(DLLServices2_Config_Inventory_Master_Copy),CHAR(32),[1]!QuoteSpaces([1]!GetFolder(A51))," /f /v"),"")</f>
        <v/>
      </c>
    </row>
    <row r="52" spans="1:8" hidden="1" x14ac:dyDescent="0.25">
      <c r="A52" s="61" t="s">
        <v>264</v>
      </c>
      <c r="B52" s="61" t="b">
        <f>NOT(ISNA(VLOOKUP(CONCATENATE(A52,".config"),DLLServices2_Config_Inventory_Details,1,FALSE)))</f>
        <v>1</v>
      </c>
      <c r="C52" s="61"/>
      <c r="D52" s="61" t="s">
        <v>489</v>
      </c>
      <c r="E52" s="62" t="s">
        <v>580</v>
      </c>
      <c r="F52" s="63">
        <v>52224</v>
      </c>
      <c r="G52" s="64">
        <v>41812.999189814815</v>
      </c>
      <c r="H52" s="61" t="str">
        <f>IF(AND(NOT(B52),C52),CONCATENATE("call XCopyD.CMD",CHAR(32),[1]!QuoteSpaces(DLLServices2_Config_Inventory_Master_Copy),CHAR(32),[1]!QuoteSpaces([1]!GetFolder(A52))," /f /v"),"")</f>
        <v/>
      </c>
    </row>
    <row r="53" spans="1:8" hidden="1" x14ac:dyDescent="0.25">
      <c r="A53" s="61" t="s">
        <v>263</v>
      </c>
      <c r="B53" s="61" t="b">
        <f>NOT(ISNA(VLOOKUP(CONCATENATE(A53,".config"),DLLServices2_Config_Inventory_Details,1,FALSE)))</f>
        <v>1</v>
      </c>
      <c r="C53" s="61"/>
      <c r="D53" s="61" t="s">
        <v>490</v>
      </c>
      <c r="E53" s="62" t="s">
        <v>574</v>
      </c>
      <c r="F53" s="63">
        <v>81920</v>
      </c>
      <c r="G53" s="64">
        <v>42174.757037037038</v>
      </c>
      <c r="H53" s="61" t="str">
        <f>IF(AND(NOT(B53),C53),CONCATENATE("call XCopyD.CMD",CHAR(32),[1]!QuoteSpaces(DLLServices2_Config_Inventory_Master_Copy),CHAR(32),[1]!QuoteSpaces([1]!GetFolder(A53))," /f /v"),"")</f>
        <v/>
      </c>
    </row>
    <row r="54" spans="1:8" hidden="1" x14ac:dyDescent="0.25">
      <c r="A54" s="61" t="s">
        <v>262</v>
      </c>
      <c r="B54" s="61" t="b">
        <f>NOT(ISNA(VLOOKUP(CONCATENATE(A54,".config"),DLLServices2_Config_Inventory_Details,1,FALSE)))</f>
        <v>1</v>
      </c>
      <c r="C54" s="61"/>
      <c r="D54" s="61" t="s">
        <v>492</v>
      </c>
      <c r="E54" s="62" t="s">
        <v>572</v>
      </c>
      <c r="F54" s="63">
        <v>54784</v>
      </c>
      <c r="G54" s="64">
        <v>41926.081342592595</v>
      </c>
      <c r="H54" s="61" t="str">
        <f>IF(AND(NOT(B54),C54),CONCATENATE("call XCopyD.CMD",CHAR(32),[1]!QuoteSpaces(DLLServices2_Config_Inventory_Master_Copy),CHAR(32),[1]!QuoteSpaces([1]!GetFolder(A54))," /f /v"),"")</f>
        <v/>
      </c>
    </row>
    <row r="55" spans="1:8" hidden="1" x14ac:dyDescent="0.25">
      <c r="A55" s="61" t="s">
        <v>261</v>
      </c>
      <c r="B55" s="61" t="b">
        <f>NOT(ISNA(VLOOKUP(CONCATENATE(A55,".config"),DLLServices2_Config_Inventory_Details,1,FALSE)))</f>
        <v>1</v>
      </c>
      <c r="C55" s="61"/>
      <c r="D55" s="61" t="s">
        <v>493</v>
      </c>
      <c r="E55" s="62" t="s">
        <v>572</v>
      </c>
      <c r="F55" s="63">
        <v>54784</v>
      </c>
      <c r="G55" s="64">
        <v>41926.081342592595</v>
      </c>
      <c r="H55" s="61" t="str">
        <f>IF(AND(NOT(B55),C55),CONCATENATE("call XCopyD.CMD",CHAR(32),[1]!QuoteSpaces(DLLServices2_Config_Inventory_Master_Copy),CHAR(32),[1]!QuoteSpaces([1]!GetFolder(A55))," /f /v"),"")</f>
        <v/>
      </c>
    </row>
    <row r="56" spans="1:8" hidden="1" x14ac:dyDescent="0.25">
      <c r="A56" s="61" t="s">
        <v>260</v>
      </c>
      <c r="B56" s="61" t="b">
        <f>NOT(ISNA(VLOOKUP(CONCATENATE(A56,".config"),DLLServices2_Config_Inventory_Details,1,FALSE)))</f>
        <v>1</v>
      </c>
      <c r="C56" s="61"/>
      <c r="D56" s="61" t="s">
        <v>495</v>
      </c>
      <c r="E56" s="62" t="s">
        <v>580</v>
      </c>
      <c r="F56" s="63">
        <v>52224</v>
      </c>
      <c r="G56" s="64">
        <v>41812.999189814815</v>
      </c>
      <c r="H56" s="61" t="str">
        <f>IF(AND(NOT(B56),C56),CONCATENATE("call XCopyD.CMD",CHAR(32),[1]!QuoteSpaces(DLLServices2_Config_Inventory_Master_Copy),CHAR(32),[1]!QuoteSpaces([1]!GetFolder(A56))," /f /v"),"")</f>
        <v/>
      </c>
    </row>
    <row r="57" spans="1:8" hidden="1" x14ac:dyDescent="0.25">
      <c r="A57" s="61" t="s">
        <v>259</v>
      </c>
      <c r="B57" s="61" t="b">
        <f>NOT(ISNA(VLOOKUP(CONCATENATE(A57,".config"),DLLServices2_Config_Inventory_Details,1,FALSE)))</f>
        <v>1</v>
      </c>
      <c r="C57" s="61"/>
      <c r="D57" s="61" t="s">
        <v>496</v>
      </c>
      <c r="E57" s="62" t="s">
        <v>580</v>
      </c>
      <c r="F57" s="63">
        <v>52224</v>
      </c>
      <c r="G57" s="64">
        <v>41812.999189814815</v>
      </c>
      <c r="H57" s="61" t="str">
        <f>IF(AND(NOT(B57),C57),CONCATENATE("call XCopyD.CMD",CHAR(32),[1]!QuoteSpaces(DLLServices2_Config_Inventory_Master_Copy),CHAR(32),[1]!QuoteSpaces([1]!GetFolder(A57))," /f /v"),"")</f>
        <v/>
      </c>
    </row>
    <row r="58" spans="1:8" hidden="1" x14ac:dyDescent="0.25">
      <c r="A58" s="61" t="s">
        <v>258</v>
      </c>
      <c r="B58" s="61" t="b">
        <f>NOT(ISNA(VLOOKUP(CONCATENATE(A58,".config"),DLLServices2_Config_Inventory_Details,1,FALSE)))</f>
        <v>1</v>
      </c>
      <c r="C58" s="61"/>
      <c r="D58" s="61" t="s">
        <v>498</v>
      </c>
      <c r="E58" s="62" t="s">
        <v>575</v>
      </c>
      <c r="F58" s="63">
        <v>114688</v>
      </c>
      <c r="G58" s="64">
        <v>42510.164340277777</v>
      </c>
      <c r="H58" s="61" t="str">
        <f>IF(AND(NOT(B58),C58),CONCATENATE("call XCopyD.CMD",CHAR(32),[1]!QuoteSpaces(DLLServices2_Config_Inventory_Master_Copy),CHAR(32),[1]!QuoteSpaces([1]!GetFolder(A58))," /f /v"),"")</f>
        <v/>
      </c>
    </row>
    <row r="59" spans="1:8" hidden="1" x14ac:dyDescent="0.25">
      <c r="A59" s="61" t="s">
        <v>257</v>
      </c>
      <c r="B59" s="61" t="b">
        <f>NOT(ISNA(VLOOKUP(CONCATENATE(A59,".config"),DLLServices2_Config_Inventory_Details,1,FALSE)))</f>
        <v>1</v>
      </c>
      <c r="C59" s="61"/>
      <c r="D59" s="61" t="s">
        <v>499</v>
      </c>
      <c r="E59" s="62" t="s">
        <v>575</v>
      </c>
      <c r="F59" s="63">
        <v>114688</v>
      </c>
      <c r="G59" s="64">
        <v>42510.164340277777</v>
      </c>
      <c r="H59" s="61" t="str">
        <f>IF(AND(NOT(B59),C59),CONCATENATE("call XCopyD.CMD",CHAR(32),[1]!QuoteSpaces(DLLServices2_Config_Inventory_Master_Copy),CHAR(32),[1]!QuoteSpaces([1]!GetFolder(A59))," /f /v"),"")</f>
        <v/>
      </c>
    </row>
    <row r="60" spans="1:8" hidden="1" x14ac:dyDescent="0.25">
      <c r="A60" s="61" t="s">
        <v>256</v>
      </c>
      <c r="B60" s="61" t="b">
        <f>NOT(ISNA(VLOOKUP(CONCATENATE(A60,".config"),DLLServices2_Config_Inventory_Details,1,FALSE)))</f>
        <v>1</v>
      </c>
      <c r="C60" s="61"/>
      <c r="D60" s="61" t="s">
        <v>501</v>
      </c>
      <c r="E60" s="62" t="s">
        <v>575</v>
      </c>
      <c r="F60" s="63">
        <v>114688</v>
      </c>
      <c r="G60" s="64">
        <v>42510.164340277777</v>
      </c>
      <c r="H60" s="61" t="str">
        <f>IF(AND(NOT(B60),C60),CONCATENATE("call XCopyD.CMD",CHAR(32),[1]!QuoteSpaces(DLLServices2_Config_Inventory_Master_Copy),CHAR(32),[1]!QuoteSpaces([1]!GetFolder(A60))," /f /v"),"")</f>
        <v/>
      </c>
    </row>
    <row r="61" spans="1:8" hidden="1" x14ac:dyDescent="0.25">
      <c r="A61" s="61" t="s">
        <v>255</v>
      </c>
      <c r="B61" s="61" t="b">
        <f>NOT(ISNA(VLOOKUP(CONCATENATE(A61,".config"),DLLServices2_Config_Inventory_Details,1,FALSE)))</f>
        <v>1</v>
      </c>
      <c r="C61" s="61"/>
      <c r="D61" s="61" t="s">
        <v>502</v>
      </c>
      <c r="E61" s="62" t="s">
        <v>575</v>
      </c>
      <c r="F61" s="63">
        <v>114688</v>
      </c>
      <c r="G61" s="64">
        <v>42510.164340277777</v>
      </c>
      <c r="H61" s="61" t="str">
        <f>IF(AND(NOT(B61),C61),CONCATENATE("call XCopyD.CMD",CHAR(32),[1]!QuoteSpaces(DLLServices2_Config_Inventory_Master_Copy),CHAR(32),[1]!QuoteSpaces([1]!GetFolder(A61))," /f /v"),"")</f>
        <v/>
      </c>
    </row>
    <row r="62" spans="1:8" hidden="1" x14ac:dyDescent="0.25">
      <c r="A62" s="61" t="s">
        <v>254</v>
      </c>
      <c r="B62" s="61" t="b">
        <f>NOT(ISNA(VLOOKUP(CONCATENATE(A62,".config"),DLLServices2_Config_Inventory_Details,1,FALSE)))</f>
        <v>1</v>
      </c>
      <c r="C62" s="61"/>
      <c r="D62" s="61" t="s">
        <v>504</v>
      </c>
      <c r="E62" s="62" t="s">
        <v>575</v>
      </c>
      <c r="F62" s="63">
        <v>114688</v>
      </c>
      <c r="G62" s="64">
        <v>42510.164340277777</v>
      </c>
      <c r="H62" s="61" t="str">
        <f>IF(AND(NOT(B62),C62),CONCATENATE("call XCopyD.CMD",CHAR(32),[1]!QuoteSpaces(DLLServices2_Config_Inventory_Master_Copy),CHAR(32),[1]!QuoteSpaces([1]!GetFolder(A62))," /f /v"),"")</f>
        <v/>
      </c>
    </row>
    <row r="63" spans="1:8" hidden="1" x14ac:dyDescent="0.25">
      <c r="A63" s="61" t="s">
        <v>253</v>
      </c>
      <c r="B63" s="61" t="b">
        <f>NOT(ISNA(VLOOKUP(CONCATENATE(A63,".config"),DLLServices2_Config_Inventory_Details,1,FALSE)))</f>
        <v>1</v>
      </c>
      <c r="C63" s="61"/>
      <c r="D63" s="61" t="s">
        <v>505</v>
      </c>
      <c r="E63" s="62" t="s">
        <v>575</v>
      </c>
      <c r="F63" s="63">
        <v>114688</v>
      </c>
      <c r="G63" s="64">
        <v>42510.164340277777</v>
      </c>
      <c r="H63" s="61" t="str">
        <f>IF(AND(NOT(B63),C63),CONCATENATE("call XCopyD.CMD",CHAR(32),[1]!QuoteSpaces(DLLServices2_Config_Inventory_Master_Copy),CHAR(32),[1]!QuoteSpaces([1]!GetFolder(A63))," /f /v"),"")</f>
        <v/>
      </c>
    </row>
    <row r="64" spans="1:8" hidden="1" x14ac:dyDescent="0.25">
      <c r="A64" s="61" t="s">
        <v>252</v>
      </c>
      <c r="B64" s="61" t="b">
        <f>NOT(ISNA(VLOOKUP(CONCATENATE(A64,".config"),DLLServices2_Config_Inventory_Details,1,FALSE)))</f>
        <v>1</v>
      </c>
      <c r="C64" s="61"/>
      <c r="D64" s="61" t="s">
        <v>507</v>
      </c>
      <c r="E64" s="62" t="s">
        <v>582</v>
      </c>
      <c r="F64" s="63">
        <v>130048</v>
      </c>
      <c r="G64" s="64">
        <v>42526.009340277778</v>
      </c>
      <c r="H64" s="61" t="str">
        <f>IF(AND(NOT(B64),C64),CONCATENATE("call XCopyD.CMD",CHAR(32),[1]!QuoteSpaces(DLLServices2_Config_Inventory_Master_Copy),CHAR(32),[1]!QuoteSpaces([1]!GetFolder(A64))," /f /v"),"")</f>
        <v/>
      </c>
    </row>
    <row r="65" spans="1:8" hidden="1" x14ac:dyDescent="0.25">
      <c r="A65" s="61" t="s">
        <v>251</v>
      </c>
      <c r="B65" s="61" t="b">
        <f>NOT(ISNA(VLOOKUP(CONCATENATE(A65,".config"),DLLServices2_Config_Inventory_Details,1,FALSE)))</f>
        <v>1</v>
      </c>
      <c r="C65" s="61"/>
      <c r="D65" s="61" t="s">
        <v>508</v>
      </c>
      <c r="E65" s="62" t="s">
        <v>583</v>
      </c>
      <c r="F65" s="63">
        <v>116224</v>
      </c>
      <c r="G65" s="64">
        <v>42526.048946759256</v>
      </c>
      <c r="H65" s="61" t="str">
        <f>IF(AND(NOT(B65),C65),CONCATENATE("call XCopyD.CMD",CHAR(32),[1]!QuoteSpaces(DLLServices2_Config_Inventory_Master_Copy),CHAR(32),[1]!QuoteSpaces([1]!GetFolder(A65))," /f /v"),"")</f>
        <v/>
      </c>
    </row>
    <row r="66" spans="1:8" x14ac:dyDescent="0.25">
      <c r="A66" s="61" t="s">
        <v>250</v>
      </c>
      <c r="B66" s="90" t="b">
        <f>NOT(ISNA(VLOOKUP(CONCATENATE(A66,".config"),DLLServices2_Config_Inventory_Details,1,FALSE)))</f>
        <v>0</v>
      </c>
      <c r="C66" s="90" t="b">
        <v>1</v>
      </c>
      <c r="D66" s="61" t="s">
        <v>552</v>
      </c>
      <c r="E66" s="62" t="s">
        <v>582</v>
      </c>
      <c r="F66" s="63">
        <v>130048</v>
      </c>
      <c r="G66" s="64">
        <v>42526.009340277778</v>
      </c>
      <c r="H66" s="61" t="str">
        <f>IF(AND(NOT(B66),C66),CONCATENATE("call XCopyD.CMD",CHAR(32),[1]!QuoteSpaces(DLLServices2_Config_Inventory_Master_Copy),CHAR(32),[1]!QuoteSpaces([1]!GetFolder(A66))," /f /v"),"")</f>
        <v>call XCopyD.CMD "C:\Users\DAVE\Documents\Visual Studio 2013\Projects\WizardWrx_Libs\DLLServices2\DLLServices2\WizardWrx.DLLServices2.dll.config" "C:\Users\DAVE\Documents\Visual Studio 2013\Projects\WizardWrx_Libs\DLLServices2\DLLServices2\obj\Debug" /f /v</v>
      </c>
    </row>
    <row r="67" spans="1:8" x14ac:dyDescent="0.25">
      <c r="A67" s="61" t="s">
        <v>249</v>
      </c>
      <c r="B67" s="90" t="b">
        <f>NOT(ISNA(VLOOKUP(CONCATENATE(A67,".config"),DLLServices2_Config_Inventory_Details,1,FALSE)))</f>
        <v>0</v>
      </c>
      <c r="C67" s="90" t="b">
        <v>1</v>
      </c>
      <c r="D67" s="61" t="s">
        <v>553</v>
      </c>
      <c r="E67" s="62" t="s">
        <v>583</v>
      </c>
      <c r="F67" s="63">
        <v>116224</v>
      </c>
      <c r="G67" s="64">
        <v>42526.048946759256</v>
      </c>
      <c r="H67" s="61" t="str">
        <f>IF(AND(NOT(B67),C67),CONCATENATE("call XCopyD.CMD",CHAR(32),[1]!QuoteSpaces(DLLServices2_Config_Inventory_Master_Copy),CHAR(32),[1]!QuoteSpaces([1]!GetFolder(A67))," /f /v"),"")</f>
        <v>call XCopyD.CMD "C:\Users\DAVE\Documents\Visual Studio 2013\Projects\WizardWrx_Libs\DLLServices2\DLLServices2\WizardWrx.DLLServices2.dll.config" "C:\Users\DAVE\Documents\Visual Studio 2013\Projects\WizardWrx_Libs\DLLServices2\DLLServices2\obj\Release" /f /v</v>
      </c>
    </row>
    <row r="68" spans="1:8" hidden="1" x14ac:dyDescent="0.25">
      <c r="A68" s="61" t="s">
        <v>248</v>
      </c>
      <c r="B68" s="61" t="b">
        <f>NOT(ISNA(VLOOKUP(CONCATENATE(A68,".config"),DLLServices2_Config_Inventory_Details,1,FALSE)))</f>
        <v>1</v>
      </c>
      <c r="C68" s="61"/>
      <c r="D68" s="61" t="s">
        <v>509</v>
      </c>
      <c r="E68" s="62" t="s">
        <v>582</v>
      </c>
      <c r="F68" s="63">
        <v>130048</v>
      </c>
      <c r="G68" s="64">
        <v>42526.009340277778</v>
      </c>
      <c r="H68" s="61" t="str">
        <f>IF(AND(NOT(B68),C68),CONCATENATE("call XCopyD.CMD",CHAR(32),[1]!QuoteSpaces(DLLServices2_Config_Inventory_Master_Copy),CHAR(32),[1]!QuoteSpaces([1]!GetFolder(A68))," /f /v"),"")</f>
        <v/>
      </c>
    </row>
    <row r="69" spans="1:8" hidden="1" x14ac:dyDescent="0.25">
      <c r="A69" s="61" t="s">
        <v>247</v>
      </c>
      <c r="B69" s="61" t="b">
        <f>NOT(ISNA(VLOOKUP(CONCATENATE(A69,".config"),DLLServices2_Config_Inventory_Details,1,FALSE)))</f>
        <v>1</v>
      </c>
      <c r="C69" s="61"/>
      <c r="D69" s="61" t="s">
        <v>510</v>
      </c>
      <c r="E69" s="62" t="s">
        <v>583</v>
      </c>
      <c r="F69" s="63">
        <v>116224</v>
      </c>
      <c r="G69" s="64">
        <v>42526.048946759256</v>
      </c>
      <c r="H69" s="61" t="str">
        <f>IF(AND(NOT(B69),C69),CONCATENATE("call XCopyD.CMD",CHAR(32),[1]!QuoteSpaces(DLLServices2_Config_Inventory_Master_Copy),CHAR(32),[1]!QuoteSpaces([1]!GetFolder(A69))," /f /v"),"")</f>
        <v/>
      </c>
    </row>
    <row r="70" spans="1:8" hidden="1" x14ac:dyDescent="0.25">
      <c r="A70" s="61" t="s">
        <v>246</v>
      </c>
      <c r="B70" s="61" t="b">
        <f>NOT(ISNA(VLOOKUP(CONCATENATE(A70,".config"),DLLServices2_Config_Inventory_Details,1,FALSE)))</f>
        <v>1</v>
      </c>
      <c r="C70" s="61"/>
      <c r="D70" s="61" t="s">
        <v>511</v>
      </c>
      <c r="E70" s="62" t="s">
        <v>584</v>
      </c>
      <c r="F70" s="63">
        <v>110080</v>
      </c>
      <c r="G70" s="64">
        <v>42293.548252314817</v>
      </c>
      <c r="H70" s="61" t="str">
        <f>IF(AND(NOT(B70),C70),CONCATENATE("call XCopyD.CMD",CHAR(32),[1]!QuoteSpaces(DLLServices2_Config_Inventory_Master_Copy),CHAR(32),[1]!QuoteSpaces([1]!GetFolder(A70))," /f /v"),"")</f>
        <v/>
      </c>
    </row>
    <row r="71" spans="1:8" hidden="1" x14ac:dyDescent="0.25">
      <c r="A71" s="61" t="s">
        <v>245</v>
      </c>
      <c r="B71" s="61" t="b">
        <f>NOT(ISNA(VLOOKUP(CONCATENATE(A71,".config"),DLLServices2_Config_Inventory_Details,1,FALSE)))</f>
        <v>1</v>
      </c>
      <c r="C71" s="61"/>
      <c r="D71" s="61" t="s">
        <v>512</v>
      </c>
      <c r="E71" s="62" t="s">
        <v>583</v>
      </c>
      <c r="F71" s="63">
        <v>116224</v>
      </c>
      <c r="G71" s="64">
        <v>42526.048946759256</v>
      </c>
      <c r="H71" s="61" t="str">
        <f>IF(AND(NOT(B71),C71),CONCATENATE("call XCopyD.CMD",CHAR(32),[1]!QuoteSpaces(DLLServices2_Config_Inventory_Master_Copy),CHAR(32),[1]!QuoteSpaces([1]!GetFolder(A71))," /f /v"),"")</f>
        <v/>
      </c>
    </row>
    <row r="72" spans="1:8" x14ac:dyDescent="0.25">
      <c r="A72" s="61" t="s">
        <v>244</v>
      </c>
      <c r="B72" s="90" t="b">
        <f>NOT(ISNA(VLOOKUP(CONCATENATE(A72,".config"),DLLServices2_Config_Inventory_Details,1,FALSE)))</f>
        <v>0</v>
      </c>
      <c r="C72" s="90" t="b">
        <v>1</v>
      </c>
      <c r="D72" s="61" t="s">
        <v>554</v>
      </c>
      <c r="E72" s="62" t="s">
        <v>572</v>
      </c>
      <c r="F72" s="63">
        <v>54784</v>
      </c>
      <c r="G72" s="64">
        <v>41926.081342592595</v>
      </c>
      <c r="H72" s="61" t="str">
        <f>IF(AND(NOT(B72),C72),CONCATENATE("call XCopyD.CMD",CHAR(32),[1]!QuoteSpaces(DLLServices2_Config_Inventory_Master_Copy),CHAR(32),[1]!QuoteSpaces([1]!GetFolder(A72))," /f /v"),"")</f>
        <v>call XCopyD.CMD "C:\Users\DAVE\Documents\Visual Studio 2013\Projects\WizardWrx_Libs\DLLServices2\DLLServices2\WizardWrx.DLLServices2.dll.config" "C:\Users\DAVE\Documents\Visual Studio 2013\Projects\WizardWrx_Libs\MailForAllApps\MailForAllApps\bin\Debug" /f /v</v>
      </c>
    </row>
    <row r="73" spans="1:8" x14ac:dyDescent="0.25">
      <c r="A73" s="61" t="s">
        <v>243</v>
      </c>
      <c r="B73" s="90" t="b">
        <f>NOT(ISNA(VLOOKUP(CONCATENATE(A73,".config"),DLLServices2_Config_Inventory_Details,1,FALSE)))</f>
        <v>0</v>
      </c>
      <c r="C73" s="90" t="b">
        <v>1</v>
      </c>
      <c r="D73" s="61" t="s">
        <v>555</v>
      </c>
      <c r="E73" s="62" t="s">
        <v>572</v>
      </c>
      <c r="F73" s="63">
        <v>54784</v>
      </c>
      <c r="G73" s="64">
        <v>41926.081342592595</v>
      </c>
      <c r="H73" s="61" t="str">
        <f>IF(AND(NOT(B73),C73),CONCATENATE("call XCopyD.CMD",CHAR(32),[1]!QuoteSpaces(DLLServices2_Config_Inventory_Master_Copy),CHAR(32),[1]!QuoteSpaces([1]!GetFolder(A73))," /f /v"),"")</f>
        <v>call XCopyD.CMD "C:\Users\DAVE\Documents\Visual Studio 2013\Projects\WizardWrx_Libs\DLLServices2\DLLServices2\WizardWrx.DLLServices2.dll.config" "C:\Users\DAVE\Documents\Visual Studio 2013\Projects\WizardWrx_Libs\MailForAllApps\MailForAllApps\bin\Release" /f /v</v>
      </c>
    </row>
    <row r="74" spans="1:8" hidden="1" x14ac:dyDescent="0.25">
      <c r="A74" s="61" t="s">
        <v>242</v>
      </c>
      <c r="B74" s="61" t="b">
        <f>NOT(ISNA(VLOOKUP(CONCATENATE(A74,".config"),DLLServices2_Config_Inventory_Details,1,FALSE)))</f>
        <v>1</v>
      </c>
      <c r="C74" s="61"/>
      <c r="D74" s="61" t="s">
        <v>514</v>
      </c>
      <c r="E74" s="62" t="s">
        <v>572</v>
      </c>
      <c r="F74" s="63">
        <v>54784</v>
      </c>
      <c r="G74" s="64">
        <v>41926.081342592595</v>
      </c>
      <c r="H74" s="61" t="str">
        <f>IF(AND(NOT(B74),C74),CONCATENATE("call XCopyD.CMD",CHAR(32),[1]!QuoteSpaces(DLLServices2_Config_Inventory_Master_Copy),CHAR(32),[1]!QuoteSpaces([1]!GetFolder(A74))," /f /v"),"")</f>
        <v/>
      </c>
    </row>
    <row r="75" spans="1:8" hidden="1" x14ac:dyDescent="0.25">
      <c r="A75" s="61" t="s">
        <v>241</v>
      </c>
      <c r="B75" s="61" t="b">
        <f>NOT(ISNA(VLOOKUP(CONCATENATE(A75,".config"),DLLServices2_Config_Inventory_Details,1,FALSE)))</f>
        <v>1</v>
      </c>
      <c r="C75" s="61"/>
      <c r="D75" s="61" t="s">
        <v>515</v>
      </c>
      <c r="E75" s="62" t="s">
        <v>572</v>
      </c>
      <c r="F75" s="63">
        <v>54784</v>
      </c>
      <c r="G75" s="64">
        <v>41926.081342592595</v>
      </c>
      <c r="H75" s="61" t="str">
        <f>IF(AND(NOT(B75),C75),CONCATENATE("call XCopyD.CMD",CHAR(32),[1]!QuoteSpaces(DLLServices2_Config_Inventory_Master_Copy),CHAR(32),[1]!QuoteSpaces([1]!GetFolder(A75))," /f /v"),"")</f>
        <v/>
      </c>
    </row>
    <row r="76" spans="1:8" x14ac:dyDescent="0.25">
      <c r="A76" s="61" t="s">
        <v>240</v>
      </c>
      <c r="B76" s="90" t="b">
        <f>NOT(ISNA(VLOOKUP(CONCATENATE(A76,".config"),DLLServices2_Config_Inventory_Details,1,FALSE)))</f>
        <v>0</v>
      </c>
      <c r="C76" s="90" t="b">
        <v>1</v>
      </c>
      <c r="D76" s="61" t="s">
        <v>556</v>
      </c>
      <c r="E76" s="62" t="s">
        <v>583</v>
      </c>
      <c r="F76" s="63">
        <v>116224</v>
      </c>
      <c r="G76" s="64">
        <v>42526.048946759256</v>
      </c>
      <c r="H76" s="61" t="str">
        <f>IF(AND(NOT(B76),C76),CONCATENATE("call XCopyD.CMD",CHAR(32),[1]!QuoteSpaces(DLLServices2_Config_Inventory_Master_Copy),CHAR(32),[1]!QuoteSpaces([1]!GetFolder(A76))," /f /v"),"")</f>
        <v>call XCopyD.CMD "C:\Users\DAVE\Documents\Visual Studio 2013\Projects\WizardWrx_Libs\DLLServices2\DLLServices2\WizardWrx.DLLServices2.dll.config" "C:\Users\DAVE\Documents\Visual Studio 2013\Projects\WizardWrx_Libs\SharedUtl4\FormatStringEngine\bin\Debug" /f /v</v>
      </c>
    </row>
    <row r="77" spans="1:8" x14ac:dyDescent="0.25">
      <c r="A77" s="61" t="s">
        <v>239</v>
      </c>
      <c r="B77" s="90" t="b">
        <f>NOT(ISNA(VLOOKUP(CONCATENATE(A77,".config"),DLLServices2_Config_Inventory_Details,1,FALSE)))</f>
        <v>0</v>
      </c>
      <c r="C77" s="90" t="b">
        <v>1</v>
      </c>
      <c r="D77" s="61" t="s">
        <v>557</v>
      </c>
      <c r="E77" s="62" t="s">
        <v>583</v>
      </c>
      <c r="F77" s="63">
        <v>116224</v>
      </c>
      <c r="G77" s="64">
        <v>42526.048946759256</v>
      </c>
      <c r="H77" s="61" t="str">
        <f>IF(AND(NOT(B77),C77),CONCATENATE("call XCopyD.CMD",CHAR(32),[1]!QuoteSpaces(DLLServices2_Config_Inventory_Master_Copy),CHAR(32),[1]!QuoteSpaces([1]!GetFolder(A77))," /f /v"),"")</f>
        <v>call XCopyD.CMD "C:\Users\DAVE\Documents\Visual Studio 2013\Projects\WizardWrx_Libs\DLLServices2\DLLServices2\WizardWrx.DLLServices2.dll.config" "C:\Users\DAVE\Documents\Visual Studio 2013\Projects\WizardWrx_Libs\SharedUtl4\SharedUtl4\bin\Debug" /f /v</v>
      </c>
    </row>
    <row r="78" spans="1:8" x14ac:dyDescent="0.25">
      <c r="A78" s="61" t="s">
        <v>238</v>
      </c>
      <c r="B78" s="90" t="b">
        <f>NOT(ISNA(VLOOKUP(CONCATENATE(A78,".config"),DLLServices2_Config_Inventory_Details,1,FALSE)))</f>
        <v>0</v>
      </c>
      <c r="C78" s="90" t="b">
        <v>1</v>
      </c>
      <c r="D78" s="61" t="s">
        <v>558</v>
      </c>
      <c r="E78" s="62" t="s">
        <v>572</v>
      </c>
      <c r="F78" s="63">
        <v>54784</v>
      </c>
      <c r="G78" s="64">
        <v>41926.081342592595</v>
      </c>
      <c r="H78" s="61" t="str">
        <f>IF(AND(NOT(B78),C78),CONCATENATE("call XCopyD.CMD",CHAR(32),[1]!QuoteSpaces(DLLServices2_Config_Inventory_Master_Copy),CHAR(32),[1]!QuoteSpaces([1]!GetFolder(A78))," /f /v"),"")</f>
        <v>call XCopyD.CMD "C:\Users\DAVE\Documents\Visual Studio 2013\Projects\WizardWrx_Libs\DLLServices2\DLLServices2\WizardWrx.DLLServices2.dll.config" "C:\Users\DAVE\Documents\Visual Studio 2013\Projects\WizardWrx_Libs\SharedUtl4\SharedUtl4\bin\Release" /f /v</v>
      </c>
    </row>
    <row r="79" spans="1:8" hidden="1" x14ac:dyDescent="0.25">
      <c r="A79" s="61" t="s">
        <v>237</v>
      </c>
      <c r="B79" s="61" t="b">
        <f>NOT(ISNA(VLOOKUP(CONCATENATE(A79,".config"),DLLServices2_Config_Inventory_Details,1,FALSE)))</f>
        <v>1</v>
      </c>
      <c r="C79" s="61"/>
      <c r="D79" s="61" t="s">
        <v>517</v>
      </c>
      <c r="E79" s="62" t="s">
        <v>583</v>
      </c>
      <c r="F79" s="63">
        <v>116224</v>
      </c>
      <c r="G79" s="64">
        <v>42526.048946759256</v>
      </c>
      <c r="H79" s="61" t="str">
        <f>IF(AND(NOT(B79),C79),CONCATENATE("call XCopyD.CMD",CHAR(32),[1]!QuoteSpaces(DLLServices2_Config_Inventory_Master_Copy),CHAR(32),[1]!QuoteSpaces([1]!GetFolder(A79))," /f /v"),"")</f>
        <v/>
      </c>
    </row>
    <row r="80" spans="1:8" hidden="1" x14ac:dyDescent="0.25">
      <c r="A80" s="61" t="s">
        <v>236</v>
      </c>
      <c r="B80" s="61" t="b">
        <f>NOT(ISNA(VLOOKUP(CONCATENATE(A80,".config"),DLLServices2_Config_Inventory_Details,1,FALSE)))</f>
        <v>1</v>
      </c>
      <c r="C80" s="61"/>
      <c r="D80" s="61" t="s">
        <v>518</v>
      </c>
      <c r="E80" s="62" t="s">
        <v>572</v>
      </c>
      <c r="F80" s="63">
        <v>54784</v>
      </c>
      <c r="G80" s="64">
        <v>41926.081342592595</v>
      </c>
      <c r="H80" s="61" t="str">
        <f>IF(AND(NOT(B80),C80),CONCATENATE("call XCopyD.CMD",CHAR(32),[1]!QuoteSpaces(DLLServices2_Config_Inventory_Master_Copy),CHAR(32),[1]!QuoteSpaces([1]!GetFolder(A80))," /f /v"),"")</f>
        <v/>
      </c>
    </row>
    <row r="81" spans="1:8" x14ac:dyDescent="0.25">
      <c r="A81" s="61" t="s">
        <v>235</v>
      </c>
      <c r="B81" s="90" t="b">
        <f>NOT(ISNA(VLOOKUP(CONCATENATE(A81,".config"),DLLServices2_Config_Inventory_Details,1,FALSE)))</f>
        <v>0</v>
      </c>
      <c r="C81" s="90" t="b">
        <v>1</v>
      </c>
      <c r="D81" s="61" t="s">
        <v>559</v>
      </c>
      <c r="E81" s="62" t="s">
        <v>576</v>
      </c>
      <c r="F81" s="63">
        <v>96768</v>
      </c>
      <c r="G81" s="64">
        <v>42248.593275462961</v>
      </c>
      <c r="H81" s="61" t="str">
        <f>IF(AND(NOT(B81),C81),CONCATENATE("call XCopyD.CMD",CHAR(32),[1]!QuoteSpaces(DLLServices2_Config_Inventory_Master_Copy),CHAR(32),[1]!QuoteSpaces([1]!GetFolder(A81))," /f /v"),"")</f>
        <v>call XCopyD.CMD "C:\Users\DAVE\Documents\Visual Studio 2013\Projects\WizardWrx_Libs\DLLServices2\DLLServices2\WizardWrx.DLLServices2.dll.config" "C:\Users\DAVE\Documents\Visual Studio 2013\Projects\WizardWrx_Libs\WinFormsHelpers\WinFormsHelpers\bin\Debug" /f /v</v>
      </c>
    </row>
    <row r="82" spans="1:8" x14ac:dyDescent="0.25">
      <c r="A82" s="61" t="s">
        <v>234</v>
      </c>
      <c r="B82" s="90" t="b">
        <f>NOT(ISNA(VLOOKUP(CONCATENATE(A82,".config"),DLLServices2_Config_Inventory_Details,1,FALSE)))</f>
        <v>0</v>
      </c>
      <c r="C82" s="90" t="b">
        <v>1</v>
      </c>
      <c r="D82" s="61" t="s">
        <v>560</v>
      </c>
      <c r="E82" s="62" t="s">
        <v>576</v>
      </c>
      <c r="F82" s="63">
        <v>96768</v>
      </c>
      <c r="G82" s="64">
        <v>42248.593275462961</v>
      </c>
      <c r="H82" s="61" t="str">
        <f>IF(AND(NOT(B82),C82),CONCATENATE("call XCopyD.CMD",CHAR(32),[1]!QuoteSpaces(DLLServices2_Config_Inventory_Master_Copy),CHAR(32),[1]!QuoteSpaces([1]!GetFolder(A82))," /f /v"),"")</f>
        <v>call XCopyD.CMD "C:\Users\DAVE\Documents\Visual Studio 2013\Projects\WizardWrx_Libs\DLLServices2\DLLServices2\WizardWrx.DLLServices2.dll.config" "C:\Users\DAVE\Documents\Visual Studio 2013\Projects\WizardWrx_Libs\WinFormsHelpers\WinFormsHelpers\bin\Release" /f /v</v>
      </c>
    </row>
    <row r="83" spans="1:8" hidden="1" x14ac:dyDescent="0.25">
      <c r="A83" s="61" t="s">
        <v>233</v>
      </c>
      <c r="B83" s="61" t="b">
        <f>NOT(ISNA(VLOOKUP(CONCATENATE(A83,".config"),DLLServices2_Config_Inventory_Details,1,FALSE)))</f>
        <v>1</v>
      </c>
      <c r="C83" s="61"/>
      <c r="D83" s="61" t="s">
        <v>520</v>
      </c>
      <c r="E83" s="62" t="s">
        <v>578</v>
      </c>
      <c r="F83" s="63">
        <v>52224</v>
      </c>
      <c r="G83" s="64">
        <v>41840.874699074076</v>
      </c>
      <c r="H83" s="61" t="str">
        <f>IF(AND(NOT(B83),C83),CONCATENATE("call XCopyD.CMD",CHAR(32),[1]!QuoteSpaces(DLLServices2_Config_Inventory_Master_Copy),CHAR(32),[1]!QuoteSpaces([1]!GetFolder(A83))," /f /v"),"")</f>
        <v/>
      </c>
    </row>
    <row r="84" spans="1:8" hidden="1" x14ac:dyDescent="0.25">
      <c r="A84" s="61" t="s">
        <v>232</v>
      </c>
      <c r="B84" s="61" t="b">
        <f>NOT(ISNA(VLOOKUP(CONCATENATE(A84,".config"),DLLServices2_Config_Inventory_Details,1,FALSE)))</f>
        <v>1</v>
      </c>
      <c r="C84" s="61"/>
      <c r="D84" s="61" t="s">
        <v>521</v>
      </c>
      <c r="E84" s="62" t="s">
        <v>585</v>
      </c>
      <c r="F84" s="63">
        <v>55296</v>
      </c>
      <c r="G84" s="64">
        <v>42160.464722222219</v>
      </c>
      <c r="H84" s="61" t="str">
        <f>IF(AND(NOT(B84),C84),CONCATENATE("call XCopyD.CMD",CHAR(32),[1]!QuoteSpaces(DLLServices2_Config_Inventory_Master_Copy),CHAR(32),[1]!QuoteSpaces([1]!GetFolder(A84))," /f /v"),"")</f>
        <v/>
      </c>
    </row>
    <row r="85" spans="1:8" hidden="1" x14ac:dyDescent="0.25">
      <c r="A85" s="61" t="s">
        <v>231</v>
      </c>
      <c r="B85" s="61" t="b">
        <f>NOT(ISNA(VLOOKUP(CONCATENATE(A85,".config"),DLLServices2_Config_Inventory_Details,1,FALSE)))</f>
        <v>1</v>
      </c>
      <c r="C85" s="61"/>
      <c r="D85" s="61" t="s">
        <v>523</v>
      </c>
      <c r="E85" s="62" t="s">
        <v>578</v>
      </c>
      <c r="F85" s="63">
        <v>52224</v>
      </c>
      <c r="G85" s="64">
        <v>41840.874699074076</v>
      </c>
      <c r="H85" s="61" t="str">
        <f>IF(AND(NOT(B85),C85),CONCATENATE("call XCopyD.CMD",CHAR(32),[1]!QuoteSpaces(DLLServices2_Config_Inventory_Master_Copy),CHAR(32),[1]!QuoteSpaces([1]!GetFolder(A85))," /f /v"),"")</f>
        <v/>
      </c>
    </row>
    <row r="86" spans="1:8" hidden="1" x14ac:dyDescent="0.25">
      <c r="A86" s="61" t="s">
        <v>230</v>
      </c>
      <c r="B86" s="61" t="b">
        <f>NOT(ISNA(VLOOKUP(CONCATENATE(A86,".config"),DLLServices2_Config_Inventory_Details,1,FALSE)))</f>
        <v>1</v>
      </c>
      <c r="C86" s="61"/>
      <c r="D86" s="61" t="s">
        <v>524</v>
      </c>
      <c r="E86" s="62" t="s">
        <v>578</v>
      </c>
      <c r="F86" s="63">
        <v>52224</v>
      </c>
      <c r="G86" s="64">
        <v>41840.874699074076</v>
      </c>
      <c r="H86" s="61" t="str">
        <f>IF(AND(NOT(B86),C86),CONCATENATE("call XCopyD.CMD",CHAR(32),[1]!QuoteSpaces(DLLServices2_Config_Inventory_Master_Copy),CHAR(32),[1]!QuoteSpaces([1]!GetFolder(A86))," /f /v"),"")</f>
        <v/>
      </c>
    </row>
    <row r="87" spans="1:8" x14ac:dyDescent="0.25">
      <c r="A87" s="61" t="s">
        <v>229</v>
      </c>
      <c r="B87" s="90" t="b">
        <f>NOT(ISNA(VLOOKUP(CONCATENATE(A87,".config"),DLLServices2_Config_Inventory_Details,1,FALSE)))</f>
        <v>0</v>
      </c>
      <c r="C87" s="90" t="b">
        <v>0</v>
      </c>
      <c r="D87" s="61" t="s">
        <v>561</v>
      </c>
      <c r="E87" s="62" t="s">
        <v>572</v>
      </c>
      <c r="F87" s="63">
        <v>54784</v>
      </c>
      <c r="G87" s="64">
        <v>41926.081342592595</v>
      </c>
      <c r="H87" s="61" t="str">
        <f>IF(AND(NOT(B87),C87),CONCATENATE("call XCopyD.CMD",CHAR(32),[1]!QuoteSpaces(DLLServices2_Config_Inventory_Master_Copy),CHAR(32),[1]!QuoteSpaces([1]!GetFolder(A87))," /f /v"),"")</f>
        <v/>
      </c>
    </row>
    <row r="88" spans="1:8" x14ac:dyDescent="0.25">
      <c r="A88" s="61" t="s">
        <v>228</v>
      </c>
      <c r="B88" s="90" t="b">
        <f>NOT(ISNA(VLOOKUP(CONCATENATE(A88,".config"),DLLServices2_Config_Inventory_Details,1,FALSE)))</f>
        <v>0</v>
      </c>
      <c r="C88" s="90" t="b">
        <v>0</v>
      </c>
      <c r="D88" s="61" t="s">
        <v>562</v>
      </c>
      <c r="E88" s="62" t="s">
        <v>585</v>
      </c>
      <c r="F88" s="63">
        <v>55296</v>
      </c>
      <c r="G88" s="64">
        <v>42160.464722222219</v>
      </c>
      <c r="H88" s="61" t="str">
        <f>IF(AND(NOT(B88),C88),CONCATENATE("call XCopyD.CMD",CHAR(32),[1]!QuoteSpaces(DLLServices2_Config_Inventory_Master_Copy),CHAR(32),[1]!QuoteSpaces([1]!GetFolder(A88))," /f /v"),"")</f>
        <v/>
      </c>
    </row>
    <row r="89" spans="1:8" hidden="1" x14ac:dyDescent="0.25">
      <c r="A89" s="61" t="s">
        <v>227</v>
      </c>
      <c r="B89" s="61" t="b">
        <f>NOT(ISNA(VLOOKUP(CONCATENATE(A89,".config"),DLLServices2_Config_Inventory_Details,1,FALSE)))</f>
        <v>1</v>
      </c>
      <c r="C89" s="61"/>
      <c r="D89" s="61" t="s">
        <v>526</v>
      </c>
      <c r="E89" s="62" t="s">
        <v>572</v>
      </c>
      <c r="F89" s="63">
        <v>54784</v>
      </c>
      <c r="G89" s="64">
        <v>41926.081342592595</v>
      </c>
      <c r="H89" s="61" t="str">
        <f>IF(AND(NOT(B89),C89),CONCATENATE("call XCopyD.CMD",CHAR(32),[1]!QuoteSpaces(DLLServices2_Config_Inventory_Master_Copy),CHAR(32),[1]!QuoteSpaces([1]!GetFolder(A89))," /f /v"),"")</f>
        <v/>
      </c>
    </row>
    <row r="90" spans="1:8" hidden="1" x14ac:dyDescent="0.25">
      <c r="A90" s="61" t="s">
        <v>226</v>
      </c>
      <c r="B90" s="61" t="b">
        <f>NOT(ISNA(VLOOKUP(CONCATENATE(A90,".config"),DLLServices2_Config_Inventory_Details,1,FALSE)))</f>
        <v>1</v>
      </c>
      <c r="C90" s="61"/>
      <c r="D90" s="61" t="s">
        <v>527</v>
      </c>
      <c r="E90" s="62" t="s">
        <v>585</v>
      </c>
      <c r="F90" s="63">
        <v>55296</v>
      </c>
      <c r="G90" s="64">
        <v>42160.464722222219</v>
      </c>
      <c r="H90" s="61" t="str">
        <f>IF(AND(NOT(B90),C90),CONCATENATE("call XCopyD.CMD",CHAR(32),[1]!QuoteSpaces(DLLServices2_Config_Inventory_Master_Copy),CHAR(32),[1]!QuoteSpaces([1]!GetFolder(A90))," /f /v"),"")</f>
        <v/>
      </c>
    </row>
    <row r="91" spans="1:8" x14ac:dyDescent="0.25">
      <c r="A91" s="61" t="s">
        <v>225</v>
      </c>
      <c r="B91" s="90" t="b">
        <f>NOT(ISNA(VLOOKUP(CONCATENATE(A91,".config"),DLLServices2_Config_Inventory_Details,1,FALSE)))</f>
        <v>0</v>
      </c>
      <c r="C91" s="90" t="b">
        <v>0</v>
      </c>
      <c r="D91" s="61" t="s">
        <v>563</v>
      </c>
      <c r="E91" s="62" t="s">
        <v>572</v>
      </c>
      <c r="F91" s="63">
        <v>54784</v>
      </c>
      <c r="G91" s="64">
        <v>41926.081342592595</v>
      </c>
      <c r="H91" s="61" t="str">
        <f>IF(AND(NOT(B91),C91),CONCATENATE("call XCopyD.CMD",CHAR(32),[1]!QuoteSpaces(DLLServices2_Config_Inventory_Master_Copy),CHAR(32),[1]!QuoteSpaces([1]!GetFolder(A91))," /f /v"),"")</f>
        <v/>
      </c>
    </row>
    <row r="92" spans="1:8" x14ac:dyDescent="0.25">
      <c r="A92" s="61" t="s">
        <v>224</v>
      </c>
      <c r="B92" s="90" t="b">
        <f>NOT(ISNA(VLOOKUP(CONCATENATE(A92,".config"),DLLServices2_Config_Inventory_Details,1,FALSE)))</f>
        <v>0</v>
      </c>
      <c r="C92" s="90" t="b">
        <v>0</v>
      </c>
      <c r="D92" s="61" t="s">
        <v>564</v>
      </c>
      <c r="E92" s="62" t="s">
        <v>572</v>
      </c>
      <c r="F92" s="63">
        <v>54784</v>
      </c>
      <c r="G92" s="64">
        <v>41926.081342592595</v>
      </c>
      <c r="H92" s="61" t="str">
        <f>IF(AND(NOT(B92),C92),CONCATENATE("call XCopyD.CMD",CHAR(32),[1]!QuoteSpaces(DLLServices2_Config_Inventory_Master_Copy),CHAR(32),[1]!QuoteSpaces([1]!GetFolder(A92))," /f /v"),"")</f>
        <v/>
      </c>
    </row>
    <row r="93" spans="1:8" x14ac:dyDescent="0.25">
      <c r="A93" s="61" t="s">
        <v>223</v>
      </c>
      <c r="B93" s="90" t="b">
        <f>NOT(ISNA(VLOOKUP(CONCATENATE(A93,".config"),DLLServices2_Config_Inventory_Details,1,FALSE)))</f>
        <v>0</v>
      </c>
      <c r="C93" s="90" t="b">
        <v>0</v>
      </c>
      <c r="D93" s="61" t="s">
        <v>565</v>
      </c>
      <c r="E93" s="62" t="s">
        <v>572</v>
      </c>
      <c r="F93" s="63">
        <v>54784</v>
      </c>
      <c r="G93" s="64">
        <v>41926.081342592595</v>
      </c>
      <c r="H93" s="61" t="str">
        <f>IF(AND(NOT(B93),C93),CONCATENATE("call XCopyD.CMD",CHAR(32),[1]!QuoteSpaces(DLLServices2_Config_Inventory_Master_Copy),CHAR(32),[1]!QuoteSpaces([1]!GetFolder(A93))," /f /v"),"")</f>
        <v/>
      </c>
    </row>
    <row r="94" spans="1:8" x14ac:dyDescent="0.25">
      <c r="A94" s="61" t="s">
        <v>222</v>
      </c>
      <c r="B94" s="90" t="b">
        <f>NOT(ISNA(VLOOKUP(CONCATENATE(A94,".config"),DLLServices2_Config_Inventory_Details,1,FALSE)))</f>
        <v>0</v>
      </c>
      <c r="C94" s="90" t="b">
        <v>0</v>
      </c>
      <c r="D94" s="61" t="s">
        <v>566</v>
      </c>
      <c r="E94" s="62" t="s">
        <v>572</v>
      </c>
      <c r="F94" s="63">
        <v>54784</v>
      </c>
      <c r="G94" s="64">
        <v>41926.081342592595</v>
      </c>
      <c r="H94" s="61" t="str">
        <f>IF(AND(NOT(B94),C94),CONCATENATE("call XCopyD.CMD",CHAR(32),[1]!QuoteSpaces(DLLServices2_Config_Inventory_Master_Copy),CHAR(32),[1]!QuoteSpaces([1]!GetFolder(A94))," /f /v"),"")</f>
        <v/>
      </c>
    </row>
    <row r="95" spans="1:8" hidden="1" x14ac:dyDescent="0.25">
      <c r="A95" s="61" t="s">
        <v>221</v>
      </c>
      <c r="B95" s="61" t="b">
        <f>NOT(ISNA(VLOOKUP(CONCATENATE(A95,".config"),DLLServices2_Config_Inventory_Details,1,FALSE)))</f>
        <v>1</v>
      </c>
      <c r="C95" s="61"/>
      <c r="D95" s="61" t="s">
        <v>528</v>
      </c>
      <c r="E95" s="62" t="s">
        <v>586</v>
      </c>
      <c r="F95" s="63">
        <v>54784</v>
      </c>
      <c r="G95" s="64">
        <v>42163.602083333331</v>
      </c>
      <c r="H95" s="61" t="str">
        <f>IF(AND(NOT(B95),C95),CONCATENATE("call XCopyD.CMD",CHAR(32),[1]!QuoteSpaces(DLLServices2_Config_Inventory_Master_Copy),CHAR(32),[1]!QuoteSpaces([1]!GetFolder(A95))," /f /v"),"")</f>
        <v/>
      </c>
    </row>
    <row r="96" spans="1:8" x14ac:dyDescent="0.25">
      <c r="A96" s="61" t="s">
        <v>220</v>
      </c>
      <c r="B96" s="90" t="b">
        <f>NOT(ISNA(VLOOKUP(CONCATENATE(A96,".config"),DLLServices2_Config_Inventory_Details,1,FALSE)))</f>
        <v>0</v>
      </c>
      <c r="C96" s="90" t="b">
        <v>1</v>
      </c>
      <c r="D96" s="61" t="s">
        <v>567</v>
      </c>
      <c r="E96" s="62" t="s">
        <v>585</v>
      </c>
      <c r="F96" s="63">
        <v>55296</v>
      </c>
      <c r="G96" s="64">
        <v>42160.464722222219</v>
      </c>
      <c r="H96" s="61" t="str">
        <f>IF(AND(NOT(B96),C96),CONCATENATE("call XCopyD.CMD",CHAR(32),[1]!QuoteSpaces(DLLServices2_Config_Inventory_Master_Copy),CHAR(32),[1]!QuoteSpaces([1]!GetFolder(A96))," /f /v"),"")</f>
        <v>call XCopyD.CMD "C:\Users\DAVE\Documents\Visual Studio 2013\Projects\WizardWrx_Libs\DLLServices2\DLLServices2\WizardWrx.DLLServices2.dll.config" "C:\Users\DAVE\Documents\Visual Studio 2013\Projects\_Laboratory\ConsoleOutputSpeedTest\ConsoleOutputSpeedTest\bin\Release" /f /v</v>
      </c>
    </row>
    <row r="97" spans="1:8" x14ac:dyDescent="0.25">
      <c r="A97" s="61" t="s">
        <v>219</v>
      </c>
      <c r="B97" s="90" t="b">
        <f>NOT(ISNA(VLOOKUP(CONCATENATE(A97,".config"),DLLServices2_Config_Inventory_Details,1,FALSE)))</f>
        <v>0</v>
      </c>
      <c r="C97" s="90" t="b">
        <v>1</v>
      </c>
      <c r="D97" s="61" t="s">
        <v>568</v>
      </c>
      <c r="E97" s="62" t="s">
        <v>574</v>
      </c>
      <c r="F97" s="63">
        <v>81920</v>
      </c>
      <c r="G97" s="64">
        <v>42174.757037037038</v>
      </c>
      <c r="H97" s="61" t="str">
        <f>IF(AND(NOT(B97),C97),CONCATENATE("call XCopyD.CMD",CHAR(32),[1]!QuoteSpaces(DLLServices2_Config_Inventory_Master_Copy),CHAR(32),[1]!QuoteSpaces([1]!GetFolder(A97))," /f /v"),"")</f>
        <v>call XCopyD.CMD "C:\Users\DAVE\Documents\Visual Studio 2013\Projects\WizardWrx_Libs\DLLServices2\DLLServices2\WizardWrx.DLLServices2.dll.config" "C:\Users\DAVE\Documents\Visual Studio 2013\Projects\_Laboratory\CSharp_Lab\bin\Debug" /f /v</v>
      </c>
    </row>
    <row r="98" spans="1:8" x14ac:dyDescent="0.25">
      <c r="A98" s="61" t="s">
        <v>218</v>
      </c>
      <c r="B98" s="90" t="b">
        <f>NOT(ISNA(VLOOKUP(CONCATENATE(A98,".config"),DLLServices2_Config_Inventory_Details,1,FALSE)))</f>
        <v>0</v>
      </c>
      <c r="C98" s="90" t="b">
        <v>1</v>
      </c>
      <c r="D98" s="61" t="s">
        <v>569</v>
      </c>
      <c r="E98" s="62" t="s">
        <v>574</v>
      </c>
      <c r="F98" s="63">
        <v>81920</v>
      </c>
      <c r="G98" s="64">
        <v>42174.757037037038</v>
      </c>
      <c r="H98" s="61" t="str">
        <f>IF(AND(NOT(B98),C98),CONCATENATE("call XCopyD.CMD",CHAR(32),[1]!QuoteSpaces(DLLServices2_Config_Inventory_Master_Copy),CHAR(32),[1]!QuoteSpaces([1]!GetFolder(A98))," /f /v"),"")</f>
        <v>call XCopyD.CMD "C:\Users\DAVE\Documents\Visual Studio 2013\Projects\WizardWrx_Libs\DLLServices2\DLLServices2\WizardWrx.DLLServices2.dll.config" "C:\Users\DAVE\Documents\Visual Studio 2013\Projects\_Laboratory\CSharp_Lab\bin\x86\Debug" /f /v</v>
      </c>
    </row>
    <row r="99" spans="1:8" x14ac:dyDescent="0.25">
      <c r="A99" s="61" t="s">
        <v>217</v>
      </c>
      <c r="B99" s="90" t="b">
        <f>NOT(ISNA(VLOOKUP(CONCATENATE(A99,".config"),DLLServices2_Config_Inventory_Details,1,FALSE)))</f>
        <v>0</v>
      </c>
      <c r="C99" s="90" t="b">
        <v>1</v>
      </c>
      <c r="D99" s="61" t="s">
        <v>570</v>
      </c>
      <c r="E99" s="62" t="s">
        <v>574</v>
      </c>
      <c r="F99" s="63">
        <v>81920</v>
      </c>
      <c r="G99" s="64">
        <v>42174.757037037038</v>
      </c>
      <c r="H99" s="61" t="str">
        <f>IF(AND(NOT(B99),C99),CONCATENATE("call XCopyD.CMD",CHAR(32),[1]!QuoteSpaces(DLLServices2_Config_Inventory_Master_Copy),CHAR(32),[1]!QuoteSpaces([1]!GetFolder(A99))," /f /v"),"")</f>
        <v>call XCopyD.CMD "C:\Users\DAVE\Documents\Visual Studio 2013\Projects\WizardWrx_Libs\DLLServices2\DLLServices2\WizardWrx.DLLServices2.dll.config" "C:\Users\DAVE\Documents\Visual Studio 2013\Projects\_Laboratory\CSharp_Lab\CSharp_Lab\bin\Debug" /f /v</v>
      </c>
    </row>
    <row r="100" spans="1:8" x14ac:dyDescent="0.25">
      <c r="A100" s="61" t="s">
        <v>216</v>
      </c>
      <c r="B100" s="90" t="b">
        <f>NOT(ISNA(VLOOKUP(CONCATENATE(A100,".config"),DLLServices2_Config_Inventory_Details,1,FALSE)))</f>
        <v>0</v>
      </c>
      <c r="C100" s="90" t="b">
        <v>1</v>
      </c>
      <c r="D100" s="61" t="s">
        <v>571</v>
      </c>
      <c r="E100" s="62" t="s">
        <v>574</v>
      </c>
      <c r="F100" s="63">
        <v>81920</v>
      </c>
      <c r="G100" s="64">
        <v>42174.757037037038</v>
      </c>
      <c r="H100" s="61" t="str">
        <f>IF(AND(NOT(B100),C100),CONCATENATE("call XCopyD.CMD",CHAR(32),[1]!QuoteSpaces(DLLServices2_Config_Inventory_Master_Copy),CHAR(32),[1]!QuoteSpaces([1]!GetFolder(A100))," /f /v"),"")</f>
        <v>call XCopyD.CMD "C:\Users\DAVE\Documents\Visual Studio 2013\Projects\WizardWrx_Libs\DLLServices2\DLLServices2\WizardWrx.DLLServices2.dll.config" "C:\Users\DAVE\Documents\Visual Studio 2013\Projects\_Laboratory\CSharp_Lab\CSharp_Lab\bin\x86\Debug" /f /v</v>
      </c>
    </row>
    <row r="101" spans="1:8" hidden="1" x14ac:dyDescent="0.25">
      <c r="A101" s="61" t="s">
        <v>215</v>
      </c>
      <c r="B101" s="61" t="b">
        <f>NOT(ISNA(VLOOKUP(CONCATENATE(A101,".config"),DLLServices2_Config_Inventory_Details,1,FALSE)))</f>
        <v>1</v>
      </c>
      <c r="C101" s="61"/>
      <c r="D101" s="61" t="s">
        <v>530</v>
      </c>
      <c r="E101" s="62" t="s">
        <v>572</v>
      </c>
      <c r="F101" s="63">
        <v>54784</v>
      </c>
      <c r="G101" s="64">
        <v>41926.081342592595</v>
      </c>
      <c r="H101" s="61" t="str">
        <f>IF(AND(NOT(B101),C101),CONCATENATE("call XCopyD.CMD",CHAR(32),[1]!QuoteSpaces(DLLServices2_Config_Inventory_Master_Copy),CHAR(32),[1]!QuoteSpaces([1]!GetFolder(A101))," /f /v"),"")</f>
        <v/>
      </c>
    </row>
    <row r="102" spans="1:8" hidden="1" x14ac:dyDescent="0.25">
      <c r="A102" s="61" t="s">
        <v>214</v>
      </c>
      <c r="B102" s="61" t="b">
        <f>NOT(ISNA(VLOOKUP(CONCATENATE(A102,".config"),DLLServices2_Config_Inventory_Details,1,FALSE)))</f>
        <v>1</v>
      </c>
      <c r="C102" s="61"/>
      <c r="D102" s="61" t="s">
        <v>531</v>
      </c>
      <c r="E102" s="62" t="s">
        <v>572</v>
      </c>
      <c r="F102" s="63">
        <v>54784</v>
      </c>
      <c r="G102" s="64">
        <v>41926.081342592595</v>
      </c>
      <c r="H102" s="61" t="str">
        <f>IF(AND(NOT(B102),C102),CONCATENATE("call XCopyD.CMD",CHAR(32),[1]!QuoteSpaces(DLLServices2_Config_Inventory_Master_Copy),CHAR(32),[1]!QuoteSpaces([1]!GetFolder(A102))," /f /v"),"")</f>
        <v/>
      </c>
    </row>
    <row r="103" spans="1:8" hidden="1" x14ac:dyDescent="0.25">
      <c r="A103" s="61" t="s">
        <v>213</v>
      </c>
      <c r="B103" s="61" t="b">
        <f>NOT(ISNA(VLOOKUP(CONCATENATE(A103,".config"),DLLServices2_Config_Inventory_Details,1,FALSE)))</f>
        <v>1</v>
      </c>
      <c r="C103" s="61"/>
      <c r="D103" s="61" t="s">
        <v>532</v>
      </c>
      <c r="E103" s="62" t="s">
        <v>572</v>
      </c>
      <c r="F103" s="63">
        <v>54784</v>
      </c>
      <c r="G103" s="64">
        <v>41926.081342592595</v>
      </c>
      <c r="H103" s="61" t="str">
        <f>IF(AND(NOT(B103),C103),CONCATENATE("call XCopyD.CMD",CHAR(32),[1]!QuoteSpaces(DLLServices2_Config_Inventory_Master_Copy),CHAR(32),[1]!QuoteSpaces([1]!GetFolder(A103))," /f /v"),"")</f>
        <v/>
      </c>
    </row>
    <row r="104" spans="1:8" hidden="1" x14ac:dyDescent="0.25">
      <c r="A104" s="61" t="s">
        <v>212</v>
      </c>
      <c r="B104" s="61" t="b">
        <f>NOT(ISNA(VLOOKUP(CONCATENATE(A104,".config"),DLLServices2_Config_Inventory_Details,1,FALSE)))</f>
        <v>1</v>
      </c>
      <c r="C104" s="61"/>
      <c r="D104" s="61" t="s">
        <v>533</v>
      </c>
      <c r="E104" s="62" t="s">
        <v>572</v>
      </c>
      <c r="F104" s="63">
        <v>54784</v>
      </c>
      <c r="G104" s="64">
        <v>41926.081319444442</v>
      </c>
      <c r="H104" s="61" t="str">
        <f>IF(AND(NOT(B104),C104),CONCATENATE("call XCopyD.CMD",CHAR(32),[1]!QuoteSpaces(DLLServices2_Config_Inventory_Master_Copy),CHAR(32),[1]!QuoteSpaces([1]!GetFolder(A104))," /f /v"),"")</f>
        <v/>
      </c>
    </row>
    <row r="105" spans="1:8" hidden="1" x14ac:dyDescent="0.25">
      <c r="A105" s="61" t="s">
        <v>211</v>
      </c>
      <c r="B105" s="61" t="b">
        <f>NOT(ISNA(VLOOKUP(CONCATENATE(A105,".config"),DLLServices2_Config_Inventory_Details,1,FALSE)))</f>
        <v>1</v>
      </c>
      <c r="C105" s="61"/>
      <c r="D105" s="61" t="s">
        <v>534</v>
      </c>
      <c r="E105" s="62" t="s">
        <v>572</v>
      </c>
      <c r="F105" s="63">
        <v>54784</v>
      </c>
      <c r="G105" s="64">
        <v>41926.081342592595</v>
      </c>
      <c r="H105" s="61" t="str">
        <f>IF(AND(NOT(B105),C105),CONCATENATE("call XCopyD.CMD",CHAR(32),[1]!QuoteSpaces(DLLServices2_Config_Inventory_Master_Copy),CHAR(32),[1]!QuoteSpaces([1]!GetFolder(A105))," /f /v"),"")</f>
        <v/>
      </c>
    </row>
    <row r="106" spans="1:8" hidden="1" x14ac:dyDescent="0.25">
      <c r="A106" s="61" t="s">
        <v>210</v>
      </c>
      <c r="B106" s="61" t="b">
        <f>NOT(ISNA(VLOOKUP(CONCATENATE(A106,".config"),DLLServices2_Config_Inventory_Details,1,FALSE)))</f>
        <v>1</v>
      </c>
      <c r="C106" s="61"/>
      <c r="D106" s="61" t="s">
        <v>535</v>
      </c>
      <c r="E106" s="62" t="s">
        <v>572</v>
      </c>
      <c r="F106" s="63">
        <v>54784</v>
      </c>
      <c r="G106" s="64">
        <v>41926.039675925924</v>
      </c>
      <c r="H106" s="61" t="str">
        <f>IF(AND(NOT(B106),C106),CONCATENATE("call XCopyD.CMD",CHAR(32),[1]!QuoteSpaces(DLLServices2_Config_Inventory_Master_Copy),CHAR(32),[1]!QuoteSpaces([1]!GetFolder(A106))," /f /v"),"")</f>
        <v/>
      </c>
    </row>
    <row r="107" spans="1:8" hidden="1" x14ac:dyDescent="0.25">
      <c r="A107" s="61" t="s">
        <v>209</v>
      </c>
      <c r="B107" s="61" t="b">
        <f>NOT(ISNA(VLOOKUP(CONCATENATE(A107,".config"),DLLServices2_Config_Inventory_Details,1,FALSE)))</f>
        <v>1</v>
      </c>
      <c r="C107" s="61"/>
      <c r="D107" s="61" t="s">
        <v>536</v>
      </c>
      <c r="E107" s="62" t="s">
        <v>572</v>
      </c>
      <c r="F107" s="63">
        <v>54784</v>
      </c>
      <c r="G107" s="64">
        <v>41926.081342592595</v>
      </c>
      <c r="H107" s="61" t="str">
        <f>IF(AND(NOT(B107),C107),CONCATENATE("call XCopyD.CMD",CHAR(32),[1]!QuoteSpaces(DLLServices2_Config_Inventory_Master_Copy),CHAR(32),[1]!QuoteSpaces([1]!GetFolder(A107))," /f /v"),"")</f>
        <v/>
      </c>
    </row>
    <row r="108" spans="1:8" hidden="1" x14ac:dyDescent="0.25">
      <c r="A108" s="61" t="s">
        <v>208</v>
      </c>
      <c r="B108" s="61" t="b">
        <f>NOT(ISNA(VLOOKUP(CONCATENATE(A108,".config"),DLLServices2_Config_Inventory_Details,1,FALSE)))</f>
        <v>1</v>
      </c>
      <c r="C108" s="61"/>
      <c r="D108" s="61" t="s">
        <v>537</v>
      </c>
      <c r="E108" s="62" t="s">
        <v>572</v>
      </c>
      <c r="F108" s="63">
        <v>54784</v>
      </c>
      <c r="G108" s="64">
        <v>41926.081342592595</v>
      </c>
      <c r="H108" s="61" t="str">
        <f>IF(AND(NOT(B108),C108),CONCATENATE("call XCopyD.CMD",CHAR(32),[1]!QuoteSpaces(DLLServices2_Config_Inventory_Master_Copy),CHAR(32),[1]!QuoteSpaces([1]!GetFolder(A108))," /f /v"),"")</f>
        <v/>
      </c>
    </row>
    <row r="109" spans="1:8" hidden="1" x14ac:dyDescent="0.25">
      <c r="A109" s="61" t="s">
        <v>207</v>
      </c>
      <c r="B109" s="61" t="b">
        <f>NOT(ISNA(VLOOKUP(CONCATENATE(A109,".config"),DLLServices2_Config_Inventory_Details,1,FALSE)))</f>
        <v>1</v>
      </c>
      <c r="C109" s="61"/>
      <c r="D109" s="61" t="s">
        <v>538</v>
      </c>
      <c r="E109" s="62" t="s">
        <v>572</v>
      </c>
      <c r="F109" s="63">
        <v>54784</v>
      </c>
      <c r="G109" s="64">
        <v>41926.081319444442</v>
      </c>
      <c r="H109" s="61" t="str">
        <f>IF(AND(NOT(B109),C109),CONCATENATE("call XCopyD.CMD",CHAR(32),[1]!QuoteSpaces(DLLServices2_Config_Inventory_Master_Copy),CHAR(32),[1]!QuoteSpaces([1]!GetFolder(A109))," /f /v"),"")</f>
        <v/>
      </c>
    </row>
    <row r="110" spans="1:8" hidden="1" x14ac:dyDescent="0.25"/>
    <row r="111" spans="1:8" hidden="1" x14ac:dyDescent="0.25"/>
    <row r="112" spans="1:8"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sheetData>
  <autoFilter ref="B1:B221">
    <filterColumn colId="0">
      <filters>
        <filter val="FALSE"/>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G115"/>
  <sheetViews>
    <sheetView workbookViewId="0">
      <pane xSplit="1" ySplit="10" topLeftCell="G24" activePane="bottomRight" state="frozen"/>
      <selection pane="topRight" activeCell="B1" sqref="B1"/>
      <selection pane="bottomLeft" activeCell="A2" sqref="A2"/>
      <selection pane="bottomRight" activeCell="G10" sqref="G10"/>
    </sheetView>
  </sheetViews>
  <sheetFormatPr defaultRowHeight="15" x14ac:dyDescent="0.25"/>
  <cols>
    <col min="1" max="1" width="13.375" style="8" bestFit="1" customWidth="1"/>
    <col min="2" max="2" width="131.875" style="8" bestFit="1" customWidth="1"/>
    <col min="3" max="3" width="9" style="8"/>
    <col min="4" max="4" width="25.75" style="8" bestFit="1" customWidth="1"/>
    <col min="5" max="5" width="25.125" style="8" bestFit="1" customWidth="1"/>
    <col min="6" max="6" width="9.625" style="8" bestFit="1" customWidth="1"/>
    <col min="7" max="7" width="245.625" style="8" bestFit="1" customWidth="1"/>
    <col min="8" max="16384" width="9" style="8"/>
  </cols>
  <sheetData>
    <row r="1" spans="1:7" ht="18" x14ac:dyDescent="0.25">
      <c r="A1" s="65" t="s">
        <v>588</v>
      </c>
      <c r="B1" s="65"/>
      <c r="C1" s="65"/>
      <c r="D1" s="65" t="s">
        <v>597</v>
      </c>
    </row>
    <row r="2" spans="1:7" x14ac:dyDescent="0.25">
      <c r="A2" s="66" t="s">
        <v>599</v>
      </c>
      <c r="B2" s="85" t="s">
        <v>600</v>
      </c>
      <c r="C2" s="86"/>
      <c r="D2" s="67">
        <v>42526.75854166667</v>
      </c>
    </row>
    <row r="3" spans="1:7" x14ac:dyDescent="0.25">
      <c r="A3" s="66" t="s">
        <v>589</v>
      </c>
      <c r="B3" s="85" t="s">
        <v>601</v>
      </c>
      <c r="C3" s="86"/>
      <c r="D3" s="67">
        <v>42522.046539351853</v>
      </c>
    </row>
    <row r="4" spans="1:7" ht="42.75" customHeight="1" x14ac:dyDescent="0.25">
      <c r="A4" s="68" t="s">
        <v>590</v>
      </c>
      <c r="B4" s="87" t="s">
        <v>598</v>
      </c>
      <c r="C4" s="88"/>
      <c r="D4" s="69">
        <v>42285.98028935185</v>
      </c>
    </row>
    <row r="5" spans="1:7" x14ac:dyDescent="0.25">
      <c r="A5" s="70" t="s">
        <v>591</v>
      </c>
      <c r="B5" s="80" t="s">
        <v>594</v>
      </c>
      <c r="C5" s="81"/>
      <c r="D5" s="71">
        <v>42174.962650462963</v>
      </c>
    </row>
    <row r="6" spans="1:7" x14ac:dyDescent="0.25">
      <c r="A6" s="72" t="s">
        <v>592</v>
      </c>
      <c r="B6" s="82" t="s">
        <v>593</v>
      </c>
      <c r="C6" s="83"/>
      <c r="D6" s="73">
        <v>42170.749803240738</v>
      </c>
    </row>
    <row r="7" spans="1:7" x14ac:dyDescent="0.25">
      <c r="A7" s="74"/>
      <c r="B7" s="84" t="s">
        <v>595</v>
      </c>
      <c r="C7" s="84"/>
      <c r="D7" s="75">
        <v>41812.710462962961</v>
      </c>
    </row>
    <row r="8" spans="1:7" x14ac:dyDescent="0.25">
      <c r="A8" s="74"/>
      <c r="B8" s="84" t="s">
        <v>596</v>
      </c>
      <c r="C8" s="84"/>
      <c r="D8" s="75">
        <v>41799</v>
      </c>
    </row>
    <row r="10" spans="1:7" ht="18" x14ac:dyDescent="0.25">
      <c r="A10" s="65" t="s">
        <v>103</v>
      </c>
      <c r="B10" s="65" t="s">
        <v>104</v>
      </c>
      <c r="C10" s="76" t="s">
        <v>102</v>
      </c>
      <c r="D10" s="65" t="s">
        <v>603</v>
      </c>
      <c r="E10" s="65" t="s">
        <v>602</v>
      </c>
      <c r="F10" s="65" t="s">
        <v>604</v>
      </c>
      <c r="G10" s="65" t="s">
        <v>605</v>
      </c>
    </row>
    <row r="11" spans="1:7" x14ac:dyDescent="0.25">
      <c r="A11" s="77" t="s">
        <v>398</v>
      </c>
      <c r="B11" s="77" t="s">
        <v>455</v>
      </c>
      <c r="C11" s="78">
        <v>3350</v>
      </c>
      <c r="D11" s="79">
        <v>42522.046539351853</v>
      </c>
      <c r="E11" s="79">
        <f>IF(F11,[1]!dtmFileDateInfo(A11),"")</f>
        <v>42526.75854166667</v>
      </c>
      <c r="F11" s="89" t="b">
        <v>1</v>
      </c>
      <c r="G11" s="77" t="str">
        <f>IF(F11,CONCATENATE("call XCopyF.CMD ",[1]!QuoteSpaces(DLLServices2_Config_Inventory_Master_Copy),CHAR(32),[1]!QuoteSpaces(A11)," /f /v /r /y"),"")</f>
        <v>call XCopyF.CMD "C:\Users\DAVE\Documents\Visual Studio 2013\Projects\WizardWrx_Libs\DLLServices2\DLLServices2\WizardWrx.DLLServices2.dll.config" "C:\Users\DAVE\Documents\Visual Studio 2013\Projects\Console_Apps\FixEventLogExport\FixEventLogExport\WizardWrx.DLLServices2.dll.config" /f /v /r /y</v>
      </c>
    </row>
    <row r="12" spans="1:7" x14ac:dyDescent="0.25">
      <c r="A12" s="77" t="s">
        <v>397</v>
      </c>
      <c r="B12" s="77" t="s">
        <v>456</v>
      </c>
      <c r="C12" s="78">
        <v>3350</v>
      </c>
      <c r="D12" s="79">
        <v>42522.046539351853</v>
      </c>
      <c r="E12" s="79">
        <f>IF(F12,[1]!dtmFileDateInfo(A12),"")</f>
        <v>42526.75854166667</v>
      </c>
      <c r="F12" s="89" t="b">
        <v>1</v>
      </c>
      <c r="G12" s="77" t="str">
        <f>IF(F12,CONCATENATE("call XCopyF.CMD ",[1]!QuoteSpaces(DLLServices2_Config_Inventory_Master_Copy),CHAR(32),[1]!QuoteSpaces(A12)," /f /v /r /y"),"")</f>
        <v>call XCopyF.CMD "C:\Users\DAVE\Documents\Visual Studio 2013\Projects\WizardWrx_Libs\DLLServices2\DLLServices2\WizardWrx.DLLServices2.dll.config" "C:\Users\DAVE\Documents\Visual Studio 2013\Projects\Console_Apps\FixEventLogExport\FixEventLogExport\bin\Debug\WizardWrx.DLLServices2.dll.config" /f /v /r /y</v>
      </c>
    </row>
    <row r="13" spans="1:7" x14ac:dyDescent="0.25">
      <c r="A13" s="77" t="s">
        <v>396</v>
      </c>
      <c r="B13" s="77" t="s">
        <v>457</v>
      </c>
      <c r="C13" s="78">
        <v>3350</v>
      </c>
      <c r="D13" s="79">
        <v>42522.046539351853</v>
      </c>
      <c r="E13" s="79">
        <f>IF(F13,[1]!dtmFileDateInfo(A13),"")</f>
        <v>42526.75854166667</v>
      </c>
      <c r="F13" s="89" t="b">
        <v>1</v>
      </c>
      <c r="G13" s="77" t="str">
        <f>IF(F13,CONCATENATE("call XCopyF.CMD ",[1]!QuoteSpaces(DLLServices2_Config_Inventory_Master_Copy),CHAR(32),[1]!QuoteSpaces(A13)," /f /v /r /y"),"")</f>
        <v>call XCopyF.CMD "C:\Users\DAVE\Documents\Visual Studio 2013\Projects\WizardWrx_Libs\DLLServices2\DLLServices2\WizardWrx.DLLServices2.dll.config" "C:\Users\DAVE\Documents\Visual Studio 2013\Projects\Console_Apps\FixEventLogExport\FixEventLogExport\bin\x86\Debug\WizardWrx.DLLServices2.dll.config" /f /v /r /y</v>
      </c>
    </row>
    <row r="14" spans="1:7" x14ac:dyDescent="0.25">
      <c r="A14" s="77" t="s">
        <v>395</v>
      </c>
      <c r="B14" s="77" t="s">
        <v>458</v>
      </c>
      <c r="C14" s="78">
        <v>3350</v>
      </c>
      <c r="D14" s="79">
        <v>42522.046539351853</v>
      </c>
      <c r="E14" s="79">
        <f>IF(F14,[1]!dtmFileDateInfo(A14),"")</f>
        <v>42526.75854166667</v>
      </c>
      <c r="F14" s="89" t="b">
        <v>1</v>
      </c>
      <c r="G14" s="77" t="str">
        <f>IF(F14,CONCATENATE("call XCopyF.CMD ",[1]!QuoteSpaces(DLLServices2_Config_Inventory_Master_Copy),CHAR(32),[1]!QuoteSpaces(A14)," /f /v /r /y"),"")</f>
        <v>call XCopyF.CMD "C:\Users\DAVE\Documents\Visual Studio 2013\Projects\WizardWrx_Libs\DLLServices2\DLLServices2\WizardWrx.DLLServices2.dll.config" "C:\Users\DAVE\Documents\Visual Studio 2013\Projects\Console_Apps\FixEventLogExport\FixEventLogExport\bin\x86\Release\WizardWrx.DLLServices2.dll.config" /f /v /r /y</v>
      </c>
    </row>
    <row r="15" spans="1:7" x14ac:dyDescent="0.25">
      <c r="A15" s="77" t="s">
        <v>394</v>
      </c>
      <c r="B15" s="77" t="s">
        <v>459</v>
      </c>
      <c r="C15" s="78">
        <v>3350</v>
      </c>
      <c r="D15" s="79">
        <v>42522.046539351853</v>
      </c>
      <c r="E15" s="79">
        <f>IF(F15,[1]!dtmFileDateInfo(A15),"")</f>
        <v>42526.75854166667</v>
      </c>
      <c r="F15" s="89" t="b">
        <v>1</v>
      </c>
      <c r="G15" s="77" t="str">
        <f>IF(F15,CONCATENATE("call XCopyF.CMD ",[1]!QuoteSpaces(DLLServices2_Config_Inventory_Master_Copy),CHAR(32),[1]!QuoteSpaces(A15)," /f /v /r /y"),"")</f>
        <v>call XCopyF.CMD "C:\Users\DAVE\Documents\Visual Studio 2013\Projects\WizardWrx_Libs\DLLServices2\DLLServices2\WizardWrx.DLLServices2.dll.config" "C:\Users\DAVE\Documents\Visual Studio 2013\Projects\Console_Apps\FixEventLogExport\FixEventLogExport_Distribution_Package\WizardWrx.DLLServices2.dll.config" /f /v /r /y</v>
      </c>
    </row>
    <row r="16" spans="1:7" x14ac:dyDescent="0.25">
      <c r="A16" s="77" t="s">
        <v>347</v>
      </c>
      <c r="B16" s="77" t="s">
        <v>506</v>
      </c>
      <c r="C16" s="78">
        <v>6172</v>
      </c>
      <c r="D16" s="79">
        <v>42285.98028935185</v>
      </c>
      <c r="E16" s="79">
        <v>42526.75854166667</v>
      </c>
      <c r="F16" s="89" t="b">
        <v>0</v>
      </c>
      <c r="G16" s="77" t="str">
        <f>IF(F16,CONCATENATE("call XCopyF.CMD ",[1]!QuoteSpaces(DLLServices2_Config_Inventory_Master_Copy),CHAR(32),[1]!QuoteSpaces(A16)," /f /v /r /y"),"")</f>
        <v/>
      </c>
    </row>
    <row r="17" spans="1:7" x14ac:dyDescent="0.25">
      <c r="A17" s="77" t="s">
        <v>346</v>
      </c>
      <c r="B17" s="77" t="s">
        <v>507</v>
      </c>
      <c r="C17" s="78">
        <v>6172</v>
      </c>
      <c r="D17" s="79">
        <v>42285.98028935185</v>
      </c>
      <c r="E17" s="79">
        <f>IF(F17,[1]!dtmFileDateInfo(A17),"")</f>
        <v>42526.75854166667</v>
      </c>
      <c r="F17" s="89" t="b">
        <v>1</v>
      </c>
      <c r="G17" s="77" t="str">
        <f>IF(F17,CONCATENATE("call XCopyF.CMD ",[1]!QuoteSpaces(DLLServices2_Config_Inventory_Master_Copy),CHAR(32),[1]!QuoteSpaces(A17)," /f /v /r /y"),"")</f>
        <v>call XCopyF.CMD "C:\Users\DAVE\Documents\Visual Studio 2013\Projects\WizardWrx_Libs\DLLServices2\DLLServices2\WizardWrx.DLLServices2.dll.config" "C:\Users\DAVE\Documents\Visual Studio 2013\Projects\WizardWrx_Libs\DLLServices2\DLLServices2\bin\Debug\WizardWrx.DLLServices2.dll.config" /f /v /r /y</v>
      </c>
    </row>
    <row r="18" spans="1:7" x14ac:dyDescent="0.25">
      <c r="A18" s="77" t="s">
        <v>345</v>
      </c>
      <c r="B18" s="77" t="s">
        <v>508</v>
      </c>
      <c r="C18" s="78">
        <v>6172</v>
      </c>
      <c r="D18" s="79">
        <v>42285.98028935185</v>
      </c>
      <c r="E18" s="79">
        <f>IF(F18,[1]!dtmFileDateInfo(A18),"")</f>
        <v>42526.75854166667</v>
      </c>
      <c r="F18" s="89" t="b">
        <v>1</v>
      </c>
      <c r="G18" s="77" t="str">
        <f>IF(F18,CONCATENATE("call XCopyF.CMD ",[1]!QuoteSpaces(DLLServices2_Config_Inventory_Master_Copy),CHAR(32),[1]!QuoteSpaces(A18)," /f /v /r /y"),"")</f>
        <v>call XCopyF.CMD "C:\Users\DAVE\Documents\Visual Studio 2013\Projects\WizardWrx_Libs\DLLServices2\DLLServices2\WizardWrx.DLLServices2.dll.config" "C:\Users\DAVE\Documents\Visual Studio 2013\Projects\WizardWrx_Libs\DLLServices2\DLLServices2\bin\Release\WizardWrx.DLLServices2.dll.config" /f /v /r /y</v>
      </c>
    </row>
    <row r="19" spans="1:7" x14ac:dyDescent="0.25">
      <c r="A19" s="77" t="s">
        <v>344</v>
      </c>
      <c r="B19" s="77" t="s">
        <v>509</v>
      </c>
      <c r="C19" s="78">
        <v>6172</v>
      </c>
      <c r="D19" s="79">
        <v>42285.98028935185</v>
      </c>
      <c r="E19" s="79">
        <f>IF(F19,[1]!dtmFileDateInfo(A19),"")</f>
        <v>42526.75854166667</v>
      </c>
      <c r="F19" s="89" t="b">
        <v>1</v>
      </c>
      <c r="G19" s="77" t="str">
        <f>IF(F19,CONCATENATE("call XCopyF.CMD ",[1]!QuoteSpaces(DLLServices2_Config_Inventory_Master_Copy),CHAR(32),[1]!QuoteSpaces(A19)," /f /v /r /y"),"")</f>
        <v>call XCopyF.CMD "C:\Users\DAVE\Documents\Visual Studio 2013\Projects\WizardWrx_Libs\DLLServices2\DLLServices2\WizardWrx.DLLServices2.dll.config" "C:\Users\DAVE\Documents\Visual Studio 2013\Projects\WizardWrx_Libs\DLLServices2\DLLServices2TestStand\bin\Debug\WizardWrx.DLLServices2.dll.config" /f /v /r /y</v>
      </c>
    </row>
    <row r="20" spans="1:7" x14ac:dyDescent="0.25">
      <c r="A20" s="77" t="s">
        <v>343</v>
      </c>
      <c r="B20" s="77" t="s">
        <v>510</v>
      </c>
      <c r="C20" s="78">
        <v>6172</v>
      </c>
      <c r="D20" s="79">
        <v>42285.98028935185</v>
      </c>
      <c r="E20" s="79">
        <f>IF(F20,[1]!dtmFileDateInfo(A20),"")</f>
        <v>42526.75854166667</v>
      </c>
      <c r="F20" s="89" t="b">
        <v>1</v>
      </c>
      <c r="G20" s="77" t="str">
        <f>IF(F20,CONCATENATE("call XCopyF.CMD ",[1]!QuoteSpaces(DLLServices2_Config_Inventory_Master_Copy),CHAR(32),[1]!QuoteSpaces(A20)," /f /v /r /y"),"")</f>
        <v>call XCopyF.CMD "C:\Users\DAVE\Documents\Visual Studio 2013\Projects\WizardWrx_Libs\DLLServices2\DLLServices2\WizardWrx.DLLServices2.dll.config" "C:\Users\DAVE\Documents\Visual Studio 2013\Projects\WizardWrx_Libs\DLLServices2\DLLServices2TestStand\bin\Release\WizardWrx.DLLServices2.dll.config" /f /v /r /y</v>
      </c>
    </row>
    <row r="21" spans="1:7" x14ac:dyDescent="0.25">
      <c r="A21" s="77" t="s">
        <v>342</v>
      </c>
      <c r="B21" s="77" t="s">
        <v>511</v>
      </c>
      <c r="C21" s="78">
        <v>6172</v>
      </c>
      <c r="D21" s="79">
        <v>42285.98028935185</v>
      </c>
      <c r="E21" s="79">
        <f>IF(F21,[1]!dtmFileDateInfo(A21),"")</f>
        <v>42526.75854166667</v>
      </c>
      <c r="F21" s="89" t="b">
        <v>1</v>
      </c>
      <c r="G21" s="77" t="str">
        <f>IF(F21,CONCATENATE("call XCopyF.CMD ",[1]!QuoteSpaces(DLLServices2_Config_Inventory_Master_Copy),CHAR(32),[1]!QuoteSpaces(A21)," /f /v /r /y"),"")</f>
        <v>call XCopyF.CMD "C:\Users\DAVE\Documents\Visual Studio 2013\Projects\WizardWrx_Libs\DLLServices2\DLLServices2\WizardWrx.DLLServices2.dll.config" "C:\Users\DAVE\Documents\Visual Studio 2013\Projects\WizardWrx_Libs\DLLServices2\RedirectedStreamTester\bin\Debug\WizardWrx.DLLServices2.dll.config" /f /v /r /y</v>
      </c>
    </row>
    <row r="22" spans="1:7" x14ac:dyDescent="0.25">
      <c r="A22" s="77" t="s">
        <v>341</v>
      </c>
      <c r="B22" s="77" t="s">
        <v>512</v>
      </c>
      <c r="C22" s="78">
        <v>6172</v>
      </c>
      <c r="D22" s="79">
        <v>42285.98028935185</v>
      </c>
      <c r="E22" s="79">
        <f>IF(F22,[1]!dtmFileDateInfo(A22),"")</f>
        <v>42526.75854166667</v>
      </c>
      <c r="F22" s="89" t="b">
        <v>1</v>
      </c>
      <c r="G22" s="77" t="str">
        <f>IF(F22,CONCATENATE("call XCopyF.CMD ",[1]!QuoteSpaces(DLLServices2_Config_Inventory_Master_Copy),CHAR(32),[1]!QuoteSpaces(A22)," /f /v /r /y"),"")</f>
        <v>call XCopyF.CMD "C:\Users\DAVE\Documents\Visual Studio 2013\Projects\WizardWrx_Libs\DLLServices2\DLLServices2\WizardWrx.DLLServices2.dll.config" "C:\Users\DAVE\Documents\Visual Studio 2013\Projects\WizardWrx_Libs\DLLServices2\RedirectedStreamTester\bin\Release\WizardWrx.DLLServices2.dll.config" /f /v /r /y</v>
      </c>
    </row>
    <row r="23" spans="1:7" x14ac:dyDescent="0.25">
      <c r="A23" s="77" t="s">
        <v>401</v>
      </c>
      <c r="B23" s="77" t="s">
        <v>452</v>
      </c>
      <c r="C23" s="78">
        <v>5793</v>
      </c>
      <c r="D23" s="79">
        <v>42174.962650462963</v>
      </c>
      <c r="E23" s="79">
        <f>IF(F23,[1]!dtmFileDateInfo(A23),"")</f>
        <v>42526.75854166667</v>
      </c>
      <c r="F23" s="89" t="b">
        <v>1</v>
      </c>
      <c r="G23" s="77" t="str">
        <f>IF(F23,CONCATENATE("call XCopyF.CMD ",[1]!QuoteSpaces(DLLServices2_Config_Inventory_Master_Copy),CHAR(32),[1]!QuoteSpaces(A23)," /f /v /r /y"),"")</f>
        <v>call XCopyF.CMD "C:\Users\DAVE\Documents\Visual Studio 2013\Projects\WizardWrx_Libs\DLLServices2\DLLServices2\WizardWrx.DLLServices2.dll.config" "C:\Users\DAVE\Documents\Visual Studio 2013\Projects\Console_Apps\CSV2JSONRT\CSV2JSONRT\bin\x86\Debug\WizardWrx.DLLServices2.dll.config" /f /v /r /y</v>
      </c>
    </row>
    <row r="24" spans="1:7" x14ac:dyDescent="0.25">
      <c r="A24" s="77" t="s">
        <v>400</v>
      </c>
      <c r="B24" s="77" t="s">
        <v>453</v>
      </c>
      <c r="C24" s="78">
        <v>5793</v>
      </c>
      <c r="D24" s="79">
        <v>42174.962650462963</v>
      </c>
      <c r="E24" s="79">
        <f>IF(F24,[1]!dtmFileDateInfo(A24),"")</f>
        <v>42526.75854166667</v>
      </c>
      <c r="F24" s="89" t="b">
        <v>1</v>
      </c>
      <c r="G24" s="77" t="str">
        <f>IF(F24,CONCATENATE("call XCopyF.CMD ",[1]!QuoteSpaces(DLLServices2_Config_Inventory_Master_Copy),CHAR(32),[1]!QuoteSpaces(A24)," /f /v /r /y"),"")</f>
        <v>call XCopyF.CMD "C:\Users\DAVE\Documents\Visual Studio 2013\Projects\WizardWrx_Libs\DLLServices2\DLLServices2\WizardWrx.DLLServices2.dll.config" "C:\Users\DAVE\Documents\Visual Studio 2013\Projects\Console_Apps\CSV2JSONRT\CSV2JSONRT\bin\x86\Release\WizardWrx.DLLServices2.dll.config" /f /v /r /y</v>
      </c>
    </row>
    <row r="25" spans="1:7" x14ac:dyDescent="0.25">
      <c r="A25" s="77" t="s">
        <v>369</v>
      </c>
      <c r="B25" s="77" t="s">
        <v>484</v>
      </c>
      <c r="C25" s="78">
        <v>5793</v>
      </c>
      <c r="D25" s="79">
        <v>42174.962650462963</v>
      </c>
      <c r="E25" s="79">
        <f>IF(F25,[1]!dtmFileDateInfo(A25),"")</f>
        <v>42526.75854166667</v>
      </c>
      <c r="F25" s="89" t="b">
        <v>1</v>
      </c>
      <c r="G25" s="77" t="str">
        <f>IF(F25,CONCATENATE("call XCopyF.CMD ",[1]!QuoteSpaces(DLLServices2_Config_Inventory_Master_Copy),CHAR(32),[1]!QuoteSpaces(A25)," /f /v /r /y"),"")</f>
        <v>call XCopyF.CMD "C:\Users\DAVE\Documents\Visual Studio 2013\Projects\WizardWrx_Libs\DLLServices2\DLLServices2\WizardWrx.DLLServices2.dll.config" "C:\Users\DAVE\Documents\Visual Studio 2013\Projects\Tools_for_Programmers\MemCalc\MemCalc\WizardWrx.DllServices2.dll.config" /f /v /r /y</v>
      </c>
    </row>
    <row r="26" spans="1:7" x14ac:dyDescent="0.25">
      <c r="A26" s="77" t="s">
        <v>368</v>
      </c>
      <c r="B26" s="77" t="s">
        <v>485</v>
      </c>
      <c r="C26" s="78">
        <v>5793</v>
      </c>
      <c r="D26" s="79">
        <v>42174.962650462963</v>
      </c>
      <c r="E26" s="79">
        <f>IF(F26,[1]!dtmFileDateInfo(A26),"")</f>
        <v>42526.75854166667</v>
      </c>
      <c r="F26" s="89" t="b">
        <v>1</v>
      </c>
      <c r="G26" s="77" t="str">
        <f>IF(F26,CONCATENATE("call XCopyF.CMD ",[1]!QuoteSpaces(DLLServices2_Config_Inventory_Master_Copy),CHAR(32),[1]!QuoteSpaces(A26)," /f /v /r /y"),"")</f>
        <v>call XCopyF.CMD "C:\Users\DAVE\Documents\Visual Studio 2013\Projects\WizardWrx_Libs\DLLServices2\DLLServices2\WizardWrx.DLLServices2.dll.config" "C:\Users\DAVE\Documents\Visual Studio 2013\Projects\Tools_for_Programmers\MemCalc\MemCalc\bin\Debug\WizardWrx.DllServices2.dll.config" /f /v /r /y</v>
      </c>
    </row>
    <row r="27" spans="1:7" x14ac:dyDescent="0.25">
      <c r="A27" s="77" t="s">
        <v>363</v>
      </c>
      <c r="B27" s="77" t="s">
        <v>490</v>
      </c>
      <c r="C27" s="78">
        <v>5793</v>
      </c>
      <c r="D27" s="79">
        <v>42174.962650462963</v>
      </c>
      <c r="E27" s="79">
        <f>IF(F27,[1]!dtmFileDateInfo(A27),"")</f>
        <v>42526.75854166667</v>
      </c>
      <c r="F27" s="89" t="b">
        <v>1</v>
      </c>
      <c r="G27" s="77" t="str">
        <f>IF(F27,CONCATENATE("call XCopyF.CMD ",[1]!QuoteSpaces(DLLServices2_Config_Inventory_Master_Copy),CHAR(32),[1]!QuoteSpaces(A27)," /f /v /r /y"),"")</f>
        <v>call XCopyF.CMD "C:\Users\DAVE\Documents\Visual Studio 2013\Projects\WizardWrx_Libs\DLLServices2\DLLServices2\WizardWrx.DLLServices2.dll.config" "C:\Users\DAVE\Documents\Visual Studio 2013\Projects\Tools_for_Programmers\RGUNC_Tag_Browser\CreateAlternativesTable\bin\Debug\WizardWrx.DLLServices2.dll.config" /f /v /r /y</v>
      </c>
    </row>
    <row r="28" spans="1:7" x14ac:dyDescent="0.25">
      <c r="A28" s="77" t="s">
        <v>419</v>
      </c>
      <c r="B28" s="77" t="s">
        <v>105</v>
      </c>
      <c r="C28" s="78">
        <v>3350</v>
      </c>
      <c r="D28" s="79">
        <v>42170.749803240738</v>
      </c>
      <c r="E28" s="79">
        <f>IF(F28,[1]!dtmFileDateInfo(A28),"")</f>
        <v>42526.75854166667</v>
      </c>
      <c r="F28" s="89" t="b">
        <v>1</v>
      </c>
      <c r="G28" s="77" t="str">
        <f>IF(F28,CONCATENATE("call XCopyF.CMD ",[1]!QuoteSpaces(DLLServices2_Config_Inventory_Master_Copy),CHAR(32),[1]!QuoteSpaces(A28)," /f /v /r /y"),"")</f>
        <v>call XCopyF.CMD "C:\Users\DAVE\Documents\Visual Studio 2013\Projects\WizardWrx_Libs\DLLServices2\DLLServices2\WizardWrx.DLLServices2.dll.config" C:\bin\WizardWrx.DLLServices2.dll.config /f /v /r /y</v>
      </c>
    </row>
    <row r="29" spans="1:7" x14ac:dyDescent="0.25">
      <c r="A29" s="77" t="s">
        <v>325</v>
      </c>
      <c r="B29" s="77" t="s">
        <v>528</v>
      </c>
      <c r="C29" s="78">
        <v>3350</v>
      </c>
      <c r="D29" s="79">
        <v>42170.749803240738</v>
      </c>
      <c r="E29" s="79">
        <f>IF(F29,[1]!dtmFileDateInfo(A29),"")</f>
        <v>42526.75854166667</v>
      </c>
      <c r="F29" s="89" t="b">
        <v>1</v>
      </c>
      <c r="G29" s="77" t="str">
        <f>IF(F29,CONCATENATE("call XCopyF.CMD ",[1]!QuoteSpaces(DLLServices2_Config_Inventory_Master_Copy),CHAR(32),[1]!QuoteSpaces(A29)," /f /v /r /y"),"")</f>
        <v>call XCopyF.CMD "C:\Users\DAVE\Documents\Visual Studio 2013\Projects\WizardWrx_Libs\DLLServices2\DLLServices2\WizardWrx.DLLServices2.dll.config" "C:\Users\DAVE\Documents\Visual Studio 2013\Projects\_Laboratory\ConsoleOutputSpeedTest\ConsoleOutputSpeedTest\bin\Debug\WizardWrx.DLLServices2.dll.config" /f /v /r /y</v>
      </c>
    </row>
    <row r="30" spans="1:7" x14ac:dyDescent="0.25">
      <c r="A30" s="77" t="s">
        <v>324</v>
      </c>
      <c r="B30" s="77" t="s">
        <v>529</v>
      </c>
      <c r="C30" s="78">
        <v>3350</v>
      </c>
      <c r="D30" s="79">
        <v>42170.749803240738</v>
      </c>
      <c r="E30" s="79">
        <f>IF(F30,[1]!dtmFileDateInfo(A30),"")</f>
        <v>42526.75854166667</v>
      </c>
      <c r="F30" s="89" t="b">
        <v>1</v>
      </c>
      <c r="G30" s="77" t="str">
        <f>IF(F30,CONCATENATE("call XCopyF.CMD ",[1]!QuoteSpaces(DLLServices2_Config_Inventory_Master_Copy),CHAR(32),[1]!QuoteSpaces(A30)," /f /v /r /y"),"")</f>
        <v>call XCopyF.CMD "C:\Users\DAVE\Documents\Visual Studio 2013\Projects\WizardWrx_Libs\DLLServices2\DLLServices2\WizardWrx.DLLServices2.dll.config" "C:\Users\DAVE\Documents\Visual Studio 2013\Projects\_Laboratory\TimeZoneLab\TimeZoneLab\WizardWrx.DLLServices2.dll.config" /f /v /r /y</v>
      </c>
    </row>
    <row r="31" spans="1:7" x14ac:dyDescent="0.25">
      <c r="A31" s="77" t="s">
        <v>323</v>
      </c>
      <c r="B31" s="77" t="s">
        <v>530</v>
      </c>
      <c r="C31" s="78">
        <v>3350</v>
      </c>
      <c r="D31" s="79">
        <v>42170.749803240738</v>
      </c>
      <c r="E31" s="79">
        <f>IF(F31,[1]!dtmFileDateInfo(A31),"")</f>
        <v>42526.75854166667</v>
      </c>
      <c r="F31" s="89" t="b">
        <v>1</v>
      </c>
      <c r="G31" s="77" t="str">
        <f>IF(F31,CONCATENATE("call XCopyF.CMD ",[1]!QuoteSpaces(DLLServices2_Config_Inventory_Master_Copy),CHAR(32),[1]!QuoteSpaces(A31)," /f /v /r /y"),"")</f>
        <v>call XCopyF.CMD "C:\Users\DAVE\Documents\Visual Studio 2013\Projects\WizardWrx_Libs\DLLServices2\DLLServices2\WizardWrx.DLLServices2.dll.config" "C:\Users\DAVE\Documents\Visual Studio 2013\Projects\_Laboratory\TimeZoneLab\TimeZoneLab\bin\Debug\WizardWrx.DLLServices2.dll.config" /f /v /r /y</v>
      </c>
    </row>
    <row r="32" spans="1:7" x14ac:dyDescent="0.25">
      <c r="A32" s="77" t="s">
        <v>322</v>
      </c>
      <c r="B32" s="77" t="s">
        <v>531</v>
      </c>
      <c r="C32" s="78">
        <v>3350</v>
      </c>
      <c r="D32" s="79">
        <v>42170.749803240738</v>
      </c>
      <c r="E32" s="79">
        <f>IF(F32,[1]!dtmFileDateInfo(A32),"")</f>
        <v>42526.75854166667</v>
      </c>
      <c r="F32" s="89" t="b">
        <v>1</v>
      </c>
      <c r="G32" s="77" t="str">
        <f>IF(F32,CONCATENATE("call XCopyF.CMD ",[1]!QuoteSpaces(DLLServices2_Config_Inventory_Master_Copy),CHAR(32),[1]!QuoteSpaces(A32)," /f /v /r /y"),"")</f>
        <v>call XCopyF.CMD "C:\Users\DAVE\Documents\Visual Studio 2013\Projects\WizardWrx_Libs\DLLServices2\DLLServices2\WizardWrx.DLLServices2.dll.config" "C:\Users\DAVE\Documents\Visual Studio 2013\Projects\_Laboratory\TimeZoneLab\TimeZoneLab\bin\Release\WizardWrx.DLLServices2.dll.config" /f /v /r /y</v>
      </c>
    </row>
    <row r="33" spans="1:7" x14ac:dyDescent="0.25">
      <c r="A33" s="77" t="s">
        <v>399</v>
      </c>
      <c r="B33" s="77" t="s">
        <v>454</v>
      </c>
      <c r="C33" s="78">
        <v>3350</v>
      </c>
      <c r="D33" s="79">
        <v>42170.749803240738</v>
      </c>
      <c r="E33" s="79">
        <f>IF(F33,[1]!dtmFileDateInfo(A33),"")</f>
        <v>42526.75854166667</v>
      </c>
      <c r="F33" s="89" t="b">
        <v>1</v>
      </c>
      <c r="G33" s="77" t="str">
        <f>IF(F33,CONCATENATE("call XCopyF.CMD ",[1]!QuoteSpaces(DLLServices2_Config_Inventory_Master_Copy),CHAR(32),[1]!QuoteSpaces(A33)," /f /v /r /y"),"")</f>
        <v>call XCopyF.CMD "C:\Users\DAVE\Documents\Visual Studio 2013\Projects\WizardWrx_Libs\DLLServices2\DLLServices2\WizardWrx.DLLServices2.dll.config" "C:\Users\DAVE\Documents\Visual Studio 2013\Projects\Console_Apps\Date2FN\Date2FN\bin\Debug\WizardWrx.DLLServices2.dll.config" /f /v /r /y</v>
      </c>
    </row>
    <row r="34" spans="1:7" x14ac:dyDescent="0.25">
      <c r="A34" s="77" t="s">
        <v>393</v>
      </c>
      <c r="B34" s="77" t="s">
        <v>460</v>
      </c>
      <c r="C34" s="78">
        <v>3350</v>
      </c>
      <c r="D34" s="79">
        <v>42170.749803240738</v>
      </c>
      <c r="E34" s="79">
        <f>IF(F34,[1]!dtmFileDateInfo(A34),"")</f>
        <v>42526.75854166667</v>
      </c>
      <c r="F34" s="89" t="b">
        <v>1</v>
      </c>
      <c r="G34" s="77" t="str">
        <f>IF(F34,CONCATENATE("call XCopyF.CMD ",[1]!QuoteSpaces(DLLServices2_Config_Inventory_Master_Copy),CHAR(32),[1]!QuoteSpaces(A34)," /f /v /r /y"),"")</f>
        <v>call XCopyF.CMD "C:\Users\DAVE\Documents\Visual Studio 2013\Projects\WizardWrx_Libs\DLLServices2\DLLServices2\WizardWrx.DLLServices2.dll.config" "C:\Users\DAVE\Documents\Visual Studio 2013\Projects\Console_Apps\WWEnumEnvironmentStrings\WWEnumEnvironmentStrings\WizardWrx.DLLServices2.dll.config" /f /v /r /y</v>
      </c>
    </row>
    <row r="35" spans="1:7" x14ac:dyDescent="0.25">
      <c r="A35" s="77" t="s">
        <v>392</v>
      </c>
      <c r="B35" s="77" t="s">
        <v>461</v>
      </c>
      <c r="C35" s="78">
        <v>3350</v>
      </c>
      <c r="D35" s="79">
        <v>42170.749803240738</v>
      </c>
      <c r="E35" s="79">
        <f>IF(F35,[1]!dtmFileDateInfo(A35),"")</f>
        <v>42526.75854166667</v>
      </c>
      <c r="F35" s="89" t="b">
        <v>1</v>
      </c>
      <c r="G35" s="77" t="str">
        <f>IF(F35,CONCATENATE("call XCopyF.CMD ",[1]!QuoteSpaces(DLLServices2_Config_Inventory_Master_Copy),CHAR(32),[1]!QuoteSpaces(A35)," /f /v /r /y"),"")</f>
        <v>call XCopyF.CMD "C:\Users\DAVE\Documents\Visual Studio 2013\Projects\WizardWrx_Libs\DLLServices2\DLLServices2\WizardWrx.DLLServices2.dll.config" "C:\Users\DAVE\Documents\Visual Studio 2013\Projects\Console_Apps\WWEnumEnvironmentStrings\WWEnumEnvironmentStrings\bin\Debug\WizardWrx.DLLServices2.dll.config" /f /v /r /y</v>
      </c>
    </row>
    <row r="36" spans="1:7" x14ac:dyDescent="0.25">
      <c r="A36" s="77" t="s">
        <v>391</v>
      </c>
      <c r="B36" s="77" t="s">
        <v>462</v>
      </c>
      <c r="C36" s="78">
        <v>3350</v>
      </c>
      <c r="D36" s="79">
        <v>42170.749803240738</v>
      </c>
      <c r="E36" s="79">
        <f>IF(F36,[1]!dtmFileDateInfo(A36),"")</f>
        <v>42526.75854166667</v>
      </c>
      <c r="F36" s="89" t="b">
        <v>1</v>
      </c>
      <c r="G36" s="77" t="str">
        <f>IF(F36,CONCATENATE("call XCopyF.CMD ",[1]!QuoteSpaces(DLLServices2_Config_Inventory_Master_Copy),CHAR(32),[1]!QuoteSpaces(A36)," /f /v /r /y"),"")</f>
        <v>call XCopyF.CMD "C:\Users\DAVE\Documents\Visual Studio 2013\Projects\WizardWrx_Libs\DLLServices2\DLLServices2\WizardWrx.DLLServices2.dll.config" "C:\Users\DAVE\Documents\Visual Studio 2013\Projects\Console_Apps\WWEnumEnvironmentStrings\WWEnumEnvironmentStrings\bin\Release\WizardWrx.DLLServices2.dll.config" /f /v /r /y</v>
      </c>
    </row>
    <row r="37" spans="1:7" x14ac:dyDescent="0.25">
      <c r="A37" s="77" t="s">
        <v>390</v>
      </c>
      <c r="B37" s="77" t="s">
        <v>463</v>
      </c>
      <c r="C37" s="78">
        <v>3350</v>
      </c>
      <c r="D37" s="79">
        <v>42170.749803240738</v>
      </c>
      <c r="E37" s="79">
        <f>IF(F37,[1]!dtmFileDateInfo(A37),"")</f>
        <v>42526.75854166667</v>
      </c>
      <c r="F37" s="89" t="b">
        <v>1</v>
      </c>
      <c r="G37" s="77" t="str">
        <f>IF(F37,CONCATENATE("call XCopyF.CMD ",[1]!QuoteSpaces(DLLServices2_Config_Inventory_Master_Copy),CHAR(32),[1]!QuoteSpaces(A37)," /f /v /r /y"),"")</f>
        <v>call XCopyF.CMD "C:\Users\DAVE\Documents\Visual Studio 2013\Projects\WizardWrx_Libs\DLLServices2\DLLServices2\WizardWrx.DLLServices2.dll.config" "C:\Users\DAVE\Documents\Visual Studio 2013\Projects\Console_Apps\WWEnumEnvironmentStrings\WWEnumEnvironmentStrings\bin\x86\Release\WizardWrx.DLLServices2.dll.config" /f /v /r /y</v>
      </c>
    </row>
    <row r="38" spans="1:7" x14ac:dyDescent="0.25">
      <c r="A38" s="77" t="s">
        <v>389</v>
      </c>
      <c r="B38" s="77" t="s">
        <v>464</v>
      </c>
      <c r="C38" s="78">
        <v>3350</v>
      </c>
      <c r="D38" s="79">
        <v>42170.749803240738</v>
      </c>
      <c r="E38" s="79">
        <f>IF(F38,[1]!dtmFileDateInfo(A38),"")</f>
        <v>42526.75854166667</v>
      </c>
      <c r="F38" s="89" t="b">
        <v>1</v>
      </c>
      <c r="G38" s="77" t="str">
        <f>IF(F38,CONCATENATE("call XCopyF.CMD ",[1]!QuoteSpaces(DLLServices2_Config_Inventory_Master_Copy),CHAR(32),[1]!QuoteSpaces(A38)," /f /v /r /y"),"")</f>
        <v>call XCopyF.CMD "C:\Users\DAVE\Documents\Visual Studio 2013\Projects\WizardWrx_Libs\DLLServices2\DLLServices2\WizardWrx.DLLServices2.dll.config" "C:\Users\DAVE\Documents\Visual Studio 2013\Projects\NOLANB\DataEaseDirectoryReader\DataEaseDirectoryReader\WizardWrx.DLLServices2.dll.config" /f /v /r /y</v>
      </c>
    </row>
    <row r="39" spans="1:7" x14ac:dyDescent="0.25">
      <c r="A39" s="77" t="s">
        <v>388</v>
      </c>
      <c r="B39" s="77" t="s">
        <v>465</v>
      </c>
      <c r="C39" s="78">
        <v>3350</v>
      </c>
      <c r="D39" s="79">
        <v>42170.749803240738</v>
      </c>
      <c r="E39" s="79">
        <f>IF(F39,[1]!dtmFileDateInfo(A39),"")</f>
        <v>42526.75854166667</v>
      </c>
      <c r="F39" s="89" t="b">
        <v>1</v>
      </c>
      <c r="G39" s="77" t="str">
        <f>IF(F39,CONCATENATE("call XCopyF.CMD ",[1]!QuoteSpaces(DLLServices2_Config_Inventory_Master_Copy),CHAR(32),[1]!QuoteSpaces(A39)," /f /v /r /y"),"")</f>
        <v>call XCopyF.CMD "C:\Users\DAVE\Documents\Visual Studio 2013\Projects\WizardWrx_Libs\DLLServices2\DLLServices2\WizardWrx.DLLServices2.dll.config" "C:\Users\DAVE\Documents\Visual Studio 2013\Projects\NOLANB\DataEaseDirectoryReader\DataEaseDirectoryReader\bin\Debug\WizardWrx.DLLServices2.dll.config" /f /v /r /y</v>
      </c>
    </row>
    <row r="40" spans="1:7" x14ac:dyDescent="0.25">
      <c r="A40" s="77" t="s">
        <v>387</v>
      </c>
      <c r="B40" s="77" t="s">
        <v>466</v>
      </c>
      <c r="C40" s="78">
        <v>3350</v>
      </c>
      <c r="D40" s="79">
        <v>42170.749803240738</v>
      </c>
      <c r="E40" s="79">
        <f>IF(F40,[1]!dtmFileDateInfo(A40),"")</f>
        <v>42526.75854166667</v>
      </c>
      <c r="F40" s="89" t="b">
        <v>1</v>
      </c>
      <c r="G40" s="77" t="str">
        <f>IF(F40,CONCATENATE("call XCopyF.CMD ",[1]!QuoteSpaces(DLLServices2_Config_Inventory_Master_Copy),CHAR(32),[1]!QuoteSpaces(A40)," /f /v /r /y"),"")</f>
        <v>call XCopyF.CMD "C:\Users\DAVE\Documents\Visual Studio 2013\Projects\WizardWrx_Libs\DLLServices2\DLLServices2\WizardWrx.DLLServices2.dll.config" "C:\Users\DAVE\Documents\Visual Studio 2013\Projects\NOLANB\DataEaseDirectoryReader\DataEaseDirectoryReader\bin\Release\WizardWrx.DLLServices2.dll.config" /f /v /r /y</v>
      </c>
    </row>
    <row r="41" spans="1:7" x14ac:dyDescent="0.25">
      <c r="A41" s="77" t="s">
        <v>386</v>
      </c>
      <c r="B41" s="77" t="s">
        <v>467</v>
      </c>
      <c r="C41" s="78">
        <v>3350</v>
      </c>
      <c r="D41" s="79">
        <v>42170.749803240738</v>
      </c>
      <c r="E41" s="79">
        <f>IF(F41,[1]!dtmFileDateInfo(A41),"")</f>
        <v>42526.75854166667</v>
      </c>
      <c r="F41" s="89" t="b">
        <v>1</v>
      </c>
      <c r="G41" s="77" t="str">
        <f>IF(F41,CONCATENATE("call XCopyF.CMD ",[1]!QuoteSpaces(DLLServices2_Config_Inventory_Master_Copy),CHAR(32),[1]!QuoteSpaces(A41)," /f /v /r /y"),"")</f>
        <v>call XCopyF.CMD "C:\Users\DAVE\Documents\Visual Studio 2013\Projects\WizardWrx_Libs\DLLServices2\DLLServices2\WizardWrx.DLLServices2.dll.config" "C:\Users\DAVE\Documents\Visual Studio 2013\Projects\NOLANB\DataEaseDirectoryReader\SupportMethodTester\WizardWrx.DLLServices2.dll.config" /f /v /r /y</v>
      </c>
    </row>
    <row r="42" spans="1:7" x14ac:dyDescent="0.25">
      <c r="A42" s="77" t="s">
        <v>385</v>
      </c>
      <c r="B42" s="77" t="s">
        <v>468</v>
      </c>
      <c r="C42" s="78">
        <v>3350</v>
      </c>
      <c r="D42" s="79">
        <v>42170.749803240738</v>
      </c>
      <c r="E42" s="79">
        <f>IF(F42,[1]!dtmFileDateInfo(A42),"")</f>
        <v>42526.75854166667</v>
      </c>
      <c r="F42" s="89" t="b">
        <v>1</v>
      </c>
      <c r="G42" s="77" t="str">
        <f>IF(F42,CONCATENATE("call XCopyF.CMD ",[1]!QuoteSpaces(DLLServices2_Config_Inventory_Master_Copy),CHAR(32),[1]!QuoteSpaces(A42)," /f /v /r /y"),"")</f>
        <v>call XCopyF.CMD "C:\Users\DAVE\Documents\Visual Studio 2013\Projects\WizardWrx_Libs\DLLServices2\DLLServices2\WizardWrx.DLLServices2.dll.config" "C:\Users\DAVE\Documents\Visual Studio 2013\Projects\NOLANB\DataEaseDirectoryReader\SupportMethodTester\bin\Debug\WizardWrx.DLLServices2.dll.config" /f /v /r /y</v>
      </c>
    </row>
    <row r="43" spans="1:7" x14ac:dyDescent="0.25">
      <c r="A43" s="77" t="s">
        <v>384</v>
      </c>
      <c r="B43" s="77" t="s">
        <v>469</v>
      </c>
      <c r="C43" s="78">
        <v>3350</v>
      </c>
      <c r="D43" s="79">
        <v>42170.749803240738</v>
      </c>
      <c r="E43" s="79">
        <f>IF(F43,[1]!dtmFileDateInfo(A43),"")</f>
        <v>42526.75854166667</v>
      </c>
      <c r="F43" s="89" t="b">
        <v>1</v>
      </c>
      <c r="G43" s="77" t="str">
        <f>IF(F43,CONCATENATE("call XCopyF.CMD ",[1]!QuoteSpaces(DLLServices2_Config_Inventory_Master_Copy),CHAR(32),[1]!QuoteSpaces(A43)," /f /v /r /y"),"")</f>
        <v>call XCopyF.CMD "C:\Users\DAVE\Documents\Visual Studio 2013\Projects\WizardWrx_Libs\DLLServices2\DLLServices2\WizardWrx.DLLServices2.dll.config" "C:\Users\DAVE\Documents\Visual Studio 2013\Projects\NOLANB\DataEaseDirectoryReader\SupportMethodTester\bin\Release\WizardWrx.DLLServices2.dll.config" /f /v /r /y</v>
      </c>
    </row>
    <row r="44" spans="1:7" x14ac:dyDescent="0.25">
      <c r="A44" s="77" t="s">
        <v>382</v>
      </c>
      <c r="B44" s="77" t="s">
        <v>471</v>
      </c>
      <c r="C44" s="78">
        <v>3350</v>
      </c>
      <c r="D44" s="79">
        <v>42170.749803240738</v>
      </c>
      <c r="E44" s="79">
        <f>IF(F44,[1]!dtmFileDateInfo(A44),"")</f>
        <v>42526.75854166667</v>
      </c>
      <c r="F44" s="89" t="b">
        <v>1</v>
      </c>
      <c r="G44" s="77" t="str">
        <f>IF(F44,CONCATENATE("call XCopyF.CMD ",[1]!QuoteSpaces(DLLServices2_Config_Inventory_Master_Copy),CHAR(32),[1]!QuoteSpaces(A44)," /f /v /r /y"),"")</f>
        <v>call XCopyF.CMD "C:\Users\DAVE\Documents\Visual Studio 2013\Projects\WizardWrx_Libs\DLLServices2\DLLServices2\WizardWrx.DLLServices2.dll.config" "C:\Users\DAVE\Documents\Visual Studio 2013\Projects\NOLANB\EZPayFileMonitor\EZPayFileMonitor\bin\Debug\WizardWrx.DLLServices2.dll.config" /f /v /r /y</v>
      </c>
    </row>
    <row r="45" spans="1:7" x14ac:dyDescent="0.25">
      <c r="A45" s="77" t="s">
        <v>381</v>
      </c>
      <c r="B45" s="77" t="s">
        <v>472</v>
      </c>
      <c r="C45" s="78">
        <v>3350</v>
      </c>
      <c r="D45" s="79">
        <v>42170.749803240738</v>
      </c>
      <c r="E45" s="79">
        <f>IF(F45,[1]!dtmFileDateInfo(A45),"")</f>
        <v>42526.75854166667</v>
      </c>
      <c r="F45" s="89" t="b">
        <v>1</v>
      </c>
      <c r="G45" s="77" t="str">
        <f>IF(F45,CONCATENATE("call XCopyF.CMD ",[1]!QuoteSpaces(DLLServices2_Config_Inventory_Master_Copy),CHAR(32),[1]!QuoteSpaces(A45)," /f /v /r /y"),"")</f>
        <v>call XCopyF.CMD "C:\Users\DAVE\Documents\Visual Studio 2013\Projects\WizardWrx_Libs\DLLServices2\DLLServices2\WizardWrx.DLLServices2.dll.config" "C:\Users\DAVE\Documents\Visual Studio 2013\Projects\NOLANB\EZPayFileMonitor\EZPayFileMonitor\bin\Release\WizardWrx.DLLServices2.dll.config" /f /v /r /y</v>
      </c>
    </row>
    <row r="46" spans="1:7" x14ac:dyDescent="0.25">
      <c r="A46" s="77" t="s">
        <v>380</v>
      </c>
      <c r="B46" s="77" t="s">
        <v>473</v>
      </c>
      <c r="C46" s="78">
        <v>3350</v>
      </c>
      <c r="D46" s="79">
        <v>42170.749803240738</v>
      </c>
      <c r="E46" s="79">
        <f>IF(F46,[1]!dtmFileDateInfo(A46),"")</f>
        <v>42526.75854166667</v>
      </c>
      <c r="F46" s="89" t="b">
        <v>1</v>
      </c>
      <c r="G46" s="77" t="str">
        <f>IF(F46,CONCATENATE("call XCopyF.CMD ",[1]!QuoteSpaces(DLLServices2_Config_Inventory_Master_Copy),CHAR(32),[1]!QuoteSpaces(A46)," /f /v /r /y"),"")</f>
        <v>call XCopyF.CMD "C:\Users\DAVE\Documents\Visual Studio 2013\Projects\WizardWrx_Libs\DLLServices2\DLLServices2\WizardWrx.DLLServices2.dll.config" "C:\Users\DAVE\Documents\Visual Studio 2013\Projects\NOLANB\EZXFER_Cloud_Manager\EZXFER_Cloud_Manager\WizardWrx.DLLServices2.dll.config" /f /v /r /y</v>
      </c>
    </row>
    <row r="47" spans="1:7" x14ac:dyDescent="0.25">
      <c r="A47" s="77" t="s">
        <v>379</v>
      </c>
      <c r="B47" s="77" t="s">
        <v>474</v>
      </c>
      <c r="C47" s="78">
        <v>3350</v>
      </c>
      <c r="D47" s="79">
        <v>42170.749803240738</v>
      </c>
      <c r="E47" s="79">
        <f>IF(F47,[1]!dtmFileDateInfo(A47),"")</f>
        <v>42526.75854166667</v>
      </c>
      <c r="F47" s="89" t="b">
        <v>1</v>
      </c>
      <c r="G47" s="77" t="str">
        <f>IF(F47,CONCATENATE("call XCopyF.CMD ",[1]!QuoteSpaces(DLLServices2_Config_Inventory_Master_Copy),CHAR(32),[1]!QuoteSpaces(A47)," /f /v /r /y"),"")</f>
        <v>call XCopyF.CMD "C:\Users\DAVE\Documents\Visual Studio 2013\Projects\WizardWrx_Libs\DLLServices2\DLLServices2\WizardWrx.DLLServices2.dll.config" "C:\Users\DAVE\Documents\Visual Studio 2013\Projects\NOLANB\EZXFER_Cloud_Manager\EZXFER_Cloud_Manager\bin\Debug\WizardWrx.DLLServices2.dll.config" /f /v /r /y</v>
      </c>
    </row>
    <row r="48" spans="1:7" x14ac:dyDescent="0.25">
      <c r="A48" s="77" t="s">
        <v>378</v>
      </c>
      <c r="B48" s="77" t="s">
        <v>475</v>
      </c>
      <c r="C48" s="78">
        <v>3350</v>
      </c>
      <c r="D48" s="79">
        <v>42170.749803240738</v>
      </c>
      <c r="E48" s="79">
        <f>IF(F48,[1]!dtmFileDateInfo(A48),"")</f>
        <v>42526.75854166667</v>
      </c>
      <c r="F48" s="89" t="b">
        <v>1</v>
      </c>
      <c r="G48" s="77" t="str">
        <f>IF(F48,CONCATENATE("call XCopyF.CMD ",[1]!QuoteSpaces(DLLServices2_Config_Inventory_Master_Copy),CHAR(32),[1]!QuoteSpaces(A48)," /f /v /r /y"),"")</f>
        <v>call XCopyF.CMD "C:\Users\DAVE\Documents\Visual Studio 2013\Projects\WizardWrx_Libs\DLLServices2\DLLServices2\WizardWrx.DLLServices2.dll.config" "C:\Users\DAVE\Documents\Visual Studio 2013\Projects\NOLANB\EZXFER_Cloud_Manager\EZXFER_Cloud_Manager\bin\Release\WizardWrx.DLLServices2.dll.config" /f /v /r /y</v>
      </c>
    </row>
    <row r="49" spans="1:7" x14ac:dyDescent="0.25">
      <c r="A49" s="77" t="s">
        <v>371</v>
      </c>
      <c r="B49" s="77" t="s">
        <v>482</v>
      </c>
      <c r="C49" s="78">
        <v>3350</v>
      </c>
      <c r="D49" s="79">
        <v>42170.749803240738</v>
      </c>
      <c r="E49" s="79">
        <f>IF(F49,[1]!dtmFileDateInfo(A49),"")</f>
        <v>42526.75854166667</v>
      </c>
      <c r="F49" s="89" t="b">
        <v>1</v>
      </c>
      <c r="G49" s="77" t="str">
        <f>IF(F49,CONCATENATE("call XCopyF.CMD ",[1]!QuoteSpaces(DLLServices2_Config_Inventory_Master_Copy),CHAR(32),[1]!QuoteSpaces(A49)," /f /v /r /y"),"")</f>
        <v>call XCopyF.CMD "C:\Users\DAVE\Documents\Visual Studio 2013\Projects\WizardWrx_Libs\DLLServices2\DLLServices2\WizardWrx.DLLServices2.dll.config" "C:\Users\DAVE\Documents\Visual Studio 2013\Projects\Tools_for_Programmers\CertStoreLister\CertStoreLister\WizardWrx.DLLServices2.dll.config" /f /v /r /y</v>
      </c>
    </row>
    <row r="50" spans="1:7" x14ac:dyDescent="0.25">
      <c r="A50" s="77" t="s">
        <v>370</v>
      </c>
      <c r="B50" s="77" t="s">
        <v>483</v>
      </c>
      <c r="C50" s="78">
        <v>3350</v>
      </c>
      <c r="D50" s="79">
        <v>42170.749803240738</v>
      </c>
      <c r="E50" s="79">
        <f>IF(F50,[1]!dtmFileDateInfo(A50),"")</f>
        <v>42526.75854166667</v>
      </c>
      <c r="F50" s="89" t="b">
        <v>1</v>
      </c>
      <c r="G50" s="77" t="str">
        <f>IF(F50,CONCATENATE("call XCopyF.CMD ",[1]!QuoteSpaces(DLLServices2_Config_Inventory_Master_Copy),CHAR(32),[1]!QuoteSpaces(A50)," /f /v /r /y"),"")</f>
        <v>call XCopyF.CMD "C:\Users\DAVE\Documents\Visual Studio 2013\Projects\WizardWrx_Libs\DLLServices2\DLLServices2\WizardWrx.DLLServices2.dll.config" "C:\Users\DAVE\Documents\Visual Studio 2013\Projects\Tools_for_Programmers\CertStoreLister\CertStoreLister\bin\Debug\WizardWrx.DLLServices2.dll.config" /f /v /r /y</v>
      </c>
    </row>
    <row r="51" spans="1:7" x14ac:dyDescent="0.25">
      <c r="A51" s="77" t="s">
        <v>367</v>
      </c>
      <c r="B51" s="77" t="s">
        <v>486</v>
      </c>
      <c r="C51" s="78">
        <v>3350</v>
      </c>
      <c r="D51" s="79">
        <v>42170.749803240738</v>
      </c>
      <c r="E51" s="79">
        <f>IF(F51,[1]!dtmFileDateInfo(A51),"")</f>
        <v>42526.75854166667</v>
      </c>
      <c r="F51" s="89" t="b">
        <v>1</v>
      </c>
      <c r="G51" s="77" t="str">
        <f>IF(F51,CONCATENATE("call XCopyF.CMD ",[1]!QuoteSpaces(DLLServices2_Config_Inventory_Master_Copy),CHAR(32),[1]!QuoteSpaces(A51)," /f /v /r /y"),"")</f>
        <v>call XCopyF.CMD "C:\Users\DAVE\Documents\Visual Studio 2013\Projects\WizardWrx_Libs\DLLServices2\DLLServices2\WizardWrx.DLLServices2.dll.config" "C:\Users\DAVE\Documents\Visual Studio 2013\Projects\Tools_for_Programmers\PolyCat\NOTES\WizardWrx.DLLServices2.dll.config" /f /v /r /y</v>
      </c>
    </row>
    <row r="52" spans="1:7" x14ac:dyDescent="0.25">
      <c r="A52" s="77" t="s">
        <v>366</v>
      </c>
      <c r="B52" s="77" t="s">
        <v>487</v>
      </c>
      <c r="C52" s="78">
        <v>3350</v>
      </c>
      <c r="D52" s="79">
        <v>42170.749803240738</v>
      </c>
      <c r="E52" s="79">
        <f>IF(F52,[1]!dtmFileDateInfo(A52),"")</f>
        <v>42526.75854166667</v>
      </c>
      <c r="F52" s="89" t="b">
        <v>1</v>
      </c>
      <c r="G52" s="77" t="str">
        <f>IF(F52,CONCATENATE("call XCopyF.CMD ",[1]!QuoteSpaces(DLLServices2_Config_Inventory_Master_Copy),CHAR(32),[1]!QuoteSpaces(A52)," /f /v /r /y"),"")</f>
        <v>call XCopyF.CMD "C:\Users\DAVE\Documents\Visual Studio 2013\Projects\WizardWrx_Libs\DLLServices2\DLLServices2\WizardWrx.DLLServices2.dll.config" "C:\Users\DAVE\Documents\Visual Studio 2013\Projects\Tools_for_Programmers\PolyCat\PolyCat\WizardWrx.DLLServices2.dll.config" /f /v /r /y</v>
      </c>
    </row>
    <row r="53" spans="1:7" x14ac:dyDescent="0.25">
      <c r="A53" s="77" t="s">
        <v>365</v>
      </c>
      <c r="B53" s="77" t="s">
        <v>488</v>
      </c>
      <c r="C53" s="78">
        <v>3350</v>
      </c>
      <c r="D53" s="79">
        <v>42170.749803240738</v>
      </c>
      <c r="E53" s="79">
        <f>IF(F53,[1]!dtmFileDateInfo(A53),"")</f>
        <v>42526.75854166667</v>
      </c>
      <c r="F53" s="89" t="b">
        <v>1</v>
      </c>
      <c r="G53" s="77" t="str">
        <f>IF(F53,CONCATENATE("call XCopyF.CMD ",[1]!QuoteSpaces(DLLServices2_Config_Inventory_Master_Copy),CHAR(32),[1]!QuoteSpaces(A53)," /f /v /r /y"),"")</f>
        <v>call XCopyF.CMD "C:\Users\DAVE\Documents\Visual Studio 2013\Projects\WizardWrx_Libs\DLLServices2\DLLServices2\WizardWrx.DLLServices2.dll.config" "C:\Users\DAVE\Documents\Visual Studio 2013\Projects\Tools_for_Programmers\PolyCat\PolyCat\bin\Debug\WizardWrx.DLLServices2.dll.config" /f /v /r /y</v>
      </c>
    </row>
    <row r="54" spans="1:7" x14ac:dyDescent="0.25">
      <c r="A54" s="77" t="s">
        <v>364</v>
      </c>
      <c r="B54" s="77" t="s">
        <v>489</v>
      </c>
      <c r="C54" s="78">
        <v>3350</v>
      </c>
      <c r="D54" s="79">
        <v>42170.749803240738</v>
      </c>
      <c r="E54" s="79">
        <f>IF(F54,[1]!dtmFileDateInfo(A54),"")</f>
        <v>42526.75854166667</v>
      </c>
      <c r="F54" s="89" t="b">
        <v>1</v>
      </c>
      <c r="G54" s="77" t="str">
        <f>IF(F54,CONCATENATE("call XCopyF.CMD ",[1]!QuoteSpaces(DLLServices2_Config_Inventory_Master_Copy),CHAR(32),[1]!QuoteSpaces(A54)," /f /v /r /y"),"")</f>
        <v>call XCopyF.CMD "C:\Users\DAVE\Documents\Visual Studio 2013\Projects\WizardWrx_Libs\DLLServices2\DLLServices2\WizardWrx.DLLServices2.dll.config" "C:\Users\DAVE\Documents\Visual Studio 2013\Projects\Tools_for_Programmers\PolyCat\PolyCat\bin\Release\WizardWrx.DLLServices2.dll.config" /f /v /r /y</v>
      </c>
    </row>
    <row r="55" spans="1:7" x14ac:dyDescent="0.25">
      <c r="A55" s="77" t="s">
        <v>334</v>
      </c>
      <c r="B55" s="77" t="s">
        <v>519</v>
      </c>
      <c r="C55" s="78">
        <v>3350</v>
      </c>
      <c r="D55" s="79">
        <v>42170.749803240738</v>
      </c>
      <c r="E55" s="79">
        <f>IF(F55,[1]!dtmFileDateInfo(A55),"")</f>
        <v>42526.75854166667</v>
      </c>
      <c r="F55" s="89" t="b">
        <v>1</v>
      </c>
      <c r="G55" s="77" t="str">
        <f>IF(F55,CONCATENATE("call XCopyF.CMD ",[1]!QuoteSpaces(DLLServices2_Config_Inventory_Master_Copy),CHAR(32),[1]!QuoteSpaces(A55)," /f /v /r /y"),"")</f>
        <v>call XCopyF.CMD "C:\Users\DAVE\Documents\Visual Studio 2013\Projects\WizardWrx_Libs\DLLServices2\DLLServices2\WizardWrx.DLLServices2.dll.config" "C:\Users\DAVE\Documents\Visual Studio 2013\Projects\WizardWrx_Libs\_Deprecated_Libraries\ApplicationHelpers2\WizardWrx.DLLServices2.dll.config" /f /v /r /y</v>
      </c>
    </row>
    <row r="56" spans="1:7" x14ac:dyDescent="0.25">
      <c r="A56" s="77" t="s">
        <v>333</v>
      </c>
      <c r="B56" s="77" t="s">
        <v>520</v>
      </c>
      <c r="C56" s="78">
        <v>3350</v>
      </c>
      <c r="D56" s="79">
        <v>42170.749803240738</v>
      </c>
      <c r="E56" s="79">
        <f>IF(F56,[1]!dtmFileDateInfo(A56),"")</f>
        <v>42526.75854166667</v>
      </c>
      <c r="F56" s="89" t="b">
        <v>1</v>
      </c>
      <c r="G56" s="77" t="str">
        <f>IF(F56,CONCATENATE("call XCopyF.CMD ",[1]!QuoteSpaces(DLLServices2_Config_Inventory_Master_Copy),CHAR(32),[1]!QuoteSpaces(A56)," /f /v /r /y"),"")</f>
        <v>call XCopyF.CMD "C:\Users\DAVE\Documents\Visual Studio 2013\Projects\WizardWrx_Libs\DLLServices2\DLLServices2\WizardWrx.DLLServices2.dll.config" "C:\Users\DAVE\Documents\Visual Studio 2013\Projects\WizardWrx_Libs\_Deprecated_Libraries\ApplicationHelpers2\ApplicationHelpers2\bin\Debug\WizardWrx.DLLServices2.dll.config" /f /v /r /y</v>
      </c>
    </row>
    <row r="57" spans="1:7" x14ac:dyDescent="0.25">
      <c r="A57" s="77" t="s">
        <v>332</v>
      </c>
      <c r="B57" s="77" t="s">
        <v>521</v>
      </c>
      <c r="C57" s="78">
        <v>3350</v>
      </c>
      <c r="D57" s="79">
        <v>42170.749803240738</v>
      </c>
      <c r="E57" s="79">
        <f>IF(F57,[1]!dtmFileDateInfo(A57),"")</f>
        <v>42526.75854166667</v>
      </c>
      <c r="F57" s="89" t="b">
        <v>1</v>
      </c>
      <c r="G57" s="77" t="str">
        <f>IF(F57,CONCATENATE("call XCopyF.CMD ",[1]!QuoteSpaces(DLLServices2_Config_Inventory_Master_Copy),CHAR(32),[1]!QuoteSpaces(A57)," /f /v /r /y"),"")</f>
        <v>call XCopyF.CMD "C:\Users\DAVE\Documents\Visual Studio 2013\Projects\WizardWrx_Libs\DLLServices2\DLLServices2\WizardWrx.DLLServices2.dll.config" "C:\Users\DAVE\Documents\Visual Studio 2013\Projects\WizardWrx_Libs\_Deprecated_Libraries\ApplicationHelpers2\ApplicationHelpers2\bin\Release\WizardWrx.DLLServices2.dll.config" /f /v /r /y</v>
      </c>
    </row>
    <row r="58" spans="1:7" x14ac:dyDescent="0.25">
      <c r="A58" s="77" t="s">
        <v>331</v>
      </c>
      <c r="B58" s="77" t="s">
        <v>522</v>
      </c>
      <c r="C58" s="78">
        <v>3350</v>
      </c>
      <c r="D58" s="79">
        <v>42170.749803240738</v>
      </c>
      <c r="E58" s="79">
        <f>IF(F58,[1]!dtmFileDateInfo(A58),"")</f>
        <v>42526.75854166667</v>
      </c>
      <c r="F58" s="89" t="b">
        <v>1</v>
      </c>
      <c r="G58" s="77" t="str">
        <f>IF(F58,CONCATENATE("call XCopyF.CMD ",[1]!QuoteSpaces(DLLServices2_Config_Inventory_Master_Copy),CHAR(32),[1]!QuoteSpaces(A58)," /f /v /r /y"),"")</f>
        <v>call XCopyF.CMD "C:\Users\DAVE\Documents\Visual Studio 2013\Projects\WizardWrx_Libs\DLLServices2\DLLServices2\WizardWrx.DLLServices2.dll.config" "C:\Users\DAVE\Documents\Visual Studio 2013\Projects\WizardWrx_Libs\_Deprecated_Libraries\ApplicationHelpers2\ApplicationHelpers2TestHarness\ApplicationHelpers2TestHarness\WizardWrx.DLLServices2.dll.config" /f /v /r /y</v>
      </c>
    </row>
    <row r="59" spans="1:7" x14ac:dyDescent="0.25">
      <c r="A59" s="77" t="s">
        <v>330</v>
      </c>
      <c r="B59" s="77" t="s">
        <v>523</v>
      </c>
      <c r="C59" s="78">
        <v>3350</v>
      </c>
      <c r="D59" s="79">
        <v>42170.749803240738</v>
      </c>
      <c r="E59" s="79">
        <f>IF(F59,[1]!dtmFileDateInfo(A59),"")</f>
        <v>42526.75854166667</v>
      </c>
      <c r="F59" s="89" t="b">
        <v>1</v>
      </c>
      <c r="G59" s="77" t="str">
        <f>IF(F59,CONCATENATE("call XCopyF.CMD ",[1]!QuoteSpaces(DLLServices2_Config_Inventory_Master_Copy),CHAR(32),[1]!QuoteSpaces(A59)," /f /v /r /y"),"")</f>
        <v>call XCopyF.CMD "C:\Users\DAVE\Documents\Visual Studio 2013\Projects\WizardWrx_Libs\DLLServices2\DLLServices2\WizardWrx.DLLServices2.dll.config" "C:\Users\DAVE\Documents\Visual Studio 2013\Projects\WizardWrx_Libs\_Deprecated_Libraries\ApplicationHelpers2\ApplicationHelpers2TestHarness\ApplicationHelpers2TestHarness\bin\Debug\WizardWrx.DLLServices2.dll.config" /f /v /r /y</v>
      </c>
    </row>
    <row r="60" spans="1:7" x14ac:dyDescent="0.25">
      <c r="A60" s="77" t="s">
        <v>329</v>
      </c>
      <c r="B60" s="77" t="s">
        <v>524</v>
      </c>
      <c r="C60" s="78">
        <v>3350</v>
      </c>
      <c r="D60" s="79">
        <v>42170.749803240738</v>
      </c>
      <c r="E60" s="79">
        <f>IF(F60,[1]!dtmFileDateInfo(A60),"")</f>
        <v>42526.75854166667</v>
      </c>
      <c r="F60" s="89" t="b">
        <v>1</v>
      </c>
      <c r="G60" s="77" t="str">
        <f>IF(F60,CONCATENATE("call XCopyF.CMD ",[1]!QuoteSpaces(DLLServices2_Config_Inventory_Master_Copy),CHAR(32),[1]!QuoteSpaces(A60)," /f /v /r /y"),"")</f>
        <v>call XCopyF.CMD "C:\Users\DAVE\Documents\Visual Studio 2013\Projects\WizardWrx_Libs\DLLServices2\DLLServices2\WizardWrx.DLLServices2.dll.config" "C:\Users\DAVE\Documents\Visual Studio 2013\Projects\WizardWrx_Libs\_Deprecated_Libraries\ApplicationHelpers2\ApplicationHelpers2TestHarness\ApplicationHelpers2TestHarness\bin\Release\WizardWrx.DLLServices2.dll.config" /f /v /r /y</v>
      </c>
    </row>
    <row r="61" spans="1:7" x14ac:dyDescent="0.25">
      <c r="A61" s="77" t="s">
        <v>328</v>
      </c>
      <c r="B61" s="77" t="s">
        <v>525</v>
      </c>
      <c r="C61" s="78">
        <v>3350</v>
      </c>
      <c r="D61" s="79">
        <v>42170.749803240738</v>
      </c>
      <c r="E61" s="79">
        <f>IF(F61,[1]!dtmFileDateInfo(A61),"")</f>
        <v>42526.75854166667</v>
      </c>
      <c r="F61" s="89" t="b">
        <v>1</v>
      </c>
      <c r="G61" s="77" t="str">
        <f>IF(F61,CONCATENATE("call XCopyF.CMD ",[1]!QuoteSpaces(DLLServices2_Config_Inventory_Master_Copy),CHAR(32),[1]!QuoteSpaces(A61)," /f /v /r /y"),"")</f>
        <v>call XCopyF.CMD "C:\Users\DAVE\Documents\Visual Studio 2013\Projects\WizardWrx_Libs\DLLServices2\DLLServices2\WizardWrx.DLLServices2.dll.config" "C:\Users\DAVE\Documents\Visual Studio 2013\Projects\WizardWrx_Libs\_Deprecated_Libraries\ApplicationHelpers3\TestStand\WizardWrx.DLLServices2.dll.config" /f /v /r /y</v>
      </c>
    </row>
    <row r="62" spans="1:7" x14ac:dyDescent="0.25">
      <c r="A62" s="77" t="s">
        <v>327</v>
      </c>
      <c r="B62" s="77" t="s">
        <v>526</v>
      </c>
      <c r="C62" s="78">
        <v>3350</v>
      </c>
      <c r="D62" s="79">
        <v>42170.749803240738</v>
      </c>
      <c r="E62" s="79">
        <f>IF(F62,[1]!dtmFileDateInfo(A62),"")</f>
        <v>42526.75854166667</v>
      </c>
      <c r="F62" s="89" t="b">
        <v>1</v>
      </c>
      <c r="G62" s="77" t="str">
        <f>IF(F62,CONCATENATE("call XCopyF.CMD ",[1]!QuoteSpaces(DLLServices2_Config_Inventory_Master_Copy),CHAR(32),[1]!QuoteSpaces(A62)," /f /v /r /y"),"")</f>
        <v>call XCopyF.CMD "C:\Users\DAVE\Documents\Visual Studio 2013\Projects\WizardWrx_Libs\DLLServices2\DLLServices2\WizardWrx.DLLServices2.dll.config" "C:\Users\DAVE\Documents\Visual Studio 2013\Projects\WizardWrx_Libs\_Deprecated_Libraries\ApplicationHelpers3\TestStand\bin\Debug\WizardWrx.DLLServices2.dll.config" /f /v /r /y</v>
      </c>
    </row>
    <row r="63" spans="1:7" x14ac:dyDescent="0.25">
      <c r="A63" s="77" t="s">
        <v>326</v>
      </c>
      <c r="B63" s="77" t="s">
        <v>527</v>
      </c>
      <c r="C63" s="78">
        <v>3350</v>
      </c>
      <c r="D63" s="79">
        <v>42170.749803240738</v>
      </c>
      <c r="E63" s="79">
        <f>IF(F63,[1]!dtmFileDateInfo(A63),"")</f>
        <v>42526.75854166667</v>
      </c>
      <c r="F63" s="89" t="b">
        <v>1</v>
      </c>
      <c r="G63" s="77" t="str">
        <f>IF(F63,CONCATENATE("call XCopyF.CMD ",[1]!QuoteSpaces(DLLServices2_Config_Inventory_Master_Copy),CHAR(32),[1]!QuoteSpaces(A63)," /f /v /r /y"),"")</f>
        <v>call XCopyF.CMD "C:\Users\DAVE\Documents\Visual Studio 2013\Projects\WizardWrx_Libs\DLLServices2\DLLServices2\WizardWrx.DLLServices2.dll.config" "C:\Users\DAVE\Documents\Visual Studio 2013\Projects\WizardWrx_Libs\_Deprecated_Libraries\ApplicationHelpers3\TestStand\bin\Release\WizardWrx.DLLServices2.dll.config" /f /v /r /y</v>
      </c>
    </row>
    <row r="64" spans="1:7" x14ac:dyDescent="0.25">
      <c r="A64" s="77" t="s">
        <v>362</v>
      </c>
      <c r="B64" s="77" t="s">
        <v>491</v>
      </c>
      <c r="C64" s="78">
        <v>3350</v>
      </c>
      <c r="D64" s="79">
        <v>42170.749803240738</v>
      </c>
      <c r="E64" s="79">
        <f>IF(F64,[1]!dtmFileDateInfo(A64),"")</f>
        <v>42526.75854166667</v>
      </c>
      <c r="F64" s="89" t="b">
        <v>1</v>
      </c>
      <c r="G64" s="77" t="str">
        <f>IF(F64,CONCATENATE("call XCopyF.CMD ",[1]!QuoteSpaces(DLLServices2_Config_Inventory_Master_Copy),CHAR(32),[1]!QuoteSpaces(A64)," /f /v /r /y"),"")</f>
        <v>call XCopyF.CMD "C:\Users\DAVE\Documents\Visual Studio 2013\Projects\WizardWrx_Libs\DLLServices2\DLLServices2\WizardWrx.DLLServices2.dll.config" "C:\Users\DAVE\Documents\Visual Studio 2013\Projects\WizardWrx_Libs\AnyCSV\AnyCSVTestStand\WizardWrx.DLLServices2.dll.config" /f /v /r /y</v>
      </c>
    </row>
    <row r="65" spans="1:7" x14ac:dyDescent="0.25">
      <c r="A65" s="77" t="s">
        <v>361</v>
      </c>
      <c r="B65" s="77" t="s">
        <v>492</v>
      </c>
      <c r="C65" s="78">
        <v>3350</v>
      </c>
      <c r="D65" s="79">
        <v>42170.749803240738</v>
      </c>
      <c r="E65" s="79">
        <f>IF(F65,[1]!dtmFileDateInfo(A65),"")</f>
        <v>42526.75854166667</v>
      </c>
      <c r="F65" s="89" t="b">
        <v>1</v>
      </c>
      <c r="G65" s="77" t="str">
        <f>IF(F65,CONCATENATE("call XCopyF.CMD ",[1]!QuoteSpaces(DLLServices2_Config_Inventory_Master_Copy),CHAR(32),[1]!QuoteSpaces(A65)," /f /v /r /y"),"")</f>
        <v>call XCopyF.CMD "C:\Users\DAVE\Documents\Visual Studio 2013\Projects\WizardWrx_Libs\DLLServices2\DLLServices2\WizardWrx.DLLServices2.dll.config" "C:\Users\DAVE\Documents\Visual Studio 2013\Projects\WizardWrx_Libs\AnyCSV\AnyCSVTestStand\bin\Debug\WizardWrx.DLLServices2.dll.config" /f /v /r /y</v>
      </c>
    </row>
    <row r="66" spans="1:7" x14ac:dyDescent="0.25">
      <c r="A66" s="77" t="s">
        <v>360</v>
      </c>
      <c r="B66" s="77" t="s">
        <v>493</v>
      </c>
      <c r="C66" s="78">
        <v>3350</v>
      </c>
      <c r="D66" s="79">
        <v>42170.749803240738</v>
      </c>
      <c r="E66" s="79">
        <f>IF(F66,[1]!dtmFileDateInfo(A66),"")</f>
        <v>42526.75854166667</v>
      </c>
      <c r="F66" s="89" t="b">
        <v>1</v>
      </c>
      <c r="G66" s="77" t="str">
        <f>IF(F66,CONCATENATE("call XCopyF.CMD ",[1]!QuoteSpaces(DLLServices2_Config_Inventory_Master_Copy),CHAR(32),[1]!QuoteSpaces(A66)," /f /v /r /y"),"")</f>
        <v>call XCopyF.CMD "C:\Users\DAVE\Documents\Visual Studio 2013\Projects\WizardWrx_Libs\DLLServices2\DLLServices2\WizardWrx.DLLServices2.dll.config" "C:\Users\DAVE\Documents\Visual Studio 2013\Projects\WizardWrx_Libs\AnyCSV\AnyCSVTestStand\bin\Release\WizardWrx.DLLServices2.dll.config" /f /v /r /y</v>
      </c>
    </row>
    <row r="67" spans="1:7" x14ac:dyDescent="0.25">
      <c r="A67" s="77" t="s">
        <v>359</v>
      </c>
      <c r="B67" s="77" t="s">
        <v>494</v>
      </c>
      <c r="C67" s="78">
        <v>3350</v>
      </c>
      <c r="D67" s="79">
        <v>42170.749803240738</v>
      </c>
      <c r="E67" s="79">
        <f>IF(F67,[1]!dtmFileDateInfo(A67),"")</f>
        <v>42526.75854166667</v>
      </c>
      <c r="F67" s="89" t="b">
        <v>1</v>
      </c>
      <c r="G67" s="77" t="str">
        <f>IF(F67,CONCATENATE("call XCopyF.CMD ",[1]!QuoteSpaces(DLLServices2_Config_Inventory_Master_Copy),CHAR(32),[1]!QuoteSpaces(A67)," /f /v /r /y"),"")</f>
        <v>call XCopyF.CMD "C:\Users\DAVE\Documents\Visual Studio 2013\Projects\WizardWrx_Libs\DLLServices2\DLLServices2\WizardWrx.DLLServices2.dll.config" "C:\Users\DAVE\Documents\Visual Studio 2013\Projects\WizardWrx_Libs\AnyCSV\CSVTestStand\WizardWrx.DLLServices2.dll.config" /f /v /r /y</v>
      </c>
    </row>
    <row r="68" spans="1:7" x14ac:dyDescent="0.25">
      <c r="A68" s="77" t="s">
        <v>358</v>
      </c>
      <c r="B68" s="77" t="s">
        <v>495</v>
      </c>
      <c r="C68" s="78">
        <v>3350</v>
      </c>
      <c r="D68" s="79">
        <v>42170.749803240738</v>
      </c>
      <c r="E68" s="79">
        <f>IF(F68,[1]!dtmFileDateInfo(A68),"")</f>
        <v>42526.75854166667</v>
      </c>
      <c r="F68" s="89" t="b">
        <v>1</v>
      </c>
      <c r="G68" s="77" t="str">
        <f>IF(F68,CONCATENATE("call XCopyF.CMD ",[1]!QuoteSpaces(DLLServices2_Config_Inventory_Master_Copy),CHAR(32),[1]!QuoteSpaces(A68)," /f /v /r /y"),"")</f>
        <v>call XCopyF.CMD "C:\Users\DAVE\Documents\Visual Studio 2013\Projects\WizardWrx_Libs\DLLServices2\DLLServices2\WizardWrx.DLLServices2.dll.config" "C:\Users\DAVE\Documents\Visual Studio 2013\Projects\WizardWrx_Libs\AnyCSV\CSVTestStand\bin\Debug\WizardWrx.DLLServices2.dll.config" /f /v /r /y</v>
      </c>
    </row>
    <row r="69" spans="1:7" x14ac:dyDescent="0.25">
      <c r="A69" s="77" t="s">
        <v>357</v>
      </c>
      <c r="B69" s="77" t="s">
        <v>496</v>
      </c>
      <c r="C69" s="78">
        <v>3350</v>
      </c>
      <c r="D69" s="79">
        <v>42170.749803240738</v>
      </c>
      <c r="E69" s="79">
        <f>IF(F69,[1]!dtmFileDateInfo(A69),"")</f>
        <v>42526.75854166667</v>
      </c>
      <c r="F69" s="89" t="b">
        <v>1</v>
      </c>
      <c r="G69" s="77" t="str">
        <f>IF(F69,CONCATENATE("call XCopyF.CMD ",[1]!QuoteSpaces(DLLServices2_Config_Inventory_Master_Copy),CHAR(32),[1]!QuoteSpaces(A69)," /f /v /r /y"),"")</f>
        <v>call XCopyF.CMD "C:\Users\DAVE\Documents\Visual Studio 2013\Projects\WizardWrx_Libs\DLLServices2\DLLServices2\WizardWrx.DLLServices2.dll.config" "C:\Users\DAVE\Documents\Visual Studio 2013\Projects\WizardWrx_Libs\AnyCSV\CSVTestStand\bin\Release\WizardWrx.DLLServices2.dll.config" /f /v /r /y</v>
      </c>
    </row>
    <row r="70" spans="1:7" x14ac:dyDescent="0.25">
      <c r="A70" s="77" t="s">
        <v>356</v>
      </c>
      <c r="B70" s="77" t="s">
        <v>497</v>
      </c>
      <c r="C70" s="78">
        <v>3350</v>
      </c>
      <c r="D70" s="79">
        <v>42170.749803240738</v>
      </c>
      <c r="E70" s="79">
        <f>IF(F70,[1]!dtmFileDateInfo(A70),"")</f>
        <v>42526.75854166667</v>
      </c>
      <c r="F70" s="89" t="b">
        <v>1</v>
      </c>
      <c r="G70" s="77" t="str">
        <f>IF(F70,CONCATENATE("call XCopyF.CMD ",[1]!QuoteSpaces(DLLServices2_Config_Inventory_Master_Copy),CHAR(32),[1]!QuoteSpaces(A70)," /f /v /r /y"),"")</f>
        <v>call XCopyF.CMD "C:\Users\DAVE\Documents\Visual Studio 2013\Projects\WizardWrx_Libs\DLLServices2\DLLServices2\WizardWrx.DLLServices2.dll.config" "C:\Users\DAVE\Documents\Visual Studio 2013\Projects\WizardWrx_Libs\ConsoleAppAids2\ConsoleAppAids2\WizardWrx.DLLServices2.dll.config" /f /v /r /y</v>
      </c>
    </row>
    <row r="71" spans="1:7" x14ac:dyDescent="0.25">
      <c r="A71" s="77" t="s">
        <v>355</v>
      </c>
      <c r="B71" s="77" t="s">
        <v>498</v>
      </c>
      <c r="C71" s="78">
        <v>3350</v>
      </c>
      <c r="D71" s="79">
        <v>42170.749803240738</v>
      </c>
      <c r="E71" s="79">
        <f>IF(F71,[1]!dtmFileDateInfo(A71),"")</f>
        <v>42526.75854166667</v>
      </c>
      <c r="F71" s="89" t="b">
        <v>1</v>
      </c>
      <c r="G71" s="77" t="str">
        <f>IF(F71,CONCATENATE("call XCopyF.CMD ",[1]!QuoteSpaces(DLLServices2_Config_Inventory_Master_Copy),CHAR(32),[1]!QuoteSpaces(A71)," /f /v /r /y"),"")</f>
        <v>call XCopyF.CMD "C:\Users\DAVE\Documents\Visual Studio 2013\Projects\WizardWrx_Libs\DLLServices2\DLLServices2\WizardWrx.DLLServices2.dll.config" "C:\Users\DAVE\Documents\Visual Studio 2013\Projects\WizardWrx_Libs\ConsoleAppAids2\ConsoleAppAids2\bin\Debug\WizardWrx.DLLServices2.dll.config" /f /v /r /y</v>
      </c>
    </row>
    <row r="72" spans="1:7" x14ac:dyDescent="0.25">
      <c r="A72" s="77" t="s">
        <v>354</v>
      </c>
      <c r="B72" s="77" t="s">
        <v>499</v>
      </c>
      <c r="C72" s="78">
        <v>3350</v>
      </c>
      <c r="D72" s="79">
        <v>42170.749803240738</v>
      </c>
      <c r="E72" s="79">
        <f>IF(F72,[1]!dtmFileDateInfo(A72),"")</f>
        <v>42526.75854166667</v>
      </c>
      <c r="F72" s="89" t="b">
        <v>1</v>
      </c>
      <c r="G72" s="77" t="str">
        <f>IF(F72,CONCATENATE("call XCopyF.CMD ",[1]!QuoteSpaces(DLLServices2_Config_Inventory_Master_Copy),CHAR(32),[1]!QuoteSpaces(A72)," /f /v /r /y"),"")</f>
        <v>call XCopyF.CMD "C:\Users\DAVE\Documents\Visual Studio 2013\Projects\WizardWrx_Libs\DLLServices2\DLLServices2\WizardWrx.DLLServices2.dll.config" "C:\Users\DAVE\Documents\Visual Studio 2013\Projects\WizardWrx_Libs\ConsoleAppAids2\ConsoleAppAids2\bin\Release\WizardWrx.DLLServices2.dll.config" /f /v /r /y</v>
      </c>
    </row>
    <row r="73" spans="1:7" x14ac:dyDescent="0.25">
      <c r="A73" s="77" t="s">
        <v>353</v>
      </c>
      <c r="B73" s="77" t="s">
        <v>500</v>
      </c>
      <c r="C73" s="78">
        <v>3350</v>
      </c>
      <c r="D73" s="79">
        <v>42170.749803240738</v>
      </c>
      <c r="E73" s="79">
        <f>IF(F73,[1]!dtmFileDateInfo(A73),"")</f>
        <v>42526.75854166667</v>
      </c>
      <c r="F73" s="89" t="b">
        <v>1</v>
      </c>
      <c r="G73" s="77" t="str">
        <f>IF(F73,CONCATENATE("call XCopyF.CMD ",[1]!QuoteSpaces(DLLServices2_Config_Inventory_Master_Copy),CHAR(32),[1]!QuoteSpaces(A73)," /f /v /r /y"),"")</f>
        <v>call XCopyF.CMD "C:\Users\DAVE\Documents\Visual Studio 2013\Projects\WizardWrx_Libs\DLLServices2\DLLServices2\WizardWrx.DLLServices2.dll.config" "C:\Users\DAVE\Documents\Visual Studio 2013\Projects\WizardWrx_Libs\ConsoleAppAids2\EOJTEST\WizardWrx.DLLServices2.dll.config" /f /v /r /y</v>
      </c>
    </row>
    <row r="74" spans="1:7" x14ac:dyDescent="0.25">
      <c r="A74" s="77" t="s">
        <v>352</v>
      </c>
      <c r="B74" s="77" t="s">
        <v>501</v>
      </c>
      <c r="C74" s="78">
        <v>3350</v>
      </c>
      <c r="D74" s="79">
        <v>42170.749803240738</v>
      </c>
      <c r="E74" s="79">
        <f>IF(F74,[1]!dtmFileDateInfo(A74),"")</f>
        <v>42526.75854166667</v>
      </c>
      <c r="F74" s="89" t="b">
        <v>1</v>
      </c>
      <c r="G74" s="77" t="str">
        <f>IF(F74,CONCATENATE("call XCopyF.CMD ",[1]!QuoteSpaces(DLLServices2_Config_Inventory_Master_Copy),CHAR(32),[1]!QuoteSpaces(A74)," /f /v /r /y"),"")</f>
        <v>call XCopyF.CMD "C:\Users\DAVE\Documents\Visual Studio 2013\Projects\WizardWrx_Libs\DLLServices2\DLLServices2\WizardWrx.DLLServices2.dll.config" "C:\Users\DAVE\Documents\Visual Studio 2013\Projects\WizardWrx_Libs\ConsoleAppAids2\EOJTEST\bin\Debug\WizardWrx.DLLServices2.dll.config" /f /v /r /y</v>
      </c>
    </row>
    <row r="75" spans="1:7" x14ac:dyDescent="0.25">
      <c r="A75" s="77" t="s">
        <v>351</v>
      </c>
      <c r="B75" s="77" t="s">
        <v>502</v>
      </c>
      <c r="C75" s="78">
        <v>3350</v>
      </c>
      <c r="D75" s="79">
        <v>42170.749803240738</v>
      </c>
      <c r="E75" s="79">
        <f>IF(F75,[1]!dtmFileDateInfo(A75),"")</f>
        <v>42526.75854166667</v>
      </c>
      <c r="F75" s="89" t="b">
        <v>1</v>
      </c>
      <c r="G75" s="77" t="str">
        <f>IF(F75,CONCATENATE("call XCopyF.CMD ",[1]!QuoteSpaces(DLLServices2_Config_Inventory_Master_Copy),CHAR(32),[1]!QuoteSpaces(A75)," /f /v /r /y"),"")</f>
        <v>call XCopyF.CMD "C:\Users\DAVE\Documents\Visual Studio 2013\Projects\WizardWrx_Libs\DLLServices2\DLLServices2\WizardWrx.DLLServices2.dll.config" "C:\Users\DAVE\Documents\Visual Studio 2013\Projects\WizardWrx_Libs\ConsoleAppAids2\EOJTEST\bin\Release\WizardWrx.DLLServices2.dll.config" /f /v /r /y</v>
      </c>
    </row>
    <row r="76" spans="1:7" x14ac:dyDescent="0.25">
      <c r="A76" s="77" t="s">
        <v>350</v>
      </c>
      <c r="B76" s="77" t="s">
        <v>503</v>
      </c>
      <c r="C76" s="78">
        <v>3350</v>
      </c>
      <c r="D76" s="79">
        <v>42170.749803240738</v>
      </c>
      <c r="E76" s="79">
        <f>IF(F76,[1]!dtmFileDateInfo(A76),"")</f>
        <v>42526.75854166667</v>
      </c>
      <c r="F76" s="89" t="b">
        <v>1</v>
      </c>
      <c r="G76" s="77" t="str">
        <f>IF(F76,CONCATENATE("call XCopyF.CMD ",[1]!QuoteSpaces(DLLServices2_Config_Inventory_Master_Copy),CHAR(32),[1]!QuoteSpaces(A76)," /f /v /r /y"),"")</f>
        <v>call XCopyF.CMD "C:\Users\DAVE\Documents\Visual Studio 2013\Projects\WizardWrx_Libs\DLLServices2\DLLServices2\WizardWrx.DLLServices2.dll.config" "C:\Users\DAVE\Documents\Visual Studio 2013\Projects\WizardWrx_Libs\ConsoleAppAids2\TestStand\WizardWrx.DLLServices2.dll.config" /f /v /r /y</v>
      </c>
    </row>
    <row r="77" spans="1:7" x14ac:dyDescent="0.25">
      <c r="A77" s="77" t="s">
        <v>349</v>
      </c>
      <c r="B77" s="77" t="s">
        <v>504</v>
      </c>
      <c r="C77" s="78">
        <v>3350</v>
      </c>
      <c r="D77" s="79">
        <v>42170.749803240738</v>
      </c>
      <c r="E77" s="79">
        <f>IF(F77,[1]!dtmFileDateInfo(A77),"")</f>
        <v>42526.75854166667</v>
      </c>
      <c r="F77" s="89" t="b">
        <v>1</v>
      </c>
      <c r="G77" s="77" t="str">
        <f>IF(F77,CONCATENATE("call XCopyF.CMD ",[1]!QuoteSpaces(DLLServices2_Config_Inventory_Master_Copy),CHAR(32),[1]!QuoteSpaces(A77)," /f /v /r /y"),"")</f>
        <v>call XCopyF.CMD "C:\Users\DAVE\Documents\Visual Studio 2013\Projects\WizardWrx_Libs\DLLServices2\DLLServices2\WizardWrx.DLLServices2.dll.config" "C:\Users\DAVE\Documents\Visual Studio 2013\Projects\WizardWrx_Libs\ConsoleAppAids2\TestStand\bin\Debug\WizardWrx.DLLServices2.dll.config" /f /v /r /y</v>
      </c>
    </row>
    <row r="78" spans="1:7" x14ac:dyDescent="0.25">
      <c r="A78" s="77" t="s">
        <v>348</v>
      </c>
      <c r="B78" s="77" t="s">
        <v>505</v>
      </c>
      <c r="C78" s="78">
        <v>3350</v>
      </c>
      <c r="D78" s="79">
        <v>42170.749803240738</v>
      </c>
      <c r="E78" s="79">
        <f>IF(F78,[1]!dtmFileDateInfo(A78),"")</f>
        <v>42526.75854166667</v>
      </c>
      <c r="F78" s="89" t="b">
        <v>1</v>
      </c>
      <c r="G78" s="77" t="str">
        <f>IF(F78,CONCATENATE("call XCopyF.CMD ",[1]!QuoteSpaces(DLLServices2_Config_Inventory_Master_Copy),CHAR(32),[1]!QuoteSpaces(A78)," /f /v /r /y"),"")</f>
        <v>call XCopyF.CMD "C:\Users\DAVE\Documents\Visual Studio 2013\Projects\WizardWrx_Libs\DLLServices2\DLLServices2\WizardWrx.DLLServices2.dll.config" "C:\Users\DAVE\Documents\Visual Studio 2013\Projects\WizardWrx_Libs\ConsoleAppAids2\TestStand\bin\Release\WizardWrx.DLLServices2.dll.config" /f /v /r /y</v>
      </c>
    </row>
    <row r="79" spans="1:7" x14ac:dyDescent="0.25">
      <c r="A79" s="77" t="s">
        <v>340</v>
      </c>
      <c r="B79" s="77" t="s">
        <v>513</v>
      </c>
      <c r="C79" s="78">
        <v>3350</v>
      </c>
      <c r="D79" s="79">
        <v>42170.749803240738</v>
      </c>
      <c r="E79" s="79">
        <f>IF(F79,[1]!dtmFileDateInfo(A79),"")</f>
        <v>42526.75854166667</v>
      </c>
      <c r="F79" s="89" t="b">
        <v>1</v>
      </c>
      <c r="G79" s="77" t="str">
        <f>IF(F79,CONCATENATE("call XCopyF.CMD ",[1]!QuoteSpaces(DLLServices2_Config_Inventory_Master_Copy),CHAR(32),[1]!QuoteSpaces(A79)," /f /v /r /y"),"")</f>
        <v>call XCopyF.CMD "C:\Users\DAVE\Documents\Visual Studio 2013\Projects\WizardWrx_Libs\DLLServices2\DLLServices2\WizardWrx.DLLServices2.dll.config" "C:\Users\DAVE\Documents\Visual Studio 2013\Projects\WizardWrx_Libs\MailForAllApps\TestStand\WizardWrx.DLLServices2.dll.config" /f /v /r /y</v>
      </c>
    </row>
    <row r="80" spans="1:7" x14ac:dyDescent="0.25">
      <c r="A80" s="77" t="s">
        <v>339</v>
      </c>
      <c r="B80" s="77" t="s">
        <v>514</v>
      </c>
      <c r="C80" s="78">
        <v>3350</v>
      </c>
      <c r="D80" s="79">
        <v>42170.749803240738</v>
      </c>
      <c r="E80" s="79">
        <f>IF(F80,[1]!dtmFileDateInfo(A80),"")</f>
        <v>42526.75854166667</v>
      </c>
      <c r="F80" s="89" t="b">
        <v>1</v>
      </c>
      <c r="G80" s="77" t="str">
        <f>IF(F80,CONCATENATE("call XCopyF.CMD ",[1]!QuoteSpaces(DLLServices2_Config_Inventory_Master_Copy),CHAR(32),[1]!QuoteSpaces(A80)," /f /v /r /y"),"")</f>
        <v>call XCopyF.CMD "C:\Users\DAVE\Documents\Visual Studio 2013\Projects\WizardWrx_Libs\DLLServices2\DLLServices2\WizardWrx.DLLServices2.dll.config" "C:\Users\DAVE\Documents\Visual Studio 2013\Projects\WizardWrx_Libs\MailForAllApps\TestStand\bin\Debug\WizardWrx.DLLServices2.dll.config" /f /v /r /y</v>
      </c>
    </row>
    <row r="81" spans="1:7" x14ac:dyDescent="0.25">
      <c r="A81" s="77" t="s">
        <v>338</v>
      </c>
      <c r="B81" s="77" t="s">
        <v>515</v>
      </c>
      <c r="C81" s="78">
        <v>3350</v>
      </c>
      <c r="D81" s="79">
        <v>42170.749803240738</v>
      </c>
      <c r="E81" s="79">
        <f>IF(F81,[1]!dtmFileDateInfo(A81),"")</f>
        <v>42526.75854166667</v>
      </c>
      <c r="F81" s="89" t="b">
        <v>1</v>
      </c>
      <c r="G81" s="77" t="str">
        <f>IF(F81,CONCATENATE("call XCopyF.CMD ",[1]!QuoteSpaces(DLLServices2_Config_Inventory_Master_Copy),CHAR(32),[1]!QuoteSpaces(A81)," /f /v /r /y"),"")</f>
        <v>call XCopyF.CMD "C:\Users\DAVE\Documents\Visual Studio 2013\Projects\WizardWrx_Libs\DLLServices2\DLLServices2\WizardWrx.DLLServices2.dll.config" "C:\Users\DAVE\Documents\Visual Studio 2013\Projects\WizardWrx_Libs\MailForAllApps\TestStand\bin\Release\WizardWrx.DLLServices2.dll.config" /f /v /r /y</v>
      </c>
    </row>
    <row r="82" spans="1:7" x14ac:dyDescent="0.25">
      <c r="A82" s="77" t="s">
        <v>337</v>
      </c>
      <c r="B82" s="77" t="s">
        <v>516</v>
      </c>
      <c r="C82" s="78">
        <v>3350</v>
      </c>
      <c r="D82" s="79">
        <v>42170.749803240738</v>
      </c>
      <c r="E82" s="79">
        <f>IF(F82,[1]!dtmFileDateInfo(A82),"")</f>
        <v>42526.75854166667</v>
      </c>
      <c r="F82" s="89" t="b">
        <v>1</v>
      </c>
      <c r="G82" s="77" t="str">
        <f>IF(F82,CONCATENATE("call XCopyF.CMD ",[1]!QuoteSpaces(DLLServices2_Config_Inventory_Master_Copy),CHAR(32),[1]!QuoteSpaces(A82)," /f /v /r /y"),"")</f>
        <v>call XCopyF.CMD "C:\Users\DAVE\Documents\Visual Studio 2013\Projects\WizardWrx_Libs\DLLServices2\DLLServices2\WizardWrx.DLLServices2.dll.config" "C:\Users\DAVE\Documents\Visual Studio 2013\Projects\WizardWrx_Libs\SharedUtl4\SharedUtl4_TestStand\WizardWrx.DLLServices2.dll.config" /f /v /r /y</v>
      </c>
    </row>
    <row r="83" spans="1:7" x14ac:dyDescent="0.25">
      <c r="A83" s="77" t="s">
        <v>336</v>
      </c>
      <c r="B83" s="77" t="s">
        <v>517</v>
      </c>
      <c r="C83" s="78">
        <v>3350</v>
      </c>
      <c r="D83" s="79">
        <v>42170.749803240738</v>
      </c>
      <c r="E83" s="79">
        <f>IF(F83,[1]!dtmFileDateInfo(A83),"")</f>
        <v>42526.75854166667</v>
      </c>
      <c r="F83" s="89" t="b">
        <v>1</v>
      </c>
      <c r="G83" s="77" t="str">
        <f>IF(F83,CONCATENATE("call XCopyF.CMD ",[1]!QuoteSpaces(DLLServices2_Config_Inventory_Master_Copy),CHAR(32),[1]!QuoteSpaces(A83)," /f /v /r /y"),"")</f>
        <v>call XCopyF.CMD "C:\Users\DAVE\Documents\Visual Studio 2013\Projects\WizardWrx_Libs\DLLServices2\DLLServices2\WizardWrx.DLLServices2.dll.config" "C:\Users\DAVE\Documents\Visual Studio 2013\Projects\WizardWrx_Libs\SharedUtl4\SharedUtl4_TestStand\bin\Debug\WizardWrx.DLLServices2.dll.config" /f /v /r /y</v>
      </c>
    </row>
    <row r="84" spans="1:7" x14ac:dyDescent="0.25">
      <c r="A84" s="77" t="s">
        <v>335</v>
      </c>
      <c r="B84" s="77" t="s">
        <v>518</v>
      </c>
      <c r="C84" s="78">
        <v>3350</v>
      </c>
      <c r="D84" s="79">
        <v>42170.749803240738</v>
      </c>
      <c r="E84" s="79">
        <f>IF(F84,[1]!dtmFileDateInfo(A84),"")</f>
        <v>42526.75854166667</v>
      </c>
      <c r="F84" s="89" t="b">
        <v>1</v>
      </c>
      <c r="G84" s="77" t="str">
        <f>IF(F84,CONCATENATE("call XCopyF.CMD ",[1]!QuoteSpaces(DLLServices2_Config_Inventory_Master_Copy),CHAR(32),[1]!QuoteSpaces(A84)," /f /v /r /y"),"")</f>
        <v>call XCopyF.CMD "C:\Users\DAVE\Documents\Visual Studio 2013\Projects\WizardWrx_Libs\DLLServices2\DLLServices2\WizardWrx.DLLServices2.dll.config" "C:\Users\DAVE\Documents\Visual Studio 2013\Projects\WizardWrx_Libs\SharedUtl4\SharedUtl4_TestStand\bin\Release\WizardWrx.DLLServices2.dll.config" /f /v /r /y</v>
      </c>
    </row>
    <row r="85" spans="1:7" x14ac:dyDescent="0.25">
      <c r="A85" s="77" t="s">
        <v>374</v>
      </c>
      <c r="B85" s="77" t="s">
        <v>479</v>
      </c>
      <c r="C85" s="78">
        <v>2976</v>
      </c>
      <c r="D85" s="79">
        <v>42003.620300925926</v>
      </c>
      <c r="E85" s="79">
        <f>IF(F85,[1]!dtmFileDateInfo(A85),"")</f>
        <v>42526.75854166667</v>
      </c>
      <c r="F85" s="89" t="b">
        <v>1</v>
      </c>
      <c r="G85" s="77" t="str">
        <f>IF(F85,CONCATENATE("call XCopyF.CMD ",[1]!QuoteSpaces(DLLServices2_Config_Inventory_Master_Copy),CHAR(32),[1]!QuoteSpaces(A85)," /f /v /r /y"),"")</f>
        <v>call XCopyF.CMD "C:\Users\DAVE\Documents\Visual Studio 2013\Projects\WizardWrx_Libs\DLLServices2\DLLServices2\WizardWrx.DLLServices2.dll.config" "C:\Users\DAVE\Documents\Visual Studio 2013\Projects\NOLANB\ZZRdInts\ZZRdInts\WizardWrx.DLLServices2.dll.config" /f /v /r /y</v>
      </c>
    </row>
    <row r="86" spans="1:7" x14ac:dyDescent="0.25">
      <c r="A86" s="77" t="s">
        <v>373</v>
      </c>
      <c r="B86" s="77" t="s">
        <v>480</v>
      </c>
      <c r="C86" s="78">
        <v>2976</v>
      </c>
      <c r="D86" s="79">
        <v>42003.620300925926</v>
      </c>
      <c r="E86" s="79">
        <f>IF(F86,[1]!dtmFileDateInfo(A86),"")</f>
        <v>42526.75854166667</v>
      </c>
      <c r="F86" s="89" t="b">
        <v>1</v>
      </c>
      <c r="G86" s="77" t="str">
        <f>IF(F86,CONCATENATE("call XCopyF.CMD ",[1]!QuoteSpaces(DLLServices2_Config_Inventory_Master_Copy),CHAR(32),[1]!QuoteSpaces(A86)," /f /v /r /y"),"")</f>
        <v>call XCopyF.CMD "C:\Users\DAVE\Documents\Visual Studio 2013\Projects\WizardWrx_Libs\DLLServices2\DLLServices2\WizardWrx.DLLServices2.dll.config" "C:\Users\DAVE\Documents\Visual Studio 2013\Projects\NOLANB\ZZRdInts\ZZRdInts\bin\Debug\WizardWrx.DLLServices2.dll.config" /f /v /r /y</v>
      </c>
    </row>
    <row r="87" spans="1:7" x14ac:dyDescent="0.25">
      <c r="A87" s="77" t="s">
        <v>372</v>
      </c>
      <c r="B87" s="77" t="s">
        <v>481</v>
      </c>
      <c r="C87" s="78">
        <v>2976</v>
      </c>
      <c r="D87" s="79">
        <v>42003.620300925926</v>
      </c>
      <c r="E87" s="79">
        <f>IF(F87,[1]!dtmFileDateInfo(A87),"")</f>
        <v>42526.75854166667</v>
      </c>
      <c r="F87" s="89" t="b">
        <v>1</v>
      </c>
      <c r="G87" s="77" t="str">
        <f>IF(F87,CONCATENATE("call XCopyF.CMD ",[1]!QuoteSpaces(DLLServices2_Config_Inventory_Master_Copy),CHAR(32),[1]!QuoteSpaces(A87)," /f /v /r /y"),"")</f>
        <v>call XCopyF.CMD "C:\Users\DAVE\Documents\Visual Studio 2013\Projects\WizardWrx_Libs\DLLServices2\DLLServices2\WizardWrx.DLLServices2.dll.config" "C:\Users\DAVE\Documents\Visual Studio 2013\Projects\NOLANB\ZZRdInts\ZZRdInts\bin\Release\WizardWrx.DLLServices2.dll.config" /f /v /r /y</v>
      </c>
    </row>
    <row r="88" spans="1:7" x14ac:dyDescent="0.25">
      <c r="A88" s="77" t="s">
        <v>418</v>
      </c>
      <c r="B88" s="77" t="s">
        <v>435</v>
      </c>
      <c r="C88" s="78">
        <v>2976</v>
      </c>
      <c r="D88" s="79">
        <v>41891.714513888888</v>
      </c>
      <c r="E88" s="79" t="str">
        <f>IF(F88,[1]!dtmFileDateInfo(A88),"")</f>
        <v/>
      </c>
      <c r="F88" s="89" t="b">
        <v>0</v>
      </c>
      <c r="G88" s="77" t="str">
        <f>IF(F88,CONCATENATE("call XCopyF.CMD ",[1]!QuoteSpaces(DLLServices2_Config_Inventory_Master_Copy),CHAR(32),[1]!QuoteSpaces(A88)," /f /v /r /y"),"")</f>
        <v/>
      </c>
    </row>
    <row r="89" spans="1:7" x14ac:dyDescent="0.25">
      <c r="A89" s="77" t="s">
        <v>417</v>
      </c>
      <c r="B89" s="77" t="s">
        <v>436</v>
      </c>
      <c r="C89" s="78">
        <v>2976</v>
      </c>
      <c r="D89" s="79">
        <v>41891.714513888888</v>
      </c>
      <c r="E89" s="79" t="str">
        <f>IF(F89,[1]!dtmFileDateInfo(A89),"")</f>
        <v/>
      </c>
      <c r="F89" s="89" t="b">
        <v>0</v>
      </c>
      <c r="G89" s="77" t="str">
        <f>IF(F89,CONCATENATE("call XCopyF.CMD ",[1]!QuoteSpaces(DLLServices2_Config_Inventory_Master_Copy),CHAR(32),[1]!QuoteSpaces(A89)," /f /v /r /y"),"")</f>
        <v/>
      </c>
    </row>
    <row r="90" spans="1:7" x14ac:dyDescent="0.25">
      <c r="A90" s="77" t="s">
        <v>414</v>
      </c>
      <c r="B90" s="77" t="s">
        <v>439</v>
      </c>
      <c r="C90" s="78">
        <v>2976</v>
      </c>
      <c r="D90" s="79">
        <v>41891.714513888888</v>
      </c>
      <c r="E90" s="79" t="str">
        <f>IF(F90,[1]!dtmFileDateInfo(A90),"")</f>
        <v/>
      </c>
      <c r="F90" s="89" t="b">
        <v>0</v>
      </c>
      <c r="G90" s="77" t="str">
        <f>IF(F90,CONCATENATE("call XCopyF.CMD ",[1]!QuoteSpaces(DLLServices2_Config_Inventory_Master_Copy),CHAR(32),[1]!QuoteSpaces(A90)," /f /v /r /y"),"")</f>
        <v/>
      </c>
    </row>
    <row r="91" spans="1:7" x14ac:dyDescent="0.25">
      <c r="A91" s="77" t="s">
        <v>413</v>
      </c>
      <c r="B91" s="77" t="s">
        <v>440</v>
      </c>
      <c r="C91" s="78">
        <v>2976</v>
      </c>
      <c r="D91" s="79">
        <v>41891.714513888888</v>
      </c>
      <c r="E91" s="79" t="str">
        <f>IF(F91,[1]!dtmFileDateInfo(A91),"")</f>
        <v/>
      </c>
      <c r="F91" s="89" t="b">
        <v>0</v>
      </c>
      <c r="G91" s="77" t="str">
        <f>IF(F91,CONCATENATE("call XCopyF.CMD ",[1]!QuoteSpaces(DLLServices2_Config_Inventory_Master_Copy),CHAR(32),[1]!QuoteSpaces(A91)," /f /v /r /y"),"")</f>
        <v/>
      </c>
    </row>
    <row r="92" spans="1:7" x14ac:dyDescent="0.25">
      <c r="A92" s="77" t="s">
        <v>383</v>
      </c>
      <c r="B92" s="77" t="s">
        <v>470</v>
      </c>
      <c r="C92" s="78">
        <v>2976</v>
      </c>
      <c r="D92" s="79">
        <v>41891.714513888888</v>
      </c>
      <c r="E92" s="79" t="str">
        <f>IF(F92,[1]!dtmFileDateInfo(A92),"")</f>
        <v/>
      </c>
      <c r="F92" s="89" t="b">
        <v>0</v>
      </c>
      <c r="G92" s="77" t="str">
        <f>IF(F92,CONCATENATE("call XCopyF.CMD ",[1]!QuoteSpaces(DLLServices2_Config_Inventory_Master_Copy),CHAR(32),[1]!QuoteSpaces(A92)," /f /v /r /y"),"")</f>
        <v/>
      </c>
    </row>
    <row r="93" spans="1:7" x14ac:dyDescent="0.25">
      <c r="A93" s="77" t="s">
        <v>321</v>
      </c>
      <c r="B93" s="77" t="s">
        <v>532</v>
      </c>
      <c r="C93" s="78">
        <v>2976</v>
      </c>
      <c r="D93" s="79">
        <v>41891.714513888888</v>
      </c>
      <c r="E93" s="79" t="str">
        <f>IF(F93,[1]!dtmFileDateInfo(A93),"")</f>
        <v/>
      </c>
      <c r="F93" s="89" t="b">
        <v>0</v>
      </c>
      <c r="G93" s="77" t="str">
        <f>IF(F93,CONCATENATE("call XCopyF.CMD ",[1]!QuoteSpaces(DLLServices2_Config_Inventory_Master_Copy),CHAR(32),[1]!QuoteSpaces(A93)," /f /v /r /y"),"")</f>
        <v/>
      </c>
    </row>
    <row r="94" spans="1:7" x14ac:dyDescent="0.25">
      <c r="A94" s="77" t="s">
        <v>320</v>
      </c>
      <c r="B94" s="77" t="s">
        <v>533</v>
      </c>
      <c r="C94" s="78">
        <v>2976</v>
      </c>
      <c r="D94" s="79">
        <v>41891.714513888888</v>
      </c>
      <c r="E94" s="79" t="str">
        <f>IF(F94,[1]!dtmFileDateInfo(A94),"")</f>
        <v/>
      </c>
      <c r="F94" s="89" t="b">
        <v>0</v>
      </c>
      <c r="G94" s="77" t="str">
        <f>IF(F94,CONCATENATE("call XCopyF.CMD ",[1]!QuoteSpaces(DLLServices2_Config_Inventory_Master_Copy),CHAR(32),[1]!QuoteSpaces(A94)," /f /v /r /y"),"")</f>
        <v/>
      </c>
    </row>
    <row r="95" spans="1:7" x14ac:dyDescent="0.25">
      <c r="A95" s="77" t="s">
        <v>317</v>
      </c>
      <c r="B95" s="77" t="s">
        <v>536</v>
      </c>
      <c r="C95" s="78">
        <v>2976</v>
      </c>
      <c r="D95" s="79">
        <v>41891.714513888888</v>
      </c>
      <c r="E95" s="79" t="str">
        <f>IF(F95,[1]!dtmFileDateInfo(A95),"")</f>
        <v/>
      </c>
      <c r="F95" s="89" t="b">
        <v>0</v>
      </c>
      <c r="G95" s="77" t="str">
        <f>IF(F95,CONCATENATE("call XCopyF.CMD ",[1]!QuoteSpaces(DLLServices2_Config_Inventory_Master_Copy),CHAR(32),[1]!QuoteSpaces(A95)," /f /v /r /y"),"")</f>
        <v/>
      </c>
    </row>
    <row r="96" spans="1:7" x14ac:dyDescent="0.25">
      <c r="A96" s="77" t="s">
        <v>316</v>
      </c>
      <c r="B96" s="77" t="s">
        <v>537</v>
      </c>
      <c r="C96" s="78">
        <v>2976</v>
      </c>
      <c r="D96" s="79">
        <v>41891.714513888888</v>
      </c>
      <c r="E96" s="79" t="str">
        <f>IF(F96,[1]!dtmFileDateInfo(A96),"")</f>
        <v/>
      </c>
      <c r="F96" s="89" t="b">
        <v>0</v>
      </c>
      <c r="G96" s="77" t="str">
        <f>IF(F96,CONCATENATE("call XCopyF.CMD ",[1]!QuoteSpaces(DLLServices2_Config_Inventory_Master_Copy),CHAR(32),[1]!QuoteSpaces(A96)," /f /v /r /y"),"")</f>
        <v/>
      </c>
    </row>
    <row r="97" spans="1:7" x14ac:dyDescent="0.25">
      <c r="A97" s="77" t="s">
        <v>315</v>
      </c>
      <c r="B97" s="77" t="s">
        <v>538</v>
      </c>
      <c r="C97" s="78">
        <v>2976</v>
      </c>
      <c r="D97" s="79">
        <v>41891.714490740742</v>
      </c>
      <c r="E97" s="79" t="str">
        <f>IF(F97,[1]!dtmFileDateInfo(A97),"")</f>
        <v/>
      </c>
      <c r="F97" s="89" t="b">
        <v>0</v>
      </c>
      <c r="G97" s="77" t="str">
        <f>IF(F97,CONCATENATE("call XCopyF.CMD ",[1]!QuoteSpaces(DLLServices2_Config_Inventory_Master_Copy),CHAR(32),[1]!QuoteSpaces(A97)," /f /v /r /y"),"")</f>
        <v/>
      </c>
    </row>
    <row r="98" spans="1:7" x14ac:dyDescent="0.25">
      <c r="A98" s="77" t="s">
        <v>415</v>
      </c>
      <c r="B98" s="77" t="s">
        <v>438</v>
      </c>
      <c r="C98" s="78">
        <v>2976</v>
      </c>
      <c r="D98" s="79">
        <v>41891.672847222224</v>
      </c>
      <c r="E98" s="79" t="str">
        <f>IF(F98,[1]!dtmFileDateInfo(A98),"")</f>
        <v/>
      </c>
      <c r="F98" s="89" t="b">
        <v>0</v>
      </c>
      <c r="G98" s="77" t="str">
        <f>IF(F98,CONCATENATE("call XCopyF.CMD ",[1]!QuoteSpaces(DLLServices2_Config_Inventory_Master_Copy),CHAR(32),[1]!QuoteSpaces(A98)," /f /v /r /y"),"")</f>
        <v/>
      </c>
    </row>
    <row r="99" spans="1:7" x14ac:dyDescent="0.25">
      <c r="A99" s="77" t="s">
        <v>318</v>
      </c>
      <c r="B99" s="77" t="s">
        <v>535</v>
      </c>
      <c r="C99" s="78">
        <v>2976</v>
      </c>
      <c r="D99" s="79">
        <v>41891.672847222224</v>
      </c>
      <c r="E99" s="79" t="str">
        <f>IF(F99,[1]!dtmFileDateInfo(A99),"")</f>
        <v/>
      </c>
      <c r="F99" s="89" t="b">
        <v>0</v>
      </c>
      <c r="G99" s="77" t="str">
        <f>IF(F99,CONCATENATE("call XCopyF.CMD ",[1]!QuoteSpaces(DLLServices2_Config_Inventory_Master_Copy),CHAR(32),[1]!QuoteSpaces(A99)," /f /v /r /y"),"")</f>
        <v/>
      </c>
    </row>
    <row r="100" spans="1:7" x14ac:dyDescent="0.25">
      <c r="A100" s="77" t="s">
        <v>409</v>
      </c>
      <c r="B100" s="77" t="s">
        <v>444</v>
      </c>
      <c r="C100" s="78">
        <v>2976</v>
      </c>
      <c r="D100" s="79">
        <v>41840.902037037034</v>
      </c>
      <c r="E100" s="79" t="str">
        <f>IF(F100,[1]!dtmFileDateInfo(A100),"")</f>
        <v/>
      </c>
      <c r="F100" s="89" t="b">
        <v>0</v>
      </c>
      <c r="G100" s="77" t="str">
        <f>IF(F100,CONCATENATE("call XCopyF.CMD ",[1]!QuoteSpaces(DLLServices2_Config_Inventory_Master_Copy),CHAR(32),[1]!QuoteSpaces(A100)," /f /v /r /y"),"")</f>
        <v/>
      </c>
    </row>
    <row r="101" spans="1:7" x14ac:dyDescent="0.25">
      <c r="A101" s="77" t="s">
        <v>416</v>
      </c>
      <c r="B101" s="77" t="s">
        <v>437</v>
      </c>
      <c r="C101" s="78">
        <v>2976</v>
      </c>
      <c r="D101" s="79">
        <v>41832.649212962962</v>
      </c>
      <c r="E101" s="79" t="str">
        <f>IF(F101,[1]!dtmFileDateInfo(A101),"")</f>
        <v/>
      </c>
      <c r="F101" s="89" t="b">
        <v>0</v>
      </c>
      <c r="G101" s="77" t="str">
        <f>IF(F101,CONCATENATE("call XCopyF.CMD ",[1]!QuoteSpaces(DLLServices2_Config_Inventory_Master_Copy),CHAR(32),[1]!QuoteSpaces(A101)," /f /v /r /y"),"")</f>
        <v/>
      </c>
    </row>
    <row r="102" spans="1:7" x14ac:dyDescent="0.25">
      <c r="A102" s="77" t="s">
        <v>377</v>
      </c>
      <c r="B102" s="77" t="s">
        <v>476</v>
      </c>
      <c r="C102" s="78">
        <v>2976</v>
      </c>
      <c r="D102" s="79">
        <v>41832.649212962962</v>
      </c>
      <c r="E102" s="79" t="str">
        <f>IF(F102,[1]!dtmFileDateInfo(A102),"")</f>
        <v/>
      </c>
      <c r="F102" s="89" t="b">
        <v>0</v>
      </c>
      <c r="G102" s="77" t="str">
        <f>IF(F102,CONCATENATE("call XCopyF.CMD ",[1]!QuoteSpaces(DLLServices2_Config_Inventory_Master_Copy),CHAR(32),[1]!QuoteSpaces(A102)," /f /v /r /y"),"")</f>
        <v/>
      </c>
    </row>
    <row r="103" spans="1:7" x14ac:dyDescent="0.25">
      <c r="A103" s="77" t="s">
        <v>376</v>
      </c>
      <c r="B103" s="77" t="s">
        <v>477</v>
      </c>
      <c r="C103" s="78">
        <v>2976</v>
      </c>
      <c r="D103" s="79">
        <v>41832.649212962962</v>
      </c>
      <c r="E103" s="79" t="str">
        <f>IF(F103,[1]!dtmFileDateInfo(A103),"")</f>
        <v/>
      </c>
      <c r="F103" s="89" t="b">
        <v>0</v>
      </c>
      <c r="G103" s="77" t="str">
        <f>IF(F103,CONCATENATE("call XCopyF.CMD ",[1]!QuoteSpaces(DLLServices2_Config_Inventory_Master_Copy),CHAR(32),[1]!QuoteSpaces(A103)," /f /v /r /y"),"")</f>
        <v/>
      </c>
    </row>
    <row r="104" spans="1:7" x14ac:dyDescent="0.25">
      <c r="A104" s="77" t="s">
        <v>375</v>
      </c>
      <c r="B104" s="77" t="s">
        <v>478</v>
      </c>
      <c r="C104" s="78">
        <v>2976</v>
      </c>
      <c r="D104" s="79">
        <v>41832.649212962962</v>
      </c>
      <c r="E104" s="79" t="str">
        <f>IF(F104,[1]!dtmFileDateInfo(A104),"")</f>
        <v/>
      </c>
      <c r="F104" s="89" t="b">
        <v>0</v>
      </c>
      <c r="G104" s="77" t="str">
        <f>IF(F104,CONCATENATE("call XCopyF.CMD ",[1]!QuoteSpaces(DLLServices2_Config_Inventory_Master_Copy),CHAR(32),[1]!QuoteSpaces(A104)," /f /v /r /y"),"")</f>
        <v/>
      </c>
    </row>
    <row r="105" spans="1:7" x14ac:dyDescent="0.25">
      <c r="A105" s="77" t="s">
        <v>319</v>
      </c>
      <c r="B105" s="77" t="s">
        <v>534</v>
      </c>
      <c r="C105" s="78">
        <v>2976</v>
      </c>
      <c r="D105" s="79">
        <v>41832.649212962962</v>
      </c>
      <c r="E105" s="79" t="str">
        <f>IF(F105,[1]!dtmFileDateInfo(A105),"")</f>
        <v/>
      </c>
      <c r="F105" s="89" t="b">
        <v>0</v>
      </c>
      <c r="G105" s="77" t="str">
        <f>IF(F105,CONCATENATE("call XCopyF.CMD ",[1]!QuoteSpaces(DLLServices2_Config_Inventory_Master_Copy),CHAR(32),[1]!QuoteSpaces(A105)," /f /v /r /y"),"")</f>
        <v/>
      </c>
    </row>
    <row r="106" spans="1:7" x14ac:dyDescent="0.25">
      <c r="A106" s="77" t="s">
        <v>412</v>
      </c>
      <c r="B106" s="77" t="s">
        <v>441</v>
      </c>
      <c r="C106" s="78">
        <v>2976</v>
      </c>
      <c r="D106" s="79">
        <v>41813.462777777779</v>
      </c>
      <c r="E106" s="79" t="str">
        <f>IF(F106,[1]!dtmFileDateInfo(A106),"")</f>
        <v/>
      </c>
      <c r="F106" s="89" t="b">
        <v>0</v>
      </c>
      <c r="G106" s="77" t="str">
        <f>IF(F106,CONCATENATE("call XCopyF.CMD ",[1]!QuoteSpaces(DLLServices2_Config_Inventory_Master_Copy),CHAR(32),[1]!QuoteSpaces(A106)," /f /v /r /y"),"")</f>
        <v/>
      </c>
    </row>
    <row r="107" spans="1:7" x14ac:dyDescent="0.25">
      <c r="A107" s="77" t="s">
        <v>411</v>
      </c>
      <c r="B107" s="77" t="s">
        <v>442</v>
      </c>
      <c r="C107" s="78">
        <v>2976</v>
      </c>
      <c r="D107" s="79">
        <v>41813.462777777779</v>
      </c>
      <c r="E107" s="79" t="str">
        <f>IF(F107,[1]!dtmFileDateInfo(A107),"")</f>
        <v/>
      </c>
      <c r="F107" s="89" t="b">
        <v>0</v>
      </c>
      <c r="G107" s="77" t="str">
        <f>IF(F107,CONCATENATE("call XCopyF.CMD ",[1]!QuoteSpaces(DLLServices2_Config_Inventory_Master_Copy),CHAR(32),[1]!QuoteSpaces(A107)," /f /v /r /y"),"")</f>
        <v/>
      </c>
    </row>
    <row r="108" spans="1:7" x14ac:dyDescent="0.25">
      <c r="A108" s="77" t="s">
        <v>410</v>
      </c>
      <c r="B108" s="77" t="s">
        <v>443</v>
      </c>
      <c r="C108" s="78">
        <v>2976</v>
      </c>
      <c r="D108" s="79">
        <v>41813.462777777779</v>
      </c>
      <c r="E108" s="79" t="str">
        <f>IF(F108,[1]!dtmFileDateInfo(A108),"")</f>
        <v/>
      </c>
      <c r="F108" s="89" t="b">
        <v>0</v>
      </c>
      <c r="G108" s="77" t="str">
        <f>IF(F108,CONCATENATE("call XCopyF.CMD ",[1]!QuoteSpaces(DLLServices2_Config_Inventory_Master_Copy),CHAR(32),[1]!QuoteSpaces(A108)," /f /v /r /y"),"")</f>
        <v/>
      </c>
    </row>
    <row r="109" spans="1:7" x14ac:dyDescent="0.25">
      <c r="A109" s="77" t="s">
        <v>408</v>
      </c>
      <c r="B109" s="77" t="s">
        <v>445</v>
      </c>
      <c r="C109" s="78">
        <v>2976</v>
      </c>
      <c r="D109" s="79">
        <v>41813.462777777779</v>
      </c>
      <c r="E109" s="79" t="str">
        <f>IF(F109,[1]!dtmFileDateInfo(A109),"")</f>
        <v/>
      </c>
      <c r="F109" s="89" t="b">
        <v>0</v>
      </c>
      <c r="G109" s="77" t="str">
        <f>IF(F109,CONCATENATE("call XCopyF.CMD ",[1]!QuoteSpaces(DLLServices2_Config_Inventory_Master_Copy),CHAR(32),[1]!QuoteSpaces(A109)," /f /v /r /y"),"")</f>
        <v/>
      </c>
    </row>
    <row r="110" spans="1:7" x14ac:dyDescent="0.25">
      <c r="A110" s="77" t="s">
        <v>407</v>
      </c>
      <c r="B110" s="77" t="s">
        <v>446</v>
      </c>
      <c r="C110" s="78">
        <v>2976</v>
      </c>
      <c r="D110" s="79">
        <v>41813.462777777779</v>
      </c>
      <c r="E110" s="79" t="str">
        <f>IF(F110,[1]!dtmFileDateInfo(A110),"")</f>
        <v/>
      </c>
      <c r="F110" s="89" t="b">
        <v>0</v>
      </c>
      <c r="G110" s="77" t="str">
        <f>IF(F110,CONCATENATE("call XCopyF.CMD ",[1]!QuoteSpaces(DLLServices2_Config_Inventory_Master_Copy),CHAR(32),[1]!QuoteSpaces(A110)," /f /v /r /y"),"")</f>
        <v/>
      </c>
    </row>
    <row r="111" spans="1:7" x14ac:dyDescent="0.25">
      <c r="A111" s="77" t="s">
        <v>406</v>
      </c>
      <c r="B111" s="77" t="s">
        <v>447</v>
      </c>
      <c r="C111" s="78">
        <v>2976</v>
      </c>
      <c r="D111" s="79">
        <v>41812.710462962961</v>
      </c>
      <c r="E111" s="79" t="str">
        <f>IF(F111,[1]!dtmFileDateInfo(A111),"")</f>
        <v/>
      </c>
      <c r="F111" s="89" t="b">
        <v>0</v>
      </c>
      <c r="G111" s="77" t="str">
        <f>IF(F111,CONCATENATE("call XCopyF.CMD ",[1]!QuoteSpaces(DLLServices2_Config_Inventory_Master_Copy),CHAR(32),[1]!QuoteSpaces(A111)," /f /v /r /y"),"")</f>
        <v/>
      </c>
    </row>
    <row r="112" spans="1:7" x14ac:dyDescent="0.25">
      <c r="A112" s="77" t="s">
        <v>405</v>
      </c>
      <c r="B112" s="77" t="s">
        <v>448</v>
      </c>
      <c r="C112" s="78">
        <v>2976</v>
      </c>
      <c r="D112" s="79">
        <v>41812.710462962961</v>
      </c>
      <c r="E112" s="79" t="str">
        <f>IF(F112,[1]!dtmFileDateInfo(A112),"")</f>
        <v/>
      </c>
      <c r="F112" s="89" t="b">
        <v>0</v>
      </c>
      <c r="G112" s="77" t="str">
        <f>IF(F112,CONCATENATE("call XCopyF.CMD ",[1]!QuoteSpaces(DLLServices2_Config_Inventory_Master_Copy),CHAR(32),[1]!QuoteSpaces(A112)," /f /v /r /y"),"")</f>
        <v/>
      </c>
    </row>
    <row r="113" spans="1:7" x14ac:dyDescent="0.25">
      <c r="A113" s="77" t="s">
        <v>404</v>
      </c>
      <c r="B113" s="77" t="s">
        <v>449</v>
      </c>
      <c r="C113" s="78">
        <v>2976</v>
      </c>
      <c r="D113" s="79">
        <v>41812.710462962961</v>
      </c>
      <c r="E113" s="79" t="str">
        <f>IF(F113,[1]!dtmFileDateInfo(A113),"")</f>
        <v/>
      </c>
      <c r="F113" s="89" t="b">
        <v>0</v>
      </c>
      <c r="G113" s="77" t="str">
        <f>IF(F113,CONCATENATE("call XCopyF.CMD ",[1]!QuoteSpaces(DLLServices2_Config_Inventory_Master_Copy),CHAR(32),[1]!QuoteSpaces(A113)," /f /v /r /y"),"")</f>
        <v/>
      </c>
    </row>
    <row r="114" spans="1:7" x14ac:dyDescent="0.25">
      <c r="A114" s="77" t="s">
        <v>403</v>
      </c>
      <c r="B114" s="77" t="s">
        <v>450</v>
      </c>
      <c r="C114" s="78">
        <v>2976</v>
      </c>
      <c r="D114" s="79">
        <v>41812.710462962961</v>
      </c>
      <c r="E114" s="79" t="str">
        <f>IF(F114,[1]!dtmFileDateInfo(A114),"")</f>
        <v/>
      </c>
      <c r="F114" s="89" t="b">
        <v>0</v>
      </c>
      <c r="G114" s="77" t="str">
        <f>IF(F114,CONCATENATE("call XCopyF.CMD ",[1]!QuoteSpaces(DLLServices2_Config_Inventory_Master_Copy),CHAR(32),[1]!QuoteSpaces(A114)," /f /v /r /y"),"")</f>
        <v/>
      </c>
    </row>
    <row r="115" spans="1:7" x14ac:dyDescent="0.25">
      <c r="A115" s="77" t="s">
        <v>402</v>
      </c>
      <c r="B115" s="77" t="s">
        <v>451</v>
      </c>
      <c r="C115" s="78">
        <v>2976</v>
      </c>
      <c r="D115" s="79">
        <v>41812.710462962961</v>
      </c>
      <c r="E115" s="79" t="str">
        <f>IF(F115,[1]!dtmFileDateInfo(A115),"")</f>
        <v/>
      </c>
      <c r="F115" s="89" t="b">
        <v>0</v>
      </c>
      <c r="G115" s="77" t="str">
        <f>IF(F115,CONCATENATE("call XCopyF.CMD ",[1]!QuoteSpaces(DLLServices2_Config_Inventory_Master_Copy),CHAR(32),[1]!QuoteSpaces(A115)," /f /v /r /y"),"")</f>
        <v/>
      </c>
    </row>
  </sheetData>
  <sortState ref="A2:F106">
    <sortCondition descending="1" ref="F2:F106"/>
    <sortCondition ref="D2:D106"/>
  </sortState>
  <mergeCells count="7">
    <mergeCell ref="B5:C5"/>
    <mergeCell ref="B6:C6"/>
    <mergeCell ref="B7:C7"/>
    <mergeCell ref="B8:C8"/>
    <mergeCell ref="B2:C2"/>
    <mergeCell ref="B3:C3"/>
    <mergeCell ref="B4:C4"/>
  </mergeCells>
  <conditionalFormatting sqref="A11:D11">
    <cfRule type="expression" dxfId="68" priority="40">
      <formula>$E11=DLLServices2_Config_Inventory_Today</formula>
    </cfRule>
    <cfRule type="expression" dxfId="67" priority="45">
      <formula>$D11=DLLServices2_Config_Inventory_Copy_in_bin</formula>
    </cfRule>
    <cfRule type="expression" dxfId="66" priority="52">
      <formula>$D11=DLLServices2_Config_Inventory_Third_Newest</formula>
    </cfRule>
    <cfRule type="expression" dxfId="65" priority="55">
      <formula>$D11=DLLServices2_Config_Inventory_Newest</formula>
    </cfRule>
    <cfRule type="expression" dxfId="64" priority="56">
      <formula>$D11=DLLServices2_Config_Inventory_Next_Newest</formula>
    </cfRule>
  </conditionalFormatting>
  <conditionalFormatting sqref="E11">
    <cfRule type="expression" dxfId="50" priority="35">
      <formula>$E11=DLLServices2_Config_Inventory_Today</formula>
    </cfRule>
    <cfRule type="expression" dxfId="49" priority="36">
      <formula>$D11=DLLServices2_Config_Inventory_Copy_in_bin</formula>
    </cfRule>
    <cfRule type="expression" dxfId="48" priority="37">
      <formula>$D11=DLLServices2_Config_Inventory_Third_Newest</formula>
    </cfRule>
    <cfRule type="expression" dxfId="47" priority="38">
      <formula>$D11=DLLServices2_Config_Inventory_Newest</formula>
    </cfRule>
    <cfRule type="expression" dxfId="46" priority="39">
      <formula>$D11=DLLServices2_Config_Inventory_Next_Newest</formula>
    </cfRule>
  </conditionalFormatting>
  <conditionalFormatting sqref="A12:D115">
    <cfRule type="expression" dxfId="41" priority="26">
      <formula>$E12=DLLServices2_Config_Inventory_Today</formula>
    </cfRule>
    <cfRule type="expression" dxfId="40" priority="27">
      <formula>$D12=DLLServices2_Config_Inventory_Copy_in_bin</formula>
    </cfRule>
    <cfRule type="expression" dxfId="39" priority="28">
      <formula>$D12=DLLServices2_Config_Inventory_Third_Newest</formula>
    </cfRule>
    <cfRule type="expression" dxfId="38" priority="29">
      <formula>$D12=DLLServices2_Config_Inventory_Newest</formula>
    </cfRule>
    <cfRule type="expression" dxfId="37" priority="30">
      <formula>$D12=DLLServices2_Config_Inventory_Next_Newest</formula>
    </cfRule>
  </conditionalFormatting>
  <conditionalFormatting sqref="E12:E115">
    <cfRule type="expression" dxfId="36" priority="21">
      <formula>$E12=DLLServices2_Config_Inventory_Today</formula>
    </cfRule>
    <cfRule type="expression" dxfId="35" priority="22">
      <formula>$D12=DLLServices2_Config_Inventory_Copy_in_bin</formula>
    </cfRule>
    <cfRule type="expression" dxfId="34" priority="23">
      <formula>$D12=DLLServices2_Config_Inventory_Third_Newest</formula>
    </cfRule>
    <cfRule type="expression" dxfId="33" priority="24">
      <formula>$D12=DLLServices2_Config_Inventory_Newest</formula>
    </cfRule>
    <cfRule type="expression" dxfId="32" priority="25">
      <formula>$D12=DLLServices2_Config_Inventory_Next_Newest</formula>
    </cfRule>
  </conditionalFormatting>
  <conditionalFormatting sqref="F11">
    <cfRule type="expression" dxfId="31" priority="16">
      <formula>$E11=DLLServices2_Config_Inventory_Today</formula>
    </cfRule>
    <cfRule type="expression" dxfId="30" priority="17">
      <formula>$D11=DLLServices2_Config_Inventory_Copy_in_bin</formula>
    </cfRule>
    <cfRule type="expression" dxfId="29" priority="18">
      <formula>$D11=DLLServices2_Config_Inventory_Third_Newest</formula>
    </cfRule>
    <cfRule type="expression" dxfId="28" priority="19">
      <formula>$D11=DLLServices2_Config_Inventory_Newest</formula>
    </cfRule>
    <cfRule type="expression" dxfId="27" priority="20">
      <formula>$D11=DLLServices2_Config_Inventory_Next_Newest</formula>
    </cfRule>
  </conditionalFormatting>
  <conditionalFormatting sqref="F12:F115">
    <cfRule type="expression" dxfId="26" priority="11">
      <formula>$E12=DLLServices2_Config_Inventory_Today</formula>
    </cfRule>
    <cfRule type="expression" dxfId="25" priority="12">
      <formula>$D12=DLLServices2_Config_Inventory_Copy_in_bin</formula>
    </cfRule>
    <cfRule type="expression" dxfId="24" priority="13">
      <formula>$D12=DLLServices2_Config_Inventory_Third_Newest</formula>
    </cfRule>
    <cfRule type="expression" dxfId="23" priority="14">
      <formula>$D12=DLLServices2_Config_Inventory_Newest</formula>
    </cfRule>
    <cfRule type="expression" dxfId="22" priority="15">
      <formula>$D12=DLLServices2_Config_Inventory_Next_Newest</formula>
    </cfRule>
  </conditionalFormatting>
  <conditionalFormatting sqref="G11">
    <cfRule type="expression" dxfId="21" priority="6">
      <formula>$E11=DLLServices2_Config_Inventory_Today</formula>
    </cfRule>
    <cfRule type="expression" dxfId="20" priority="7">
      <formula>$D11=DLLServices2_Config_Inventory_Copy_in_bin</formula>
    </cfRule>
    <cfRule type="expression" dxfId="19" priority="8">
      <formula>$D11=DLLServices2_Config_Inventory_Third_Newest</formula>
    </cfRule>
    <cfRule type="expression" dxfId="18" priority="9">
      <formula>$D11=DLLServices2_Config_Inventory_Newest</formula>
    </cfRule>
    <cfRule type="expression" dxfId="17" priority="10">
      <formula>$D11=DLLServices2_Config_Inventory_Next_Newest</formula>
    </cfRule>
  </conditionalFormatting>
  <conditionalFormatting sqref="G12:G115">
    <cfRule type="expression" dxfId="16" priority="1">
      <formula>$E12=DLLServices2_Config_Inventory_Today</formula>
    </cfRule>
    <cfRule type="expression" dxfId="15" priority="2">
      <formula>$D12=DLLServices2_Config_Inventory_Copy_in_bin</formula>
    </cfRule>
    <cfRule type="expression" dxfId="14" priority="3">
      <formula>$D12=DLLServices2_Config_Inventory_Third_Newest</formula>
    </cfRule>
    <cfRule type="expression" dxfId="13" priority="4">
      <formula>$D12=DLLServices2_Config_Inventory_Newest</formula>
    </cfRule>
    <cfRule type="expression" dxfId="12" priority="5">
      <formula>$D12=DLLServices2_Config_Inventory_Next_Newest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27</vt:i4>
      </vt:variant>
    </vt:vector>
  </HeadingPairs>
  <TitlesOfParts>
    <vt:vector size="34" baseType="lpstr">
      <vt:lpstr>Sheet1</vt:lpstr>
      <vt:lpstr>HexFormatDecoration</vt:lpstr>
      <vt:lpstr>NumericFormats Constants</vt:lpstr>
      <vt:lpstr>Inventory_WWDisplayAssemblyInfo</vt:lpstr>
      <vt:lpstr>SharedUtl4 Versions</vt:lpstr>
      <vt:lpstr>Inventory_DllServices2_ENIGMA</vt:lpstr>
      <vt:lpstr>Inventory_DllServices2_CFG_ENIG</vt:lpstr>
      <vt:lpstr>DLLServices2_Config_Inventory_Copy_in_bin</vt:lpstr>
      <vt:lpstr>DLLServices2_Config_Inventory_Details</vt:lpstr>
      <vt:lpstr>DLLServices2_Config_Inventory_Labels</vt:lpstr>
      <vt:lpstr>DLLServices2_Config_Inventory_Master_Copy</vt:lpstr>
      <vt:lpstr>DLLServices2_Config_Inventory_Newest</vt:lpstr>
      <vt:lpstr>DLLServices2_Config_Inventory_Next_Newest</vt:lpstr>
      <vt:lpstr>DLLServices2_Config_Inventory_Third_Newest</vt:lpstr>
      <vt:lpstr>DLLServices2_Config_Inventory_Today</vt:lpstr>
      <vt:lpstr>Glyphs_LC</vt:lpstr>
      <vt:lpstr>Glyphs_LC___Glyphs_UC</vt:lpstr>
      <vt:lpstr>Glyphs_UC</vt:lpstr>
      <vt:lpstr>Longest_HexFormatDecoration_MemberName</vt:lpstr>
      <vt:lpstr>None</vt:lpstr>
      <vt:lpstr>NumericFormatConstants_Col_Labels</vt:lpstr>
      <vt:lpstr>NumericFormatConstants_Details</vt:lpstr>
      <vt:lpstr>NumericFormatConstants_Row_Labels</vt:lpstr>
      <vt:lpstr>Prefix_Oh_LC</vt:lpstr>
      <vt:lpstr>Prefix_Oh_LC___Prefix_Oh_UC___Prefix_Ox_LC___Prefix_Ox_UC</vt:lpstr>
      <vt:lpstr>Prefix_Oh_UC</vt:lpstr>
      <vt:lpstr>Prefix_Ox_LC</vt:lpstr>
      <vt:lpstr>Prefix_Ox_UC</vt:lpstr>
      <vt:lpstr>'NumericFormats Constants'!Print_Area</vt:lpstr>
      <vt:lpstr>'NumericFormats Constants'!Print_Titles</vt:lpstr>
      <vt:lpstr>Suffix_h_LC</vt:lpstr>
      <vt:lpstr>Suffix_h_LC___Suffix_h_UC</vt:lpstr>
      <vt:lpstr>Suffix_h_UC</vt:lpstr>
      <vt:lpstr>WWDisplayAssemblyInfo_bin_directory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Cross Reference of Standard Constants</dc:title>
  <dc:subject>Conversion from SharedUtl2 to DllServices</dc:subject>
  <dc:creator>David A. Gray</dc:creator>
  <cp:lastModifiedBy>David A. Gray</cp:lastModifiedBy>
  <cp:lastPrinted>2016-06-04T00:23:05Z</cp:lastPrinted>
  <dcterms:created xsi:type="dcterms:W3CDTF">2016-06-03T05:15:14Z</dcterms:created>
  <dcterms:modified xsi:type="dcterms:W3CDTF">2016-06-07T04:44:12Z</dcterms:modified>
</cp:coreProperties>
</file>