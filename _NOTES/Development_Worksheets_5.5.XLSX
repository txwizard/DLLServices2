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queryTables/queryTable1.xml" ContentType="application/vnd.openxmlformats-officedocument.spreadsheetml.queryTable+xml"/>
  <Override PartName="/xl/comments2.xml" ContentType="application/vnd.openxmlformats-officedocument.spreadsheetml.comments+xml"/>
  <Override PartName="/xl/queryTables/queryTable2.xml" ContentType="application/vnd.openxmlformats-officedocument.spreadsheetml.queryTable+xml"/>
  <Override PartName="/xl/comments3.xml" ContentType="application/vnd.openxmlformats-officedocument.spreadsheetml.comments+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9185" windowHeight="7230" firstSheet="29" activeTab="33"/>
  </bookViews>
  <sheets>
    <sheet name="Index" sheetId="6" r:id="rId1"/>
    <sheet name="ENIGMA Application Events 1" sheetId="1" r:id="rId2"/>
    <sheet name="ENIGMA Application Events 2" sheetId="5" r:id="rId3"/>
    <sheet name="ENIGMA Application Events 3" sheetId="11" r:id="rId4"/>
    <sheet name="ENIGMA Application Events 4" sheetId="13" r:id="rId5"/>
    <sheet name="ENIGMA Application Events 5" sheetId="14" r:id="rId6"/>
    <sheet name="ENIGMA Application Events 6" sheetId="18" r:id="rId7"/>
    <sheet name="ENIGMA Application Events 7" sheetId="23" r:id="rId8"/>
    <sheet name="WWLogger SxS Event Log 6" sheetId="17" r:id="rId9"/>
    <sheet name="WWLogger SxS Event Log 7" sheetId="2" r:id="rId10"/>
    <sheet name="WWLogger IMPORT" sheetId="16" r:id="rId11"/>
    <sheet name="Windows Event Log IMPORT" sheetId="3" r:id="rId12"/>
    <sheet name="Tests 6 and 7, 1 and 2" sheetId="7" r:id="rId13"/>
    <sheet name="Test 3" sheetId="8" r:id="rId14"/>
    <sheet name="Test 8" sheetId="9" r:id="rId15"/>
    <sheet name="Complete Run, Paged" sheetId="10" r:id="rId16"/>
    <sheet name="RedirectedStreamTester Strings" sheetId="12" r:id="rId17"/>
    <sheet name="Substrings for Shell Scripts" sheetId="15" r:id="rId18"/>
    <sheet name="WWConAid Standard Handles" sheetId="19" r:id="rId19"/>
    <sheet name="ShsStandardHandle" sheetId="36" r:id="rId20"/>
    <sheet name="WWConAid Strings" sheetId="20" r:id="rId21"/>
    <sheet name="asArgInfo" sheetId="24" r:id="rId22"/>
    <sheet name="Shell Script Shortcuts" sheetId="25" r:id="rId23"/>
    <sheet name="MakeShortcut Variables" sheetId="26" r:id="rId24"/>
    <sheet name="WWLOGGER Status Codes" sheetId="27" r:id="rId25"/>
    <sheet name="Baked Strings to Resources" sheetId="28" r:id="rId26"/>
    <sheet name="WaitForCarbonUnit Buffer Usage" sheetId="29" r:id="rId27"/>
    <sheet name="HereDocs Exception Codes" sheetId="30" r:id="rId28"/>
    <sheet name="WWCONAID_TESTS" sheetId="31" r:id="rId29"/>
    <sheet name="DllServices_Catalog" sheetId="32" r:id="rId30"/>
    <sheet name="PESubsystemID Mappings" sheetId="33" r:id="rId31"/>
    <sheet name="WWLogger2_Catalog_ENIGMA" sheetId="34" r:id="rId32"/>
    <sheet name="P6VersionInfo_dll_Catalog_ENIGM" sheetId="35" r:id="rId33"/>
    <sheet name="Native DLL Dependencies" sheetId="37" r:id="rId34"/>
  </sheets>
  <externalReferences>
    <externalReference r:id="rId35"/>
  </externalReferences>
  <definedNames>
    <definedName name="_xlnm._FilterDatabase" localSheetId="25" hidden="1">'Baked Strings to Resources'!$A$1:$E$8</definedName>
    <definedName name="APPLICATION_ERROR_MASK">'HereDocs Exception Codes'!$E$1</definedName>
    <definedName name="Application_ZAPHOD42_20140305_004026" localSheetId="2">'ENIGMA Application Events 2'!$A$2:$I$210</definedName>
    <definedName name="Application_ZAPHOD42_20140305_004026" localSheetId="3">'ENIGMA Application Events 3'!$A$2:$I$176</definedName>
    <definedName name="Application_ZAPHOD42_20140305_004026" localSheetId="5">'ENIGMA Application Events 5'!$A$2:$I$61</definedName>
    <definedName name="Application_ZAPHOD42_20140305_004026" localSheetId="6">'ENIGMA Application Events 6'!$A$2:$I$218</definedName>
    <definedName name="Application_ZAPHOD42_20140305_004026" localSheetId="11">'Windows Event Log IMPORT'!$A$2:$I$102</definedName>
    <definedName name="ApplicationHelpers2">'WWLogger SxS Event Log 7'!$B$1</definedName>
    <definedName name="ApplicationHelpers2_Source_File_Data">'WWLogger SxS Event Log 7'!$A$6:$C$16</definedName>
    <definedName name="ApplicationHelpers2_Source_File_Labels">'WWLogger SxS Event Log 7'!$A$5:$C$5</definedName>
    <definedName name="Dllservices__Version_5.5">DllServices_Catalog!$B$5</definedName>
    <definedName name="Dllservices__Version_5.5_Backup_ModDate">DllServices_Catalog!$E$5</definedName>
    <definedName name="Dllservices__Version_5.6">DllServices_Catalog!$B$4</definedName>
    <definedName name="Dllservices__Version_5.6_Backup_ModDate">DllServices_Catalog!$E$4</definedName>
    <definedName name="Dllservices__Version_5.7">DllServices_Catalog!$B$3</definedName>
    <definedName name="Dllservices__Version_5.7_Backup_ModDate">DllServices_Catalog!$E$3</definedName>
    <definedName name="DLLServices2">'WWLogger SxS Event Log 7'!$B$2</definedName>
    <definedName name="DLLServices2_Library_Build_Log">DllServices_Catalog!$B$2</definedName>
    <definedName name="DLLServices2_Source_File_Data">'WWLogger SxS Event Log 7'!$D$6:$F$24</definedName>
    <definedName name="DLLServices2_Source_File_Labels">'WWLogger SxS Event Log 7'!$D$5:$F$5</definedName>
    <definedName name="DLLServicesBuildLogModifiedDate">DllServices_Catalog!$E$2</definedName>
    <definedName name="DWORD">'WWConAid Standard Handles'!$P$3</definedName>
    <definedName name="HAVE_ARG_SHORTCUTARGS" localSheetId="21">asArgInfo!$G$6</definedName>
    <definedName name="HAVE_ARG_SHORTCUTFILE" localSheetId="21">asArgInfo!$G$3</definedName>
    <definedName name="HAVE_ARG_SHORTCUTTARG" localSheetId="21">asArgInfo!$G$4</definedName>
    <definedName name="HAVE_ARG_SHORTCUTWDIR" localSheetId="21">asArgInfo!$G$5</definedName>
    <definedName name="Longest_Label_Symbol">'WWConAid Standard Handles'!$C$19</definedName>
    <definedName name="PSTFileBackups" localSheetId="10">'WWLogger IMPORT'!$A$2:$B$22</definedName>
    <definedName name="Scripts_Directory_name">'Shell Script Shortcuts'!$B$1</definedName>
    <definedName name="Shortcut_Maker_Command">'Shell Script Shortcuts'!$B$2</definedName>
    <definedName name="Solution_Directory_Name">DllServices_Catalog!$B$1</definedName>
  </definedNames>
  <calcPr calcId="145621"/>
</workbook>
</file>

<file path=xl/calcChain.xml><?xml version="1.0" encoding="utf-8"?>
<calcChain xmlns="http://schemas.openxmlformats.org/spreadsheetml/2006/main">
  <c r="E50" i="37" l="1"/>
  <c r="E49" i="37"/>
  <c r="E48" i="37"/>
  <c r="E47" i="37"/>
  <c r="E46" i="37"/>
  <c r="E45" i="37"/>
  <c r="E44" i="37"/>
  <c r="E43" i="37"/>
  <c r="E42" i="37"/>
  <c r="E41" i="37"/>
  <c r="E40" i="37"/>
  <c r="E39" i="37"/>
  <c r="E38" i="37"/>
  <c r="E37" i="37"/>
  <c r="E36" i="37"/>
  <c r="E35" i="37"/>
  <c r="E34" i="37"/>
  <c r="E33" i="37"/>
  <c r="E32" i="37"/>
  <c r="E31" i="37"/>
  <c r="E30" i="37"/>
  <c r="E29" i="37"/>
  <c r="E28" i="37"/>
  <c r="E27" i="37"/>
  <c r="E26" i="37"/>
  <c r="E25" i="37"/>
  <c r="E24" i="37"/>
  <c r="E23" i="37"/>
  <c r="E22" i="37"/>
  <c r="E21" i="37"/>
  <c r="E20" i="37"/>
  <c r="E19" i="37"/>
  <c r="E18" i="37"/>
  <c r="E17" i="37"/>
  <c r="E16" i="37"/>
  <c r="E15" i="37"/>
  <c r="E14" i="37"/>
  <c r="E13" i="37"/>
  <c r="E12" i="37"/>
  <c r="E11" i="37"/>
  <c r="E10" i="37"/>
  <c r="E9" i="37"/>
  <c r="E8" i="37"/>
  <c r="K49" i="37"/>
  <c r="J49" i="37"/>
  <c r="H49" i="37"/>
  <c r="G49" i="37"/>
  <c r="F49" i="37"/>
  <c r="K13" i="37"/>
  <c r="J13" i="37"/>
  <c r="K18" i="37"/>
  <c r="J18" i="37"/>
  <c r="H18" i="37"/>
  <c r="K40" i="37"/>
  <c r="J40" i="37"/>
  <c r="H40" i="37"/>
  <c r="G40" i="37"/>
  <c r="G18" i="37"/>
  <c r="H13" i="37"/>
  <c r="F40" i="37"/>
  <c r="I40" i="37" s="1"/>
  <c r="F13" i="37"/>
  <c r="F18" i="37"/>
  <c r="I18" i="37" s="1"/>
  <c r="I50" i="37"/>
  <c r="I49" i="37"/>
  <c r="I48" i="37"/>
  <c r="I47" i="37"/>
  <c r="I46" i="37"/>
  <c r="I45" i="37"/>
  <c r="I44" i="37"/>
  <c r="I43" i="37"/>
  <c r="I42" i="37"/>
  <c r="I41" i="37"/>
  <c r="I39" i="37"/>
  <c r="I38" i="37"/>
  <c r="I37" i="37"/>
  <c r="I36" i="37"/>
  <c r="I35" i="37"/>
  <c r="I34" i="37"/>
  <c r="I33" i="37"/>
  <c r="I32" i="37"/>
  <c r="I31" i="37"/>
  <c r="I30" i="37"/>
  <c r="I29" i="37"/>
  <c r="I28" i="37"/>
  <c r="I27" i="37"/>
  <c r="I26" i="37"/>
  <c r="I25" i="37"/>
  <c r="I24" i="37"/>
  <c r="I23" i="37"/>
  <c r="I22" i="37"/>
  <c r="I21" i="37"/>
  <c r="I20" i="37"/>
  <c r="I19" i="37"/>
  <c r="I17" i="37"/>
  <c r="I16" i="37"/>
  <c r="I15" i="37"/>
  <c r="I14" i="37"/>
  <c r="I13" i="37"/>
  <c r="I12" i="37"/>
  <c r="I11" i="37"/>
  <c r="I10" i="37"/>
  <c r="I9" i="37"/>
  <c r="I8" i="37"/>
  <c r="B4" i="36" l="1"/>
  <c r="B5" i="36" s="1"/>
  <c r="B3" i="36"/>
  <c r="C4" i="36"/>
  <c r="C3" i="36"/>
  <c r="C5" i="36" l="1"/>
  <c r="B6" i="36"/>
  <c r="C6" i="36" s="1"/>
  <c r="B15" i="33"/>
  <c r="B14" i="33"/>
  <c r="B13" i="33"/>
  <c r="B12" i="33"/>
  <c r="B11" i="33"/>
  <c r="B10" i="33"/>
  <c r="B9" i="33"/>
  <c r="B8" i="33"/>
  <c r="B7" i="33"/>
  <c r="B6" i="33"/>
  <c r="B5" i="33"/>
  <c r="B4" i="33"/>
  <c r="B3" i="33"/>
  <c r="B2" i="33"/>
  <c r="F8" i="31" l="1"/>
  <c r="F7" i="31"/>
  <c r="F6" i="31"/>
  <c r="F5" i="31"/>
  <c r="F4" i="31"/>
  <c r="E8" i="31"/>
  <c r="E7" i="31"/>
  <c r="E6" i="31"/>
  <c r="E5" i="31"/>
  <c r="E4" i="31"/>
  <c r="D8" i="31"/>
  <c r="D7" i="31"/>
  <c r="D6" i="31"/>
  <c r="D5" i="31"/>
  <c r="D4" i="31"/>
  <c r="B9" i="35"/>
  <c r="C12" i="34"/>
  <c r="B32" i="35"/>
  <c r="B5" i="35"/>
  <c r="B28" i="35"/>
  <c r="B16" i="35"/>
  <c r="C27" i="35"/>
  <c r="C24" i="35"/>
  <c r="C34" i="35"/>
  <c r="C17" i="35"/>
  <c r="C19" i="34"/>
  <c r="C30" i="34"/>
  <c r="C18" i="34"/>
  <c r="C15" i="34"/>
  <c r="B4" i="34"/>
  <c r="B6" i="34"/>
  <c r="B19" i="35"/>
  <c r="B29" i="35"/>
  <c r="B18" i="35"/>
  <c r="B23" i="35"/>
  <c r="C26" i="35"/>
  <c r="C33" i="35"/>
  <c r="C31" i="35"/>
  <c r="C30" i="35"/>
  <c r="C23" i="34"/>
  <c r="C22" i="34"/>
  <c r="C17" i="34"/>
  <c r="C14" i="34"/>
  <c r="B15" i="34"/>
  <c r="B21" i="34"/>
  <c r="B17" i="34"/>
  <c r="B29" i="34"/>
  <c r="B23" i="34"/>
  <c r="B26" i="35"/>
  <c r="B33" i="35"/>
  <c r="B31" i="35"/>
  <c r="B30" i="35"/>
  <c r="C19" i="35"/>
  <c r="C29" i="35"/>
  <c r="C18" i="35"/>
  <c r="C23" i="35"/>
  <c r="C21" i="34"/>
  <c r="C16" i="34"/>
  <c r="C11" i="34"/>
  <c r="C5" i="34"/>
  <c r="B20" i="34"/>
  <c r="B30" i="34"/>
  <c r="B11" i="35"/>
  <c r="B3" i="35"/>
  <c r="B10" i="35"/>
  <c r="B15" i="35"/>
  <c r="C9" i="35"/>
  <c r="C14" i="35"/>
  <c r="C25" i="35"/>
  <c r="C4" i="35"/>
  <c r="C10" i="34"/>
  <c r="C4" i="34"/>
  <c r="C26" i="34"/>
  <c r="B3" i="34"/>
  <c r="B28" i="34"/>
  <c r="B12" i="34"/>
  <c r="B11" i="34"/>
  <c r="B13" i="34"/>
  <c r="B10" i="34"/>
  <c r="B9" i="34"/>
  <c r="B14" i="35"/>
  <c r="B25" i="35"/>
  <c r="B4" i="35"/>
  <c r="C11" i="35"/>
  <c r="C3" i="35"/>
  <c r="C10" i="35"/>
  <c r="C15" i="35"/>
  <c r="C9" i="34"/>
  <c r="C20" i="34"/>
  <c r="C8" i="34"/>
  <c r="C3" i="34"/>
  <c r="B22" i="34"/>
  <c r="B21" i="35"/>
  <c r="B13" i="35"/>
  <c r="B12" i="35"/>
  <c r="B7" i="35"/>
  <c r="C20" i="35"/>
  <c r="C6" i="35"/>
  <c r="C22" i="35"/>
  <c r="C8" i="35"/>
  <c r="C2" i="35"/>
  <c r="C2" i="34"/>
  <c r="C29" i="34"/>
  <c r="C28" i="34"/>
  <c r="B5" i="34"/>
  <c r="B7" i="34"/>
  <c r="B26" i="34"/>
  <c r="B27" i="34"/>
  <c r="B14" i="34"/>
  <c r="B20" i="35"/>
  <c r="B6" i="35"/>
  <c r="B22" i="35"/>
  <c r="B8" i="35"/>
  <c r="C21" i="35"/>
  <c r="C13" i="35"/>
  <c r="C12" i="35"/>
  <c r="C7" i="35"/>
  <c r="B2" i="35"/>
  <c r="C25" i="34"/>
  <c r="C13" i="34"/>
  <c r="C7" i="34"/>
  <c r="C31" i="34"/>
  <c r="B16" i="34"/>
  <c r="B27" i="35"/>
  <c r="B24" i="35"/>
  <c r="B34" i="35"/>
  <c r="B17" i="35"/>
  <c r="C32" i="35"/>
  <c r="C5" i="35"/>
  <c r="C28" i="35"/>
  <c r="C16" i="35"/>
  <c r="C6" i="34"/>
  <c r="C27" i="34"/>
  <c r="C24" i="34"/>
  <c r="B24" i="34"/>
  <c r="B2" i="34"/>
  <c r="B8" i="34"/>
  <c r="B18" i="34"/>
  <c r="B25" i="34"/>
  <c r="B19" i="34"/>
  <c r="B31" i="34"/>
  <c r="G11" i="30" l="1"/>
  <c r="E1" i="30"/>
  <c r="G12" i="30" s="1"/>
  <c r="E12" i="30"/>
  <c r="F12" i="30" s="1"/>
  <c r="E11" i="30"/>
  <c r="E10" i="30"/>
  <c r="F10" i="30" s="1"/>
  <c r="E9" i="30"/>
  <c r="G9" i="30" s="1"/>
  <c r="E8" i="30"/>
  <c r="F8" i="30" s="1"/>
  <c r="E7" i="30"/>
  <c r="G7" i="30" s="1"/>
  <c r="E6" i="30"/>
  <c r="F6" i="30" s="1"/>
  <c r="E5" i="30"/>
  <c r="G5" i="30" s="1"/>
  <c r="E4" i="30"/>
  <c r="F4" i="30" s="1"/>
  <c r="F5" i="30" l="1"/>
  <c r="F7" i="30"/>
  <c r="F9" i="30"/>
  <c r="F11" i="30"/>
  <c r="G4" i="30"/>
  <c r="G6" i="30"/>
  <c r="G8" i="30"/>
  <c r="G10" i="30"/>
  <c r="F6" i="29"/>
  <c r="G6" i="29" s="1"/>
  <c r="F4" i="29"/>
  <c r="G5" i="29" s="1"/>
  <c r="G11" i="29"/>
  <c r="G10" i="29"/>
  <c r="G9" i="29"/>
  <c r="G8" i="29"/>
  <c r="G7" i="29"/>
  <c r="G4" i="29"/>
  <c r="G3" i="29"/>
  <c r="F3" i="29"/>
  <c r="G8" i="28" l="1"/>
  <c r="G7" i="28"/>
  <c r="G6" i="28"/>
  <c r="G5" i="28"/>
  <c r="G4" i="28"/>
  <c r="G3" i="28"/>
  <c r="G2" i="28"/>
  <c r="F8" i="28"/>
  <c r="F7" i="28"/>
  <c r="F6" i="28"/>
  <c r="F5" i="28"/>
  <c r="F4" i="28"/>
  <c r="F3" i="28"/>
  <c r="F2" i="28"/>
  <c r="E8" i="28"/>
  <c r="E7" i="28"/>
  <c r="E6" i="28"/>
  <c r="E5" i="28"/>
  <c r="E4" i="28"/>
  <c r="E3" i="28"/>
  <c r="E2" i="28"/>
  <c r="D8" i="28"/>
  <c r="D7" i="28"/>
  <c r="D6" i="28"/>
  <c r="D5" i="28"/>
  <c r="D4" i="28"/>
  <c r="D3" i="28"/>
  <c r="D2" i="28"/>
  <c r="D1" i="28"/>
  <c r="C8" i="28"/>
  <c r="C7" i="28"/>
  <c r="C6" i="28"/>
  <c r="C5" i="28"/>
  <c r="C4" i="28"/>
  <c r="C3" i="28"/>
  <c r="C2" i="28"/>
  <c r="C1" i="28"/>
  <c r="B8" i="28"/>
  <c r="B7" i="28"/>
  <c r="B6" i="28"/>
  <c r="B5" i="28"/>
  <c r="B4" i="28"/>
  <c r="B3" i="28"/>
  <c r="B2" i="28"/>
  <c r="E4" i="27" l="1"/>
  <c r="E5" i="27" s="1"/>
  <c r="E6" i="27" s="1"/>
  <c r="E7" i="27" s="1"/>
  <c r="E8" i="27" s="1"/>
  <c r="E9" i="27" s="1"/>
  <c r="E10" i="27" s="1"/>
  <c r="E11" i="27" s="1"/>
  <c r="E12" i="27" s="1"/>
  <c r="E13" i="27" s="1"/>
  <c r="E14" i="27" s="1"/>
  <c r="E15" i="27" s="1"/>
  <c r="E16" i="27" s="1"/>
  <c r="E17" i="27" s="1"/>
  <c r="E18" i="27" s="1"/>
  <c r="E19" i="27" s="1"/>
  <c r="E20" i="27" s="1"/>
  <c r="E21" i="27" s="1"/>
  <c r="E22" i="27" s="1"/>
  <c r="E23" i="27" s="1"/>
  <c r="E24" i="27" s="1"/>
  <c r="E25" i="27" s="1"/>
  <c r="E26" i="27" s="1"/>
  <c r="E27" i="27" s="1"/>
  <c r="E28" i="27" s="1"/>
  <c r="E3" i="27"/>
  <c r="E2" i="27"/>
  <c r="C323" i="32"/>
  <c r="C286" i="32"/>
  <c r="C158" i="32"/>
  <c r="C209" i="32"/>
  <c r="C317" i="32"/>
  <c r="C280" i="32"/>
  <c r="C152" i="32"/>
  <c r="C197" i="32"/>
  <c r="C279" i="32"/>
  <c r="C114" i="32"/>
  <c r="C273" i="32"/>
  <c r="C108" i="32"/>
  <c r="C11" i="32"/>
  <c r="B339" i="32"/>
  <c r="B334" i="32"/>
  <c r="B206" i="32"/>
  <c r="C315" i="32"/>
  <c r="C278" i="32"/>
  <c r="C150" i="32"/>
  <c r="C193" i="32"/>
  <c r="C309" i="32"/>
  <c r="C272" i="32"/>
  <c r="C144" i="32"/>
  <c r="C181" i="32"/>
  <c r="C263" i="32"/>
  <c r="C98" i="32"/>
  <c r="C257" i="32"/>
  <c r="C92" i="32"/>
  <c r="C239" i="32"/>
  <c r="B331" i="32"/>
  <c r="B326" i="32"/>
  <c r="C307" i="32"/>
  <c r="C270" i="32"/>
  <c r="C142" i="32"/>
  <c r="C177" i="32"/>
  <c r="C301" i="32"/>
  <c r="C264" i="32"/>
  <c r="C136" i="32"/>
  <c r="C165" i="32"/>
  <c r="C338" i="32"/>
  <c r="C80" i="32"/>
  <c r="C332" i="32"/>
  <c r="C64" i="32"/>
  <c r="C223" i="32"/>
  <c r="B323" i="32"/>
  <c r="B318" i="32"/>
  <c r="B190" i="32"/>
  <c r="C299" i="32"/>
  <c r="C262" i="32"/>
  <c r="C134" i="32"/>
  <c r="C161" i="32"/>
  <c r="C293" i="32"/>
  <c r="C256" i="32"/>
  <c r="C128" i="32"/>
  <c r="C149" i="32"/>
  <c r="C322" i="32"/>
  <c r="C44" i="32"/>
  <c r="C316" i="32"/>
  <c r="C32" i="32"/>
  <c r="C207" i="32"/>
  <c r="B315" i="32"/>
  <c r="B310" i="32"/>
  <c r="B182" i="32"/>
  <c r="C291" i="32"/>
  <c r="C254" i="32"/>
  <c r="C126" i="32"/>
  <c r="C145" i="32"/>
  <c r="C285" i="32"/>
  <c r="C248" i="32"/>
  <c r="C120" i="32"/>
  <c r="C133" i="32"/>
  <c r="C306" i="32"/>
  <c r="C12" i="32"/>
  <c r="C300" i="32"/>
  <c r="C237" i="32"/>
  <c r="C191" i="32"/>
  <c r="B307" i="32"/>
  <c r="B302" i="32"/>
  <c r="B174" i="32"/>
  <c r="C283" i="32"/>
  <c r="C246" i="32"/>
  <c r="C118" i="32"/>
  <c r="C129" i="32"/>
  <c r="C277" i="32"/>
  <c r="C240" i="32"/>
  <c r="C112" i="32"/>
  <c r="C117" i="32"/>
  <c r="C290" i="32"/>
  <c r="C217" i="32"/>
  <c r="C284" i="32"/>
  <c r="C205" i="32"/>
  <c r="C175" i="32"/>
  <c r="B299" i="32"/>
  <c r="B294" i="32"/>
  <c r="C275" i="32"/>
  <c r="C238" i="32"/>
  <c r="C110" i="32"/>
  <c r="C113" i="32"/>
  <c r="C269" i="32"/>
  <c r="C232" i="32"/>
  <c r="C104" i="32"/>
  <c r="C101" i="32"/>
  <c r="C274" i="32"/>
  <c r="C185" i="32"/>
  <c r="C268" i="32"/>
  <c r="C259" i="32"/>
  <c r="C222" i="32"/>
  <c r="C94" i="32"/>
  <c r="C83" i="32"/>
  <c r="C253" i="32"/>
  <c r="C216" i="32"/>
  <c r="C88" i="32"/>
  <c r="C77" i="32"/>
  <c r="C242" i="32"/>
  <c r="C121" i="32"/>
  <c r="C236" i="32"/>
  <c r="C109" i="32"/>
  <c r="C123" i="32"/>
  <c r="B275" i="32"/>
  <c r="B270" i="32"/>
  <c r="B142" i="32"/>
  <c r="C251" i="32"/>
  <c r="C214" i="32"/>
  <c r="C86" i="32"/>
  <c r="C75" i="32"/>
  <c r="C336" i="32"/>
  <c r="C208" i="32"/>
  <c r="C72" i="32"/>
  <c r="C69" i="32"/>
  <c r="C226" i="32"/>
  <c r="C89" i="32"/>
  <c r="C220" i="32"/>
  <c r="C81" i="32"/>
  <c r="C107" i="32"/>
  <c r="B267" i="32"/>
  <c r="B262" i="32"/>
  <c r="C334" i="32"/>
  <c r="C206" i="32"/>
  <c r="C68" i="32"/>
  <c r="C67" i="32"/>
  <c r="C328" i="32"/>
  <c r="C200" i="32"/>
  <c r="C56" i="32"/>
  <c r="C61" i="32"/>
  <c r="C210" i="32"/>
  <c r="C71" i="32"/>
  <c r="C204" i="32"/>
  <c r="C65" i="32"/>
  <c r="C91" i="32"/>
  <c r="B259" i="32"/>
  <c r="B254" i="32"/>
  <c r="B126" i="32"/>
  <c r="C326" i="32"/>
  <c r="C198" i="32"/>
  <c r="C52" i="32"/>
  <c r="C59" i="32"/>
  <c r="C320" i="32"/>
  <c r="C192" i="32"/>
  <c r="C40" i="32"/>
  <c r="C53" i="32"/>
  <c r="C194" i="32"/>
  <c r="C55" i="32"/>
  <c r="C188" i="32"/>
  <c r="C49" i="32"/>
  <c r="C78" i="32"/>
  <c r="B251" i="32"/>
  <c r="B246" i="32"/>
  <c r="B230" i="32"/>
  <c r="C318" i="32"/>
  <c r="C190" i="32"/>
  <c r="C36" i="32"/>
  <c r="C51" i="32"/>
  <c r="C312" i="32"/>
  <c r="C184" i="32"/>
  <c r="C24" i="32"/>
  <c r="E3" i="32"/>
  <c r="C178" i="32"/>
  <c r="C337" i="32"/>
  <c r="C172" i="32"/>
  <c r="C43" i="32"/>
  <c r="C66" i="32"/>
  <c r="B243" i="32"/>
  <c r="B238" i="32"/>
  <c r="E4" i="32"/>
  <c r="C310" i="32"/>
  <c r="C182" i="32"/>
  <c r="C20" i="32"/>
  <c r="E2" i="32"/>
  <c r="C304" i="32"/>
  <c r="C176" i="32"/>
  <c r="C245" i="32"/>
  <c r="C327" i="32"/>
  <c r="C162" i="32"/>
  <c r="C321" i="32"/>
  <c r="C156" i="32"/>
  <c r="C35" i="32"/>
  <c r="C50" i="32"/>
  <c r="B235" i="32"/>
  <c r="C339" i="32"/>
  <c r="C302" i="32"/>
  <c r="C174" i="32"/>
  <c r="C241" i="32"/>
  <c r="C333" i="32"/>
  <c r="C296" i="32"/>
  <c r="C168" i="32"/>
  <c r="C229" i="32"/>
  <c r="C311" i="32"/>
  <c r="C146" i="32"/>
  <c r="C305" i="32"/>
  <c r="C140" i="32"/>
  <c r="C27" i="32"/>
  <c r="C34" i="32"/>
  <c r="B227" i="32"/>
  <c r="B222" i="32"/>
  <c r="C331" i="32"/>
  <c r="C294" i="32"/>
  <c r="C166" i="32"/>
  <c r="C225" i="32"/>
  <c r="C325" i="32"/>
  <c r="C288" i="32"/>
  <c r="C160" i="32"/>
  <c r="C213" i="32"/>
  <c r="C295" i="32"/>
  <c r="C130" i="32"/>
  <c r="C289" i="32"/>
  <c r="C124" i="32"/>
  <c r="C19" i="32"/>
  <c r="C18" i="32"/>
  <c r="B219" i="32"/>
  <c r="B214" i="32"/>
  <c r="B166" i="32"/>
  <c r="B118" i="32"/>
  <c r="C173" i="32"/>
  <c r="B291" i="32"/>
  <c r="B158" i="32"/>
  <c r="C230" i="32"/>
  <c r="C97" i="32"/>
  <c r="C224" i="32"/>
  <c r="C85" i="32"/>
  <c r="C153" i="32"/>
  <c r="C141" i="32"/>
  <c r="B283" i="32"/>
  <c r="B150" i="32"/>
  <c r="C135" i="32"/>
  <c r="B281" i="32"/>
  <c r="B276" i="32"/>
  <c r="B148" i="32"/>
  <c r="B165" i="32"/>
  <c r="B195" i="32"/>
  <c r="B94" i="32"/>
  <c r="B71" i="32"/>
  <c r="C233" i="32"/>
  <c r="C221" i="32"/>
  <c r="B303" i="32"/>
  <c r="B170" i="32"/>
  <c r="B301" i="32"/>
  <c r="B168" i="32"/>
  <c r="B17" i="32"/>
  <c r="B97" i="32"/>
  <c r="B74" i="32"/>
  <c r="C137" i="32"/>
  <c r="C47" i="32"/>
  <c r="B146" i="32"/>
  <c r="B112" i="32"/>
  <c r="B39" i="32"/>
  <c r="C187" i="32"/>
  <c r="B305" i="32"/>
  <c r="B300" i="32"/>
  <c r="B172" i="32"/>
  <c r="B213" i="32"/>
  <c r="B21" i="32"/>
  <c r="B12" i="32"/>
  <c r="B105" i="32"/>
  <c r="C138" i="32"/>
  <c r="C132" i="32"/>
  <c r="C26" i="32"/>
  <c r="B218" i="32"/>
  <c r="C22" i="32"/>
  <c r="B216" i="32"/>
  <c r="B65" i="32"/>
  <c r="B193" i="32"/>
  <c r="B123" i="32"/>
  <c r="C90" i="32"/>
  <c r="C147" i="32"/>
  <c r="B327" i="32"/>
  <c r="B194" i="32"/>
  <c r="B325" i="32"/>
  <c r="B192" i="32"/>
  <c r="B41" i="32"/>
  <c r="B145" i="32"/>
  <c r="B99" i="32"/>
  <c r="B274" i="32"/>
  <c r="B304" i="32"/>
  <c r="B56" i="32"/>
  <c r="B9" i="32"/>
  <c r="B66" i="32"/>
  <c r="B245" i="32"/>
  <c r="B82" i="32"/>
  <c r="C235" i="32"/>
  <c r="B329" i="32"/>
  <c r="B324" i="32"/>
  <c r="B196" i="32"/>
  <c r="B54" i="32"/>
  <c r="B45" i="32"/>
  <c r="B32" i="32"/>
  <c r="B153" i="32"/>
  <c r="C203" i="32"/>
  <c r="B313" i="32"/>
  <c r="B308" i="32"/>
  <c r="B180" i="32"/>
  <c r="B22" i="32"/>
  <c r="B29" i="32"/>
  <c r="B44" i="32"/>
  <c r="B121" i="32"/>
  <c r="C170" i="32"/>
  <c r="C164" i="32"/>
  <c r="C58" i="32"/>
  <c r="B234" i="32"/>
  <c r="C54" i="32"/>
  <c r="B232" i="32"/>
  <c r="B81" i="32"/>
  <c r="B18" i="32"/>
  <c r="B139" i="32"/>
  <c r="C122" i="32"/>
  <c r="C116" i="32"/>
  <c r="B306" i="32"/>
  <c r="B240" i="32"/>
  <c r="B34" i="32"/>
  <c r="C9" i="32"/>
  <c r="B337" i="32"/>
  <c r="B332" i="32"/>
  <c r="B204" i="32"/>
  <c r="B72" i="32"/>
  <c r="B53" i="32"/>
  <c r="B48" i="32"/>
  <c r="B169" i="32"/>
  <c r="C266" i="32"/>
  <c r="C260" i="32"/>
  <c r="C151" i="32"/>
  <c r="B282" i="32"/>
  <c r="C143" i="32"/>
  <c r="B280" i="32"/>
  <c r="B173" i="32"/>
  <c r="B98" i="32"/>
  <c r="B191" i="32"/>
  <c r="C218" i="32"/>
  <c r="C212" i="32"/>
  <c r="C99" i="32"/>
  <c r="B258" i="32"/>
  <c r="C95" i="32"/>
  <c r="B256" i="32"/>
  <c r="B125" i="32"/>
  <c r="B167" i="32"/>
  <c r="B279" i="32"/>
  <c r="B309" i="32"/>
  <c r="B57" i="32"/>
  <c r="B147" i="32"/>
  <c r="C70" i="32"/>
  <c r="C33" i="32"/>
  <c r="C159" i="32"/>
  <c r="B286" i="32"/>
  <c r="C267" i="32"/>
  <c r="C102" i="32"/>
  <c r="C261" i="32"/>
  <c r="C96" i="32"/>
  <c r="C258" i="32"/>
  <c r="C252" i="32"/>
  <c r="C139" i="32"/>
  <c r="B278" i="32"/>
  <c r="C17" i="32"/>
  <c r="C14" i="32"/>
  <c r="B217" i="32"/>
  <c r="B212" i="32"/>
  <c r="B155" i="32"/>
  <c r="B61" i="32"/>
  <c r="B62" i="32"/>
  <c r="B185" i="32"/>
  <c r="C298" i="32"/>
  <c r="C292" i="32"/>
  <c r="C183" i="32"/>
  <c r="B298" i="32"/>
  <c r="C179" i="32"/>
  <c r="B296" i="32"/>
  <c r="B205" i="32"/>
  <c r="B114" i="32"/>
  <c r="B207" i="32"/>
  <c r="C250" i="32"/>
  <c r="C244" i="32"/>
  <c r="B311" i="32"/>
  <c r="B277" i="32"/>
  <c r="B119" i="32"/>
  <c r="C41" i="32"/>
  <c r="C62" i="32"/>
  <c r="B241" i="32"/>
  <c r="B236" i="32"/>
  <c r="B108" i="32"/>
  <c r="B85" i="32"/>
  <c r="B111" i="32"/>
  <c r="B26" i="32"/>
  <c r="C303" i="32"/>
  <c r="C297" i="32"/>
  <c r="C23" i="32"/>
  <c r="B223" i="32"/>
  <c r="C21" i="32"/>
  <c r="B221" i="32"/>
  <c r="B88" i="32"/>
  <c r="B70" i="32"/>
  <c r="B27" i="32"/>
  <c r="C255" i="32"/>
  <c r="C249" i="32"/>
  <c r="C231" i="32"/>
  <c r="B322" i="32"/>
  <c r="C227" i="32"/>
  <c r="B320" i="32"/>
  <c r="B46" i="32"/>
  <c r="B24" i="32"/>
  <c r="B15" i="32"/>
  <c r="C131" i="32"/>
  <c r="C195" i="32"/>
  <c r="B80" i="32"/>
  <c r="B23" i="32"/>
  <c r="B83" i="32"/>
  <c r="B242" i="32"/>
  <c r="B187" i="32"/>
  <c r="B134" i="32"/>
  <c r="C103" i="32"/>
  <c r="B265" i="32"/>
  <c r="B260" i="32"/>
  <c r="B132" i="32"/>
  <c r="B133" i="32"/>
  <c r="B163" i="32"/>
  <c r="B76" i="32"/>
  <c r="B55" i="32"/>
  <c r="C76" i="32"/>
  <c r="B249" i="32"/>
  <c r="B244" i="32"/>
  <c r="B116" i="32"/>
  <c r="B101" i="32"/>
  <c r="B127" i="32"/>
  <c r="B42" i="32"/>
  <c r="C335" i="32"/>
  <c r="C329" i="32"/>
  <c r="C39" i="32"/>
  <c r="B239" i="32"/>
  <c r="C37" i="32"/>
  <c r="B237" i="32"/>
  <c r="B104" i="32"/>
  <c r="B103" i="32"/>
  <c r="B35" i="32"/>
  <c r="C287" i="32"/>
  <c r="C281" i="32"/>
  <c r="C199" i="32"/>
  <c r="C127" i="32"/>
  <c r="B93" i="32"/>
  <c r="B115" i="32"/>
  <c r="C119" i="32"/>
  <c r="B273" i="32"/>
  <c r="B268" i="32"/>
  <c r="B140" i="32"/>
  <c r="B149" i="32"/>
  <c r="B179" i="32"/>
  <c r="B86" i="32"/>
  <c r="B63" i="32"/>
  <c r="C169" i="32"/>
  <c r="C157" i="32"/>
  <c r="B287" i="32"/>
  <c r="B154" i="32"/>
  <c r="B285" i="32"/>
  <c r="B152" i="32"/>
  <c r="B203" i="32"/>
  <c r="B75" i="32"/>
  <c r="B58" i="32"/>
  <c r="C79" i="32"/>
  <c r="C73" i="32"/>
  <c r="B263" i="32"/>
  <c r="B130" i="32"/>
  <c r="B261" i="32"/>
  <c r="B128" i="32"/>
  <c r="B151" i="32"/>
  <c r="B51" i="32"/>
  <c r="B20" i="32"/>
  <c r="B178" i="32"/>
  <c r="B208" i="32"/>
  <c r="B177" i="32"/>
  <c r="B209" i="32"/>
  <c r="C10" i="32"/>
  <c r="B144" i="32"/>
  <c r="B198" i="32"/>
  <c r="C171" i="32"/>
  <c r="B297" i="32"/>
  <c r="B292" i="32"/>
  <c r="B164" i="32"/>
  <c r="B197" i="32"/>
  <c r="B13" i="32"/>
  <c r="B110" i="32"/>
  <c r="B89" i="32"/>
  <c r="C106" i="32"/>
  <c r="C100" i="32"/>
  <c r="B335" i="32"/>
  <c r="B202" i="32"/>
  <c r="B333" i="32"/>
  <c r="B200" i="32"/>
  <c r="B49" i="32"/>
  <c r="B161" i="32"/>
  <c r="B107" i="32"/>
  <c r="C28" i="32"/>
  <c r="C125" i="32"/>
  <c r="B210" i="32"/>
  <c r="B176" i="32"/>
  <c r="B113" i="32"/>
  <c r="C219" i="32"/>
  <c r="B321" i="32"/>
  <c r="B316" i="32"/>
  <c r="B188" i="32"/>
  <c r="B38" i="32"/>
  <c r="B37" i="32"/>
  <c r="B16" i="32"/>
  <c r="B137" i="32"/>
  <c r="C202" i="32"/>
  <c r="C196" i="32"/>
  <c r="C84" i="32"/>
  <c r="C234" i="32"/>
  <c r="C115" i="32"/>
  <c r="C111" i="32"/>
  <c r="B141" i="32"/>
  <c r="B175" i="32"/>
  <c r="C180" i="32"/>
  <c r="B336" i="32"/>
  <c r="C25" i="32"/>
  <c r="B225" i="32"/>
  <c r="B92" i="32"/>
  <c r="B78" i="32"/>
  <c r="C330" i="32"/>
  <c r="C215" i="32"/>
  <c r="B186" i="32"/>
  <c r="B317" i="32"/>
  <c r="B184" i="32"/>
  <c r="B33" i="32"/>
  <c r="B129" i="32"/>
  <c r="B87" i="32"/>
  <c r="C201" i="32"/>
  <c r="C189" i="32"/>
  <c r="B295" i="32"/>
  <c r="B162" i="32"/>
  <c r="B293" i="32"/>
  <c r="B160" i="32"/>
  <c r="B84" i="32"/>
  <c r="C16" i="32"/>
  <c r="B157" i="32"/>
  <c r="B138" i="32"/>
  <c r="B171" i="32"/>
  <c r="C15" i="32"/>
  <c r="B14" i="32"/>
  <c r="B289" i="32"/>
  <c r="B211" i="32"/>
  <c r="C60" i="32"/>
  <c r="B250" i="32"/>
  <c r="B253" i="32"/>
  <c r="B109" i="32"/>
  <c r="B159" i="32"/>
  <c r="C148" i="32"/>
  <c r="B226" i="32"/>
  <c r="B229" i="32"/>
  <c r="B106" i="32"/>
  <c r="B90" i="32"/>
  <c r="C93" i="32"/>
  <c r="B269" i="32"/>
  <c r="E5" i="32"/>
  <c r="B284" i="32"/>
  <c r="B79" i="32"/>
  <c r="B122" i="32"/>
  <c r="B135" i="32"/>
  <c r="C319" i="32"/>
  <c r="C31" i="32"/>
  <c r="C38" i="32"/>
  <c r="B73" i="32"/>
  <c r="B272" i="32"/>
  <c r="B68" i="32"/>
  <c r="B199" i="32"/>
  <c r="B67" i="32"/>
  <c r="C46" i="32"/>
  <c r="B228" i="32"/>
  <c r="B77" i="32"/>
  <c r="B10" i="32"/>
  <c r="C265" i="32"/>
  <c r="B330" i="32"/>
  <c r="B328" i="32"/>
  <c r="B40" i="32"/>
  <c r="C314" i="32"/>
  <c r="C74" i="32"/>
  <c r="B25" i="32"/>
  <c r="C87" i="32"/>
  <c r="B252" i="32"/>
  <c r="B117" i="32"/>
  <c r="B60" i="32"/>
  <c r="C63" i="32"/>
  <c r="B255" i="32"/>
  <c r="B266" i="32"/>
  <c r="B91" i="32"/>
  <c r="B247" i="32"/>
  <c r="C30" i="32"/>
  <c r="B69" i="32"/>
  <c r="C324" i="32"/>
  <c r="C211" i="32"/>
  <c r="B30" i="32"/>
  <c r="B11" i="32"/>
  <c r="C276" i="32"/>
  <c r="B290" i="32"/>
  <c r="B288" i="32"/>
  <c r="B31" i="32"/>
  <c r="B215" i="32"/>
  <c r="B36" i="32"/>
  <c r="C155" i="32"/>
  <c r="B102" i="32"/>
  <c r="C82" i="32"/>
  <c r="B50" i="32"/>
  <c r="C42" i="32"/>
  <c r="B96" i="32"/>
  <c r="C105" i="32"/>
  <c r="B59" i="32"/>
  <c r="B181" i="32"/>
  <c r="B248" i="32"/>
  <c r="C313" i="32"/>
  <c r="B224" i="32"/>
  <c r="B233" i="32"/>
  <c r="B100" i="32"/>
  <c r="B95" i="32"/>
  <c r="C271" i="32"/>
  <c r="C247" i="32"/>
  <c r="C243" i="32"/>
  <c r="B64" i="32"/>
  <c r="B19" i="32"/>
  <c r="C308" i="32"/>
  <c r="C8" i="32"/>
  <c r="B52" i="32"/>
  <c r="B257" i="32"/>
  <c r="B124" i="32"/>
  <c r="B143" i="32"/>
  <c r="B47" i="32"/>
  <c r="C57" i="32"/>
  <c r="C228" i="32"/>
  <c r="B264" i="32"/>
  <c r="C186" i="32"/>
  <c r="B28" i="32"/>
  <c r="B220" i="32"/>
  <c r="B201" i="32"/>
  <c r="B314" i="32"/>
  <c r="B312" i="32"/>
  <c r="B8" i="32"/>
  <c r="C282" i="32"/>
  <c r="C167" i="32"/>
  <c r="C163" i="32"/>
  <c r="B189" i="32"/>
  <c r="C45" i="32"/>
  <c r="B136" i="32"/>
  <c r="C13" i="32"/>
  <c r="B156" i="32"/>
  <c r="C48" i="32"/>
  <c r="B120" i="32"/>
  <c r="C154" i="32"/>
  <c r="C29" i="32"/>
  <c r="B338" i="32"/>
  <c r="B271" i="32"/>
  <c r="B183" i="32"/>
  <c r="B319" i="32"/>
  <c r="B43" i="32"/>
  <c r="B231" i="32"/>
  <c r="B131" i="32"/>
  <c r="D10" i="25" l="1"/>
  <c r="D9" i="25"/>
  <c r="D8" i="25"/>
  <c r="D7" i="25"/>
  <c r="F10" i="25"/>
  <c r="F9" i="25"/>
  <c r="H9" i="25" s="1"/>
  <c r="F8" i="25"/>
  <c r="F7" i="25"/>
  <c r="H7" i="25" s="1"/>
  <c r="G10" i="25"/>
  <c r="G9" i="25"/>
  <c r="G8" i="25"/>
  <c r="G7" i="25"/>
  <c r="B10" i="25"/>
  <c r="B9" i="25"/>
  <c r="B8" i="25"/>
  <c r="B7" i="25"/>
  <c r="H8" i="25" l="1"/>
  <c r="H10" i="25"/>
  <c r="J9" i="24"/>
  <c r="I9" i="24"/>
  <c r="H9" i="24"/>
  <c r="H8" i="24"/>
  <c r="G9" i="24"/>
  <c r="G8" i="24"/>
  <c r="J8" i="24" s="1"/>
  <c r="J6" i="24"/>
  <c r="J5" i="24"/>
  <c r="J4" i="24"/>
  <c r="J3" i="24"/>
  <c r="J2" i="24"/>
  <c r="G4" i="24"/>
  <c r="G5" i="24" s="1"/>
  <c r="G3" i="24"/>
  <c r="I3" i="24" s="1"/>
  <c r="H6" i="24"/>
  <c r="H5" i="24"/>
  <c r="I4" i="24"/>
  <c r="H4" i="24"/>
  <c r="H3" i="24"/>
  <c r="F6" i="24"/>
  <c r="F5" i="24"/>
  <c r="F4" i="24"/>
  <c r="F3" i="24"/>
  <c r="E6" i="24"/>
  <c r="E5" i="24"/>
  <c r="E4" i="24"/>
  <c r="E3" i="24"/>
  <c r="D6" i="24"/>
  <c r="D5" i="24"/>
  <c r="D4" i="24"/>
  <c r="D3" i="24"/>
  <c r="C6" i="24"/>
  <c r="C5" i="24"/>
  <c r="C4" i="24"/>
  <c r="C3" i="24"/>
  <c r="B6" i="24"/>
  <c r="B5" i="24"/>
  <c r="B4" i="24"/>
  <c r="B3" i="24"/>
  <c r="I8" i="24" l="1"/>
  <c r="G6" i="24"/>
  <c r="I6" i="24" s="1"/>
  <c r="I5" i="24"/>
  <c r="AE8" i="19"/>
  <c r="AE7" i="19"/>
  <c r="AE6" i="19"/>
  <c r="AD8" i="19"/>
  <c r="AD7" i="19"/>
  <c r="AD6" i="19"/>
  <c r="AD5" i="19"/>
  <c r="AD4" i="19"/>
  <c r="AD3" i="19"/>
  <c r="AD9" i="19"/>
  <c r="J14" i="20" l="1"/>
  <c r="J13" i="20"/>
  <c r="J12" i="20"/>
  <c r="J11" i="20"/>
  <c r="J10" i="20"/>
  <c r="J9" i="20"/>
  <c r="J8" i="20"/>
  <c r="J7" i="20"/>
  <c r="J6" i="20"/>
  <c r="J5" i="20"/>
  <c r="J4" i="20"/>
  <c r="J3" i="20"/>
  <c r="H14" i="20"/>
  <c r="H13" i="20"/>
  <c r="H12" i="20"/>
  <c r="H11" i="20"/>
  <c r="H10" i="20"/>
  <c r="H9" i="20"/>
  <c r="H8" i="20"/>
  <c r="H7" i="20"/>
  <c r="H6" i="20"/>
  <c r="H5" i="20"/>
  <c r="H4" i="20"/>
  <c r="H3" i="20"/>
  <c r="G14" i="20"/>
  <c r="G13" i="20"/>
  <c r="G12" i="20"/>
  <c r="G11" i="20"/>
  <c r="G10" i="20"/>
  <c r="G9" i="20"/>
  <c r="G8" i="20"/>
  <c r="G7" i="20"/>
  <c r="G6" i="20"/>
  <c r="D16" i="19" l="1"/>
  <c r="D15" i="19"/>
  <c r="D14" i="19"/>
  <c r="C19" i="19"/>
  <c r="C17" i="19"/>
  <c r="C16" i="19"/>
  <c r="C15" i="19"/>
  <c r="C14" i="19"/>
  <c r="C13" i="19"/>
  <c r="C12" i="19"/>
  <c r="A16" i="19"/>
  <c r="A15" i="19"/>
  <c r="A14" i="19"/>
  <c r="Z9" i="19"/>
  <c r="Z8" i="19"/>
  <c r="Z7" i="19"/>
  <c r="Z6" i="19"/>
  <c r="Z5" i="19"/>
  <c r="Z4" i="19"/>
  <c r="Z3" i="19"/>
  <c r="W9" i="19"/>
  <c r="W8" i="19"/>
  <c r="W7" i="19"/>
  <c r="W6" i="19"/>
  <c r="W5" i="19"/>
  <c r="W4" i="19"/>
  <c r="W3" i="19"/>
  <c r="T9" i="19"/>
  <c r="T8" i="19"/>
  <c r="T7" i="19"/>
  <c r="T6" i="19"/>
  <c r="T5" i="19"/>
  <c r="T4" i="19"/>
  <c r="T3" i="19"/>
  <c r="AB3" i="19"/>
  <c r="G9" i="19"/>
  <c r="G8" i="19"/>
  <c r="G7" i="19"/>
  <c r="G6" i="19"/>
  <c r="G5" i="19"/>
  <c r="G4" i="19"/>
  <c r="G3" i="19"/>
  <c r="D1" i="19"/>
  <c r="E9" i="19"/>
  <c r="F9" i="19" s="1"/>
  <c r="E8" i="19"/>
  <c r="E7" i="19"/>
  <c r="E6" i="19"/>
  <c r="E5" i="19"/>
  <c r="F5" i="19" s="1"/>
  <c r="F6" i="19" s="1"/>
  <c r="F7" i="19" s="1"/>
  <c r="F8" i="19" s="1"/>
  <c r="E4" i="19"/>
  <c r="F4" i="19" s="1"/>
  <c r="E3" i="19"/>
  <c r="F3" i="19" s="1"/>
  <c r="P3" i="19" l="1"/>
  <c r="Q3" i="19" s="1"/>
  <c r="N9" i="19"/>
  <c r="P9" i="19" s="1"/>
  <c r="Q9" i="19" s="1"/>
  <c r="N8" i="19"/>
  <c r="O8" i="19" s="1"/>
  <c r="P8" i="19" s="1"/>
  <c r="Q8" i="19" s="1"/>
  <c r="N7" i="19"/>
  <c r="N6" i="19"/>
  <c r="O6" i="19" s="1"/>
  <c r="P6" i="19" s="1"/>
  <c r="Q6" i="19" s="1"/>
  <c r="N5" i="19"/>
  <c r="P5" i="19" s="1"/>
  <c r="Q5" i="19" s="1"/>
  <c r="N4" i="19"/>
  <c r="P4" i="19" s="1"/>
  <c r="M9" i="19"/>
  <c r="M8" i="19"/>
  <c r="M7" i="19"/>
  <c r="M6" i="19"/>
  <c r="M5" i="19"/>
  <c r="M4" i="19"/>
  <c r="J4" i="19"/>
  <c r="K4" i="19" s="1"/>
  <c r="J5" i="19"/>
  <c r="K5" i="19" s="1"/>
  <c r="J9" i="19"/>
  <c r="K9" i="19" s="1"/>
  <c r="J8" i="19"/>
  <c r="K8" i="19" s="1"/>
  <c r="J7" i="19"/>
  <c r="K7" i="19" s="1"/>
  <c r="J6" i="19"/>
  <c r="K6" i="19" s="1"/>
  <c r="I9" i="19"/>
  <c r="I8" i="19"/>
  <c r="I7" i="19"/>
  <c r="I6" i="19"/>
  <c r="I5" i="19"/>
  <c r="I4" i="19"/>
  <c r="B9" i="19"/>
  <c r="B8" i="19"/>
  <c r="B7" i="19"/>
  <c r="B6" i="19"/>
  <c r="B4" i="19"/>
  <c r="B5" i="19"/>
  <c r="C9" i="19"/>
  <c r="AB9" i="19" s="1"/>
  <c r="C8" i="19"/>
  <c r="AB8" i="19" s="1"/>
  <c r="C7" i="19"/>
  <c r="AB7" i="19" s="1"/>
  <c r="C6" i="19"/>
  <c r="AB6" i="19" s="1"/>
  <c r="C5" i="19"/>
  <c r="AB5" i="19" s="1"/>
  <c r="C4" i="19"/>
  <c r="AB4" i="19" s="1"/>
  <c r="R3" i="19" l="1"/>
  <c r="R4" i="19"/>
  <c r="Q4" i="19"/>
  <c r="O7" i="19"/>
  <c r="P7" i="19" s="1"/>
  <c r="O9" i="19"/>
  <c r="O4" i="19"/>
  <c r="O5" i="19"/>
  <c r="R9" i="19"/>
  <c r="R5" i="19"/>
  <c r="R6" i="19"/>
  <c r="R8" i="19"/>
  <c r="D33" i="12"/>
  <c r="Q7" i="19" l="1"/>
  <c r="R7" i="19"/>
  <c r="F7" i="15"/>
  <c r="F6" i="15"/>
  <c r="F5" i="15"/>
  <c r="F4" i="15"/>
  <c r="I7" i="15"/>
  <c r="I6" i="15"/>
  <c r="I5" i="15"/>
  <c r="I4" i="15"/>
  <c r="L7" i="15"/>
  <c r="L6" i="15"/>
  <c r="L5" i="15"/>
  <c r="L4" i="15"/>
  <c r="J7" i="15"/>
  <c r="K7" i="15" s="1"/>
  <c r="J6" i="15"/>
  <c r="K6" i="15" s="1"/>
  <c r="J5" i="15"/>
  <c r="K5" i="15" s="1"/>
  <c r="J4" i="15"/>
  <c r="K4" i="15" s="1"/>
  <c r="G7" i="15"/>
  <c r="H7" i="15" s="1"/>
  <c r="G6" i="15"/>
  <c r="H6" i="15" s="1"/>
  <c r="G5" i="15"/>
  <c r="H5" i="15" s="1"/>
  <c r="G4" i="15"/>
  <c r="H4" i="15" s="1"/>
  <c r="D7" i="15"/>
  <c r="E7" i="15" s="1"/>
  <c r="D6" i="15"/>
  <c r="E6" i="15" s="1"/>
  <c r="D5" i="15"/>
  <c r="E5" i="15" s="1"/>
  <c r="D4" i="15"/>
  <c r="E4" i="15" s="1"/>
  <c r="C7" i="15"/>
  <c r="C6" i="15"/>
  <c r="C5" i="15"/>
  <c r="C4" i="15"/>
  <c r="D7" i="12" l="1"/>
  <c r="D32" i="12"/>
  <c r="D48" i="12" l="1"/>
  <c r="D47" i="12"/>
  <c r="D46" i="12"/>
  <c r="D22" i="12"/>
  <c r="D36" i="12"/>
  <c r="D23" i="12"/>
  <c r="D18" i="12"/>
  <c r="D38" i="12"/>
  <c r="D35" i="12"/>
  <c r="D34" i="12"/>
  <c r="D26" i="12"/>
  <c r="D28" i="12"/>
  <c r="D27" i="12"/>
  <c r="D30" i="12"/>
  <c r="D29" i="12"/>
  <c r="D31" i="12"/>
  <c r="D24" i="12"/>
  <c r="D21" i="12"/>
  <c r="D20" i="12"/>
  <c r="D19" i="12"/>
  <c r="D15" i="12"/>
  <c r="D14" i="12"/>
  <c r="D13" i="12"/>
  <c r="D17" i="12"/>
  <c r="D11" i="12" l="1"/>
  <c r="D10" i="12"/>
  <c r="D42" i="12"/>
  <c r="D43" i="12"/>
  <c r="D41" i="12"/>
  <c r="D40" i="12"/>
  <c r="D6" i="12"/>
  <c r="D5" i="12"/>
  <c r="D4" i="12"/>
  <c r="D3" i="12"/>
  <c r="D2" i="12"/>
  <c r="D45" i="12"/>
  <c r="D37" i="12"/>
  <c r="D44" i="12"/>
  <c r="D25" i="12"/>
  <c r="D39" i="12"/>
  <c r="D12" i="12"/>
  <c r="D9" i="12"/>
  <c r="D8" i="12"/>
  <c r="A3" i="10" l="1"/>
  <c r="A4" i="10" s="1"/>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A562" i="10" s="1"/>
  <c r="A563" i="10" s="1"/>
  <c r="A564" i="10" s="1"/>
  <c r="A565" i="10" s="1"/>
  <c r="A566" i="10" s="1"/>
  <c r="A567" i="10" s="1"/>
  <c r="A568" i="10" s="1"/>
  <c r="A569" i="10" s="1"/>
  <c r="A570" i="10" s="1"/>
  <c r="A571" i="10" s="1"/>
  <c r="A572" i="10" s="1"/>
  <c r="A573" i="10" s="1"/>
  <c r="A574" i="10" s="1"/>
  <c r="A575" i="10" s="1"/>
  <c r="A576" i="10" s="1"/>
  <c r="A577" i="10" s="1"/>
  <c r="A578" i="10" s="1"/>
  <c r="A579" i="10" s="1"/>
  <c r="A580" i="10" s="1"/>
  <c r="A581" i="10" s="1"/>
  <c r="A582" i="10" s="1"/>
  <c r="A583" i="10" s="1"/>
  <c r="A584" i="10" s="1"/>
  <c r="A585" i="10" s="1"/>
  <c r="A586" i="10" s="1"/>
  <c r="A587" i="10" s="1"/>
  <c r="A588" i="10" s="1"/>
  <c r="A589" i="10" s="1"/>
  <c r="A590" i="10" s="1"/>
  <c r="A591" i="10" s="1"/>
  <c r="A592" i="10" s="1"/>
  <c r="A593" i="10" s="1"/>
  <c r="A594" i="10" s="1"/>
  <c r="A595" i="10" s="1"/>
  <c r="A596" i="10" s="1"/>
  <c r="A597" i="10" s="1"/>
  <c r="A598" i="10" s="1"/>
  <c r="A599" i="10" s="1"/>
  <c r="A600" i="10" s="1"/>
  <c r="A601" i="10" s="1"/>
  <c r="A602" i="10" s="1"/>
  <c r="A603" i="10" s="1"/>
  <c r="A604" i="10" s="1"/>
  <c r="A605" i="10" s="1"/>
  <c r="A606" i="10" s="1"/>
  <c r="A607" i="10" s="1"/>
  <c r="A608" i="10" s="1"/>
  <c r="A609" i="10" s="1"/>
  <c r="A610" i="10" s="1"/>
  <c r="A611" i="10" s="1"/>
  <c r="A612" i="10" s="1"/>
  <c r="A613" i="10" s="1"/>
  <c r="A614" i="10" s="1"/>
  <c r="A615" i="10" s="1"/>
  <c r="A616" i="10" s="1"/>
  <c r="A617" i="10" s="1"/>
  <c r="A618" i="10" s="1"/>
  <c r="A619" i="10" s="1"/>
  <c r="A620" i="10" s="1"/>
  <c r="A621" i="10" s="1"/>
  <c r="A622" i="10" s="1"/>
  <c r="A623" i="10" s="1"/>
  <c r="A624" i="10" s="1"/>
  <c r="A625" i="10" s="1"/>
  <c r="A626" i="10" s="1"/>
  <c r="A627" i="10" s="1"/>
  <c r="A628" i="10" s="1"/>
  <c r="A629" i="10" s="1"/>
  <c r="A630" i="10" s="1"/>
  <c r="A631" i="10" s="1"/>
  <c r="A632" i="10" s="1"/>
  <c r="A633" i="10" s="1"/>
  <c r="A634" i="10" s="1"/>
  <c r="A635" i="10" s="1"/>
  <c r="A636" i="10" s="1"/>
  <c r="A637" i="10" s="1"/>
  <c r="A638" i="10" s="1"/>
  <c r="A639" i="10" s="1"/>
  <c r="A640" i="10" s="1"/>
  <c r="A641" i="10" s="1"/>
  <c r="A642" i="10" s="1"/>
  <c r="A643" i="10" s="1"/>
  <c r="A644" i="10" s="1"/>
  <c r="A645" i="10" s="1"/>
  <c r="A646" i="10" s="1"/>
  <c r="A647" i="10" s="1"/>
  <c r="A648" i="10" s="1"/>
  <c r="A649" i="10" s="1"/>
  <c r="A650" i="10" s="1"/>
  <c r="A651" i="10" s="1"/>
  <c r="A652" i="10" s="1"/>
  <c r="A653" i="10" s="1"/>
  <c r="A654" i="10" s="1"/>
  <c r="A655" i="10" s="1"/>
  <c r="A656" i="10" s="1"/>
  <c r="A657" i="10" s="1"/>
  <c r="A658" i="10" s="1"/>
  <c r="A659" i="10" s="1"/>
  <c r="A660" i="10" s="1"/>
  <c r="A661" i="10" s="1"/>
  <c r="A662" i="10" s="1"/>
  <c r="A663" i="10" s="1"/>
  <c r="A664" i="10" s="1"/>
  <c r="A665" i="10" s="1"/>
  <c r="A666" i="10" s="1"/>
  <c r="A667" i="10" s="1"/>
  <c r="A668" i="10" s="1"/>
  <c r="A669" i="10" s="1"/>
  <c r="A670" i="10" s="1"/>
  <c r="A671" i="10" s="1"/>
  <c r="A672" i="10" s="1"/>
  <c r="A673" i="10" s="1"/>
  <c r="A674" i="10" s="1"/>
  <c r="A675" i="10" s="1"/>
  <c r="A676" i="10" s="1"/>
  <c r="A677" i="10" s="1"/>
  <c r="A678" i="10" s="1"/>
  <c r="A679" i="10" s="1"/>
  <c r="A680" i="10" s="1"/>
  <c r="A681" i="10" s="1"/>
  <c r="A682" i="10" s="1"/>
  <c r="A683" i="10" s="1"/>
  <c r="A684" i="10" s="1"/>
  <c r="A685" i="10" s="1"/>
  <c r="A686" i="10" s="1"/>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A731" i="10" s="1"/>
  <c r="A732" i="10" s="1"/>
  <c r="A733" i="10" s="1"/>
  <c r="A734" i="10" s="1"/>
  <c r="A735" i="10" s="1"/>
  <c r="A736" i="10" s="1"/>
  <c r="A737" i="10" s="1"/>
  <c r="A738" i="10" s="1"/>
  <c r="A739" i="10" s="1"/>
  <c r="A740" i="10" s="1"/>
  <c r="A741" i="10" s="1"/>
  <c r="A742" i="10" s="1"/>
  <c r="A743" i="10" s="1"/>
  <c r="A744" i="10" s="1"/>
  <c r="A745" i="10" s="1"/>
  <c r="A746" i="10" s="1"/>
  <c r="A747" i="10" s="1"/>
  <c r="A748" i="10" s="1"/>
  <c r="A749" i="10" s="1"/>
  <c r="A750" i="10" s="1"/>
  <c r="A751" i="10" s="1"/>
  <c r="A752" i="10" s="1"/>
  <c r="A753" i="10" s="1"/>
  <c r="A754" i="10" s="1"/>
  <c r="A755" i="10" s="1"/>
  <c r="A756" i="10" s="1"/>
  <c r="A757" i="10" s="1"/>
  <c r="A758" i="10" s="1"/>
  <c r="A759" i="10" s="1"/>
  <c r="A760" i="10" s="1"/>
  <c r="A761" i="10" s="1"/>
  <c r="A762" i="10" s="1"/>
  <c r="A763" i="10" s="1"/>
  <c r="A764" i="10" s="1"/>
  <c r="A765" i="10" s="1"/>
  <c r="A766" i="10" s="1"/>
  <c r="A767" i="10" s="1"/>
  <c r="A768" i="10" s="1"/>
  <c r="A769" i="10" s="1"/>
  <c r="A770" i="10" s="1"/>
  <c r="A771" i="10" s="1"/>
  <c r="A772" i="10" s="1"/>
  <c r="A773" i="10" s="1"/>
  <c r="A774" i="10" s="1"/>
  <c r="A775" i="10" s="1"/>
  <c r="A776" i="10" s="1"/>
  <c r="A777" i="10" s="1"/>
  <c r="A778" i="10" s="1"/>
  <c r="A779" i="10" s="1"/>
  <c r="A780" i="10" s="1"/>
  <c r="A781" i="10" s="1"/>
  <c r="A782" i="10" s="1"/>
  <c r="A783" i="10" s="1"/>
  <c r="A784" i="10" s="1"/>
  <c r="A785" i="10" s="1"/>
  <c r="A786" i="10" s="1"/>
  <c r="A787" i="10" s="1"/>
  <c r="A788" i="10" s="1"/>
  <c r="A789" i="10" s="1"/>
  <c r="A790" i="10" s="1"/>
  <c r="A791" i="10" s="1"/>
  <c r="A792" i="10" s="1"/>
  <c r="A793" i="10" s="1"/>
  <c r="A794" i="10" s="1"/>
  <c r="A795" i="10" s="1"/>
  <c r="A796" i="10" s="1"/>
  <c r="A797" i="10" s="1"/>
  <c r="A798" i="10" s="1"/>
  <c r="A799" i="10" s="1"/>
  <c r="A800" i="10" s="1"/>
  <c r="A801" i="10" s="1"/>
  <c r="A802" i="10" s="1"/>
  <c r="A803" i="10" s="1"/>
  <c r="A804" i="10" s="1"/>
  <c r="A805" i="10" s="1"/>
  <c r="A806" i="10" s="1"/>
  <c r="A807" i="10" s="1"/>
  <c r="A808" i="10" s="1"/>
  <c r="A809" i="10" s="1"/>
  <c r="A810" i="10" s="1"/>
  <c r="A811" i="10" s="1"/>
  <c r="A812" i="10" s="1"/>
  <c r="A813" i="10" s="1"/>
  <c r="A814" i="10" s="1"/>
  <c r="A815" i="10" s="1"/>
  <c r="A816" i="10" s="1"/>
  <c r="A817" i="10" s="1"/>
  <c r="A818" i="10" s="1"/>
  <c r="A819" i="10" s="1"/>
  <c r="A820" i="10" s="1"/>
  <c r="A821" i="10" s="1"/>
  <c r="A822" i="10" s="1"/>
  <c r="A823" i="10" s="1"/>
  <c r="A824" i="10" s="1"/>
  <c r="A825" i="10" s="1"/>
  <c r="A826" i="10" s="1"/>
  <c r="A827" i="10" s="1"/>
  <c r="A828" i="10" s="1"/>
  <c r="A829" i="10" s="1"/>
  <c r="A830" i="10" s="1"/>
  <c r="A831" i="10" s="1"/>
  <c r="A832" i="10" s="1"/>
  <c r="A833" i="10" s="1"/>
  <c r="A834" i="10" s="1"/>
  <c r="A835" i="10" s="1"/>
  <c r="A836" i="10" s="1"/>
  <c r="A837" i="10" s="1"/>
  <c r="A838" i="10" s="1"/>
  <c r="A839" i="10" s="1"/>
  <c r="A840" i="10" s="1"/>
  <c r="A841" i="10" s="1"/>
  <c r="A842" i="10" s="1"/>
  <c r="A843" i="10" s="1"/>
  <c r="A844" i="10" s="1"/>
  <c r="A845" i="10" s="1"/>
  <c r="A846" i="10" s="1"/>
  <c r="A847" i="10" s="1"/>
  <c r="A848" i="10" s="1"/>
  <c r="A849" i="10" s="1"/>
  <c r="A850" i="10" s="1"/>
  <c r="A851" i="10" s="1"/>
  <c r="A852" i="10" s="1"/>
  <c r="A853" i="10" s="1"/>
  <c r="A854" i="10" s="1"/>
  <c r="A855" i="10" s="1"/>
  <c r="A856" i="10" s="1"/>
  <c r="A857" i="10" s="1"/>
  <c r="A858" i="10" s="1"/>
  <c r="A859" i="10" s="1"/>
  <c r="A860" i="10" s="1"/>
  <c r="A861" i="10" s="1"/>
  <c r="A862" i="10" s="1"/>
  <c r="A863" i="10" s="1"/>
  <c r="A864" i="10" s="1"/>
  <c r="A865" i="10" s="1"/>
  <c r="A866" i="10" s="1"/>
  <c r="A867" i="10" s="1"/>
  <c r="A868" i="10" s="1"/>
  <c r="A869" i="10" s="1"/>
  <c r="A870" i="10" s="1"/>
  <c r="A871" i="10" s="1"/>
  <c r="A872" i="10" s="1"/>
  <c r="A873" i="10" s="1"/>
  <c r="A874" i="10" s="1"/>
  <c r="A875" i="10" s="1"/>
  <c r="A876" i="10" s="1"/>
  <c r="A877" i="10" s="1"/>
  <c r="A878" i="10" s="1"/>
  <c r="A879" i="10" s="1"/>
  <c r="A880" i="10" s="1"/>
  <c r="A881" i="10" s="1"/>
  <c r="A882" i="10" s="1"/>
  <c r="A883" i="10" s="1"/>
  <c r="A884" i="10" s="1"/>
  <c r="A885" i="10" s="1"/>
  <c r="A886" i="10" s="1"/>
  <c r="A887" i="10" s="1"/>
  <c r="A888" i="10" s="1"/>
  <c r="A889" i="10" s="1"/>
  <c r="A890" i="10" s="1"/>
  <c r="A891" i="10" s="1"/>
  <c r="A892" i="10" s="1"/>
  <c r="A893" i="10" s="1"/>
  <c r="A894" i="10" s="1"/>
  <c r="A895" i="10" s="1"/>
  <c r="A896" i="10" s="1"/>
  <c r="A897" i="10" s="1"/>
  <c r="A898" i="10" s="1"/>
  <c r="A899" i="10" s="1"/>
  <c r="A900" i="10" s="1"/>
  <c r="A901" i="10" s="1"/>
  <c r="A902" i="10" s="1"/>
  <c r="A903" i="10" s="1"/>
  <c r="A904" i="10" s="1"/>
  <c r="A905" i="10" s="1"/>
  <c r="A906" i="10" s="1"/>
  <c r="A907" i="10" s="1"/>
  <c r="A908" i="10" s="1"/>
  <c r="A909" i="10" s="1"/>
  <c r="A910" i="10" s="1"/>
  <c r="A911" i="10" s="1"/>
  <c r="A912" i="10" s="1"/>
  <c r="A913" i="10" s="1"/>
  <c r="A914" i="10" s="1"/>
  <c r="A915" i="10" s="1"/>
  <c r="A916" i="10" s="1"/>
  <c r="A917" i="10" s="1"/>
  <c r="A918" i="10" s="1"/>
  <c r="A919" i="10" s="1"/>
  <c r="A920" i="10" s="1"/>
  <c r="A921" i="10" s="1"/>
  <c r="A922" i="10" s="1"/>
  <c r="A923" i="10" s="1"/>
  <c r="A924" i="10" s="1"/>
  <c r="A925" i="10" s="1"/>
  <c r="A926" i="10" s="1"/>
  <c r="A927" i="10" s="1"/>
  <c r="A928" i="10" s="1"/>
  <c r="A929" i="10" s="1"/>
  <c r="A930" i="10" s="1"/>
  <c r="A931" i="10" s="1"/>
  <c r="A932" i="10" s="1"/>
  <c r="A933" i="10" s="1"/>
  <c r="A934" i="10" s="1"/>
  <c r="A935" i="10" s="1"/>
  <c r="A936" i="10" s="1"/>
  <c r="A937" i="10" s="1"/>
  <c r="A938" i="10" s="1"/>
  <c r="A939" i="10" s="1"/>
  <c r="A940" i="10" s="1"/>
  <c r="A941" i="10" s="1"/>
  <c r="A942" i="10" s="1"/>
  <c r="A943" i="10" s="1"/>
  <c r="A944" i="10" s="1"/>
  <c r="A945" i="10" s="1"/>
  <c r="A946" i="10" s="1"/>
  <c r="A947" i="10" s="1"/>
  <c r="A948" i="10" s="1"/>
  <c r="A949" i="10" s="1"/>
  <c r="A950" i="10" s="1"/>
  <c r="A951" i="10" s="1"/>
  <c r="A952" i="10" s="1"/>
  <c r="A953" i="10" s="1"/>
  <c r="A954" i="10" s="1"/>
  <c r="A955" i="10" s="1"/>
  <c r="A956" i="10" s="1"/>
  <c r="A957" i="10" s="1"/>
  <c r="A958" i="10" s="1"/>
  <c r="A959" i="10" s="1"/>
  <c r="A960" i="10" s="1"/>
  <c r="A961" i="10" s="1"/>
  <c r="A962" i="10" s="1"/>
  <c r="A963" i="10" s="1"/>
  <c r="A964" i="10" s="1"/>
  <c r="A965" i="10" s="1"/>
  <c r="A966" i="10" s="1"/>
  <c r="A967" i="10" s="1"/>
  <c r="A968" i="10" s="1"/>
  <c r="A969" i="10" s="1"/>
  <c r="A970" i="10" s="1"/>
  <c r="A971" i="10" s="1"/>
  <c r="A972" i="10" s="1"/>
  <c r="A973" i="10" s="1"/>
  <c r="A974" i="10" s="1"/>
  <c r="A975" i="10" s="1"/>
  <c r="A976" i="10" s="1"/>
  <c r="A977" i="10" s="1"/>
  <c r="A978" i="10" s="1"/>
  <c r="A979" i="10" s="1"/>
  <c r="A980" i="10" s="1"/>
  <c r="A981" i="10" s="1"/>
  <c r="A982" i="10" s="1"/>
  <c r="A983" i="10" s="1"/>
  <c r="A984" i="10" s="1"/>
  <c r="A985" i="10" s="1"/>
  <c r="A986" i="10" s="1"/>
  <c r="A987" i="10" s="1"/>
  <c r="A988" i="10" s="1"/>
  <c r="A989" i="10" s="1"/>
  <c r="A990" i="10" s="1"/>
  <c r="A991" i="10" s="1"/>
  <c r="A992" i="10" s="1"/>
  <c r="A993" i="10" s="1"/>
  <c r="A994" i="10" s="1"/>
  <c r="A995" i="10" s="1"/>
  <c r="A996" i="10" s="1"/>
  <c r="A997" i="10" s="1"/>
  <c r="A998" i="10" s="1"/>
  <c r="A999" i="10" s="1"/>
  <c r="A1000" i="10" s="1"/>
  <c r="A1001" i="10" s="1"/>
  <c r="A1002" i="10" s="1"/>
  <c r="A1003" i="10" s="1"/>
  <c r="A1004" i="10" s="1"/>
  <c r="A1005" i="10" s="1"/>
  <c r="A1006" i="10" s="1"/>
  <c r="A1007" i="10" s="1"/>
  <c r="A1008" i="10" s="1"/>
  <c r="A1009" i="10" s="1"/>
  <c r="A1010" i="10" s="1"/>
  <c r="A1011" i="10" s="1"/>
  <c r="A1012" i="10" s="1"/>
  <c r="A1013" i="10" s="1"/>
  <c r="A1014" i="10" s="1"/>
  <c r="A1015" i="10" s="1"/>
  <c r="A1016" i="10" s="1"/>
  <c r="A1017" i="10" s="1"/>
  <c r="A1018" i="10" s="1"/>
  <c r="A1019" i="10" s="1"/>
  <c r="A1020" i="10" s="1"/>
  <c r="A1021" i="10" s="1"/>
  <c r="A1022" i="10" s="1"/>
  <c r="A1023" i="10" s="1"/>
  <c r="A1024" i="10" s="1"/>
  <c r="A1025" i="10" s="1"/>
  <c r="A1026" i="10" s="1"/>
  <c r="A1027" i="10" s="1"/>
  <c r="A1028" i="10" s="1"/>
  <c r="A1029" i="10" s="1"/>
  <c r="A1030" i="10" s="1"/>
  <c r="A1031" i="10" s="1"/>
  <c r="A1032" i="10" s="1"/>
  <c r="A1033" i="10" s="1"/>
  <c r="A1034" i="10" s="1"/>
  <c r="A1035" i="10" s="1"/>
  <c r="A1036" i="10" s="1"/>
  <c r="A1037" i="10" s="1"/>
  <c r="A1038" i="10" s="1"/>
  <c r="A1039" i="10" s="1"/>
  <c r="A1040" i="10" s="1"/>
  <c r="A1041" i="10" s="1"/>
  <c r="A1042" i="10" s="1"/>
  <c r="A1043" i="10" s="1"/>
  <c r="A1044" i="10" s="1"/>
  <c r="A1045" i="10" s="1"/>
  <c r="A1046" i="10" s="1"/>
  <c r="A1047" i="10" s="1"/>
  <c r="A1048" i="10" s="1"/>
  <c r="A1049" i="10" s="1"/>
  <c r="A1050" i="10" s="1"/>
  <c r="A1051" i="10" s="1"/>
  <c r="A1052" i="10" s="1"/>
  <c r="A1053" i="10" s="1"/>
  <c r="A1054" i="10" s="1"/>
  <c r="A1055" i="10" s="1"/>
  <c r="A1056" i="10" s="1"/>
  <c r="A1057" i="10" s="1"/>
  <c r="A1058" i="10" s="1"/>
  <c r="A1059" i="10" s="1"/>
  <c r="A1060" i="10" s="1"/>
  <c r="A1061" i="10" s="1"/>
  <c r="A1062" i="10" s="1"/>
  <c r="A1063" i="10" s="1"/>
  <c r="A1064" i="10" s="1"/>
  <c r="A1065" i="10" s="1"/>
  <c r="A1066" i="10" s="1"/>
  <c r="A1067" i="10" s="1"/>
  <c r="A1068" i="10" s="1"/>
  <c r="A1069" i="10" s="1"/>
  <c r="A1070" i="10" s="1"/>
  <c r="A1071" i="10" s="1"/>
  <c r="A1072" i="10" s="1"/>
  <c r="A1073" i="10" s="1"/>
  <c r="A1074" i="10" s="1"/>
  <c r="A1075" i="10" s="1"/>
  <c r="A1076" i="10" s="1"/>
  <c r="A1077" i="10" s="1"/>
  <c r="A1078" i="10" s="1"/>
  <c r="A1079" i="10" s="1"/>
  <c r="A1080" i="10" s="1"/>
  <c r="A1081" i="10" s="1"/>
  <c r="A1082" i="10" s="1"/>
  <c r="A1083" i="10" s="1"/>
  <c r="A1084" i="10" s="1"/>
  <c r="A1085" i="10" s="1"/>
  <c r="A1086" i="10" s="1"/>
  <c r="A1087" i="10" s="1"/>
  <c r="A1088" i="10" s="1"/>
  <c r="A1089" i="10" s="1"/>
  <c r="A1090" i="10" s="1"/>
  <c r="A1091" i="10" s="1"/>
  <c r="A1092" i="10" s="1"/>
  <c r="A1093" i="10" s="1"/>
  <c r="A1094" i="10" s="1"/>
  <c r="A1095" i="10" s="1"/>
  <c r="A1096" i="10" s="1"/>
  <c r="A1097" i="10" s="1"/>
  <c r="A1098" i="10" s="1"/>
  <c r="A1099" i="10" s="1"/>
  <c r="A1100" i="10" s="1"/>
  <c r="A1101" i="10" s="1"/>
  <c r="A1102" i="10" s="1"/>
  <c r="A1103" i="10" s="1"/>
  <c r="A1104" i="10" s="1"/>
  <c r="A1105" i="10" s="1"/>
  <c r="A1106" i="10" s="1"/>
  <c r="A1107" i="10" s="1"/>
  <c r="A1108" i="10" s="1"/>
  <c r="A1109" i="10" s="1"/>
  <c r="A1110" i="10" s="1"/>
  <c r="A1111" i="10" s="1"/>
  <c r="A1112" i="10" s="1"/>
  <c r="A1113" i="10" s="1"/>
  <c r="A1114" i="10" s="1"/>
  <c r="A1115" i="10" s="1"/>
  <c r="A1116" i="10" s="1"/>
  <c r="A1117" i="10" s="1"/>
  <c r="A1118" i="10" s="1"/>
  <c r="A1119" i="10" s="1"/>
  <c r="A1120" i="10" s="1"/>
  <c r="A1121" i="10" s="1"/>
  <c r="A1122" i="10" s="1"/>
  <c r="A1123" i="10" s="1"/>
  <c r="A1124" i="10" s="1"/>
  <c r="A1125" i="10" s="1"/>
  <c r="A1126" i="10" s="1"/>
  <c r="A1127" i="10" s="1"/>
  <c r="A1128" i="10" s="1"/>
  <c r="A1129" i="10" s="1"/>
  <c r="A1130" i="10" s="1"/>
  <c r="A1131" i="10" s="1"/>
  <c r="A1132" i="10" s="1"/>
  <c r="A1133" i="10" s="1"/>
  <c r="A1134" i="10" s="1"/>
  <c r="A1135" i="10" s="1"/>
  <c r="A1136" i="10" s="1"/>
  <c r="A1137" i="10" s="1"/>
  <c r="A1138" i="10" s="1"/>
  <c r="A1139" i="10" s="1"/>
  <c r="A1140" i="10" s="1"/>
  <c r="A1141" i="10" s="1"/>
  <c r="A1142" i="10" s="1"/>
  <c r="A1143" i="10" s="1"/>
  <c r="A1144" i="10" s="1"/>
  <c r="A1145" i="10" s="1"/>
  <c r="A1146" i="10" s="1"/>
  <c r="A1147" i="10" s="1"/>
  <c r="A1148" i="10" s="1"/>
  <c r="A1149" i="10" s="1"/>
  <c r="A1150" i="10" s="1"/>
  <c r="A1151" i="10" s="1"/>
  <c r="A1152" i="10" s="1"/>
  <c r="A1153" i="10" s="1"/>
  <c r="A1154" i="10" s="1"/>
  <c r="A1155" i="10" s="1"/>
  <c r="A1156" i="10" s="1"/>
  <c r="A1157" i="10" s="1"/>
  <c r="A1158" i="10" s="1"/>
  <c r="A1159" i="10" s="1"/>
  <c r="A1160" i="10" s="1"/>
  <c r="A1161" i="10" s="1"/>
  <c r="A1162" i="10" s="1"/>
  <c r="A1163" i="10" s="1"/>
  <c r="A1164" i="10" s="1"/>
  <c r="A1165" i="10" s="1"/>
  <c r="A1166" i="10" s="1"/>
  <c r="A1167" i="10" s="1"/>
  <c r="A1168" i="10" s="1"/>
  <c r="A1169" i="10" s="1"/>
  <c r="A1170" i="10" s="1"/>
  <c r="A1171" i="10" s="1"/>
  <c r="A1172" i="10" s="1"/>
  <c r="A1173" i="10" s="1"/>
  <c r="A1174" i="10" s="1"/>
  <c r="A1175" i="10" s="1"/>
  <c r="A1176" i="10" s="1"/>
  <c r="A1177" i="10" s="1"/>
  <c r="A1178" i="10" s="1"/>
  <c r="A1179" i="10" s="1"/>
  <c r="A1180" i="10" s="1"/>
  <c r="A1181" i="10" s="1"/>
  <c r="A1182" i="10" s="1"/>
  <c r="A1183" i="10" s="1"/>
  <c r="A1184" i="10" s="1"/>
  <c r="A1185" i="10" s="1"/>
  <c r="A1186" i="10" s="1"/>
  <c r="A1187" i="10" s="1"/>
  <c r="A1188" i="10" s="1"/>
  <c r="A1189" i="10" s="1"/>
  <c r="A1190" i="10" s="1"/>
  <c r="A1191" i="10" s="1"/>
  <c r="A1192" i="10" s="1"/>
  <c r="A1193" i="10" s="1"/>
  <c r="A1194" i="10" s="1"/>
  <c r="A1195" i="10" s="1"/>
  <c r="A1196" i="10" s="1"/>
  <c r="A1197" i="10" s="1"/>
  <c r="A1198" i="10" s="1"/>
  <c r="A1199" i="10" s="1"/>
  <c r="A1200" i="10" s="1"/>
  <c r="A1201" i="10" s="1"/>
  <c r="A1202" i="10" s="1"/>
  <c r="A1203" i="10" s="1"/>
  <c r="A1204" i="10" s="1"/>
  <c r="A1205" i="10" s="1"/>
  <c r="A1206" i="10" s="1"/>
  <c r="A1207" i="10" s="1"/>
  <c r="A1208" i="10" s="1"/>
  <c r="A1209" i="10" s="1"/>
  <c r="A1210" i="10" s="1"/>
  <c r="A1211" i="10" s="1"/>
  <c r="A1212" i="10" s="1"/>
  <c r="A1213" i="10" s="1"/>
  <c r="A1214" i="10" s="1"/>
  <c r="A1215" i="10" s="1"/>
  <c r="A1216" i="10" s="1"/>
  <c r="A1217" i="10" s="1"/>
  <c r="A1218" i="10" s="1"/>
  <c r="A1219" i="10" s="1"/>
  <c r="A1220" i="10" s="1"/>
  <c r="A1221" i="10" s="1"/>
  <c r="A1222" i="10" s="1"/>
  <c r="A1223" i="10" s="1"/>
  <c r="A1224" i="10" s="1"/>
  <c r="A1225" i="10" s="1"/>
  <c r="A1226" i="10" s="1"/>
  <c r="A1227" i="10" s="1"/>
  <c r="A1228" i="10" s="1"/>
  <c r="A1229" i="10" s="1"/>
  <c r="A1230" i="10" s="1"/>
  <c r="A1231" i="10" s="1"/>
  <c r="A1232" i="10" s="1"/>
  <c r="A1233" i="10" s="1"/>
  <c r="A1234" i="10" s="1"/>
  <c r="A1235" i="10" s="1"/>
  <c r="A1236" i="10" s="1"/>
  <c r="A1237" i="10" s="1"/>
  <c r="A1238" i="10" s="1"/>
  <c r="A1239" i="10" s="1"/>
  <c r="A1240" i="10" s="1"/>
  <c r="A1241" i="10" s="1"/>
  <c r="A1242" i="10" s="1"/>
  <c r="A1243" i="10" s="1"/>
  <c r="A1244" i="10" s="1"/>
  <c r="A1245" i="10" s="1"/>
  <c r="A1246" i="10" s="1"/>
  <c r="A1247" i="10" s="1"/>
  <c r="A1248" i="10" s="1"/>
  <c r="A1249" i="10" s="1"/>
  <c r="A1250" i="10" s="1"/>
  <c r="A1251" i="10" s="1"/>
  <c r="A1252" i="10" s="1"/>
  <c r="A1253" i="10" s="1"/>
  <c r="A1254" i="10" s="1"/>
  <c r="A1255" i="10" s="1"/>
  <c r="A1256" i="10" s="1"/>
  <c r="A1257" i="10" s="1"/>
  <c r="A1258" i="10" s="1"/>
  <c r="A1259" i="10" s="1"/>
  <c r="A1260" i="10" s="1"/>
  <c r="A1261" i="10" s="1"/>
  <c r="A1262" i="10" s="1"/>
  <c r="A1263" i="10" s="1"/>
  <c r="A1264" i="10" s="1"/>
  <c r="A1265" i="10" s="1"/>
  <c r="A1266" i="10" s="1"/>
  <c r="A1267" i="10" s="1"/>
  <c r="A1268" i="10" s="1"/>
  <c r="A1269" i="10" s="1"/>
  <c r="A1270" i="10" s="1"/>
  <c r="A1271" i="10" s="1"/>
  <c r="A1272" i="10" s="1"/>
  <c r="A1273" i="10" s="1"/>
  <c r="A1274" i="10" s="1"/>
  <c r="A1275" i="10" s="1"/>
  <c r="A1276" i="10" s="1"/>
  <c r="A1277" i="10" s="1"/>
  <c r="A1278" i="10" s="1"/>
  <c r="A1279" i="10" s="1"/>
  <c r="A1280" i="10" s="1"/>
  <c r="A1281" i="10" s="1"/>
  <c r="A1282" i="10" s="1"/>
  <c r="A1283" i="10" s="1"/>
  <c r="A1284" i="10" s="1"/>
  <c r="A1285" i="10" s="1"/>
  <c r="A1286" i="10" s="1"/>
  <c r="A1287" i="10" s="1"/>
  <c r="A1288" i="10" s="1"/>
  <c r="A1289" i="10" s="1"/>
  <c r="A1290" i="10" s="1"/>
  <c r="A1291" i="10" s="1"/>
  <c r="A1292" i="10" s="1"/>
  <c r="A1293" i="10" s="1"/>
  <c r="A1294" i="10" s="1"/>
  <c r="A1295" i="10" s="1"/>
  <c r="A1296" i="10" s="1"/>
  <c r="A1297" i="10" s="1"/>
  <c r="A1298" i="10" s="1"/>
  <c r="A1299" i="10" s="1"/>
  <c r="A1300" i="10" s="1"/>
  <c r="A1301" i="10" s="1"/>
  <c r="A1302" i="10" s="1"/>
  <c r="A1303" i="10" s="1"/>
  <c r="A1304" i="10" s="1"/>
  <c r="A1305" i="10" s="1"/>
  <c r="A1306" i="10" s="1"/>
  <c r="A1307" i="10" s="1"/>
  <c r="A1308" i="10" s="1"/>
  <c r="A1309" i="10" s="1"/>
  <c r="A1310" i="10" s="1"/>
  <c r="A1311" i="10" s="1"/>
  <c r="A1312" i="10" s="1"/>
  <c r="A1313" i="10" s="1"/>
  <c r="A1314" i="10" s="1"/>
  <c r="A1315" i="10" s="1"/>
  <c r="A1316" i="10" s="1"/>
  <c r="A1317" i="10" s="1"/>
  <c r="A2" i="10"/>
  <c r="B3" i="10"/>
  <c r="B4" i="10" s="1"/>
  <c r="B5" i="10" s="1"/>
  <c r="B6" i="10" s="1"/>
  <c r="B7" i="10" s="1"/>
  <c r="B8" i="10" s="1"/>
  <c r="B9" i="10" s="1"/>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B171" i="10" s="1"/>
  <c r="B172" i="10" s="1"/>
  <c r="B173" i="10" s="1"/>
  <c r="B174" i="10" s="1"/>
  <c r="B175" i="10" s="1"/>
  <c r="B176" i="10" s="1"/>
  <c r="B177" i="10" s="1"/>
  <c r="B178" i="10" s="1"/>
  <c r="B179" i="10" s="1"/>
  <c r="B180" i="10" s="1"/>
  <c r="B181" i="10" s="1"/>
  <c r="B182" i="10" s="1"/>
  <c r="B183" i="10" s="1"/>
  <c r="B184" i="10" s="1"/>
  <c r="B185" i="10" s="1"/>
  <c r="B186" i="10" s="1"/>
  <c r="B187" i="10" s="1"/>
  <c r="B188" i="10" s="1"/>
  <c r="B189" i="10" s="1"/>
  <c r="B190" i="10" s="1"/>
  <c r="B191" i="10" s="1"/>
  <c r="B192" i="10" s="1"/>
  <c r="B193" i="10" s="1"/>
  <c r="B194" i="10" s="1"/>
  <c r="B195" i="10" s="1"/>
  <c r="B196" i="10" s="1"/>
  <c r="B197" i="10" s="1"/>
  <c r="B198" i="10" s="1"/>
  <c r="B199" i="10" s="1"/>
  <c r="B200" i="10" s="1"/>
  <c r="B201" i="10" s="1"/>
  <c r="B202" i="10" s="1"/>
  <c r="B203" i="10" s="1"/>
  <c r="B204" i="10" s="1"/>
  <c r="B205" i="10" s="1"/>
  <c r="B206" i="10" s="1"/>
  <c r="B207" i="10" s="1"/>
  <c r="B208" i="10" s="1"/>
  <c r="B209" i="10" s="1"/>
  <c r="B210" i="10" s="1"/>
  <c r="B211" i="10" s="1"/>
  <c r="B212" i="10" s="1"/>
  <c r="B213" i="10" s="1"/>
  <c r="B214" i="10" s="1"/>
  <c r="B215" i="10" s="1"/>
  <c r="B216" i="10" s="1"/>
  <c r="B217" i="10" s="1"/>
  <c r="B218" i="10" s="1"/>
  <c r="B219" i="10" s="1"/>
  <c r="B220" i="10" s="1"/>
  <c r="B221" i="10" s="1"/>
  <c r="B222" i="10" s="1"/>
  <c r="B223" i="10" s="1"/>
  <c r="B224" i="10" s="1"/>
  <c r="B225" i="10" s="1"/>
  <c r="B226" i="10" s="1"/>
  <c r="B227" i="10" s="1"/>
  <c r="B228" i="10" s="1"/>
  <c r="B229" i="10" s="1"/>
  <c r="B230" i="10" s="1"/>
  <c r="B231" i="10" s="1"/>
  <c r="B232" i="10" s="1"/>
  <c r="B233" i="10" s="1"/>
  <c r="B234" i="10" s="1"/>
  <c r="B235" i="10" s="1"/>
  <c r="B236" i="10" s="1"/>
  <c r="B237" i="10" s="1"/>
  <c r="B238" i="10" s="1"/>
  <c r="B239" i="10" s="1"/>
  <c r="B240" i="10" s="1"/>
  <c r="B241" i="10" s="1"/>
  <c r="B242" i="10" s="1"/>
  <c r="B243" i="10" s="1"/>
  <c r="B244" i="10" s="1"/>
  <c r="B245" i="10" s="1"/>
  <c r="B246" i="10" s="1"/>
  <c r="B247" i="10" s="1"/>
  <c r="B248" i="10" s="1"/>
  <c r="B249" i="10" s="1"/>
  <c r="B250" i="10" s="1"/>
  <c r="B251" i="10" s="1"/>
  <c r="B252" i="10" s="1"/>
  <c r="B253" i="10" s="1"/>
  <c r="B254" i="10" s="1"/>
  <c r="B255" i="10" s="1"/>
  <c r="B256" i="10" s="1"/>
  <c r="B257" i="10" s="1"/>
  <c r="B258" i="10" s="1"/>
  <c r="B259" i="10" s="1"/>
  <c r="B260" i="10" s="1"/>
  <c r="B261" i="10" s="1"/>
  <c r="B262" i="10" s="1"/>
  <c r="B263" i="10" s="1"/>
  <c r="B264" i="10" s="1"/>
  <c r="B265" i="10" s="1"/>
  <c r="B266" i="10" s="1"/>
  <c r="B267" i="10" s="1"/>
  <c r="B268" i="10" s="1"/>
  <c r="B269" i="10" s="1"/>
  <c r="B270" i="10" s="1"/>
  <c r="B271" i="10" s="1"/>
  <c r="B272" i="10" s="1"/>
  <c r="B273" i="10" s="1"/>
  <c r="B274" i="10" s="1"/>
  <c r="B275" i="10" s="1"/>
  <c r="B276" i="10" s="1"/>
  <c r="B277" i="10" s="1"/>
  <c r="B278" i="10" s="1"/>
  <c r="B279" i="10" s="1"/>
  <c r="B280" i="10" s="1"/>
  <c r="B281" i="10" s="1"/>
  <c r="B282" i="10" s="1"/>
  <c r="B283" i="10" s="1"/>
  <c r="B284" i="10" s="1"/>
  <c r="B285" i="10" s="1"/>
  <c r="B286" i="10" s="1"/>
  <c r="B287" i="10" s="1"/>
  <c r="B288" i="10" s="1"/>
  <c r="B289" i="10" s="1"/>
  <c r="B290" i="10" s="1"/>
  <c r="B291" i="10" s="1"/>
  <c r="B292" i="10" s="1"/>
  <c r="B293" i="10" s="1"/>
  <c r="B294" i="10" s="1"/>
  <c r="B295" i="10" s="1"/>
  <c r="B296" i="10" s="1"/>
  <c r="B297" i="10" s="1"/>
  <c r="B298" i="10" s="1"/>
  <c r="B299" i="10" s="1"/>
  <c r="B300" i="10" s="1"/>
  <c r="B301" i="10" s="1"/>
  <c r="B302" i="10" s="1"/>
  <c r="B303" i="10" s="1"/>
  <c r="B304" i="10" s="1"/>
  <c r="B305" i="10" s="1"/>
  <c r="B306" i="10" s="1"/>
  <c r="B307" i="10" s="1"/>
  <c r="B308" i="10" s="1"/>
  <c r="B309" i="10" s="1"/>
  <c r="B310" i="10" s="1"/>
  <c r="B311" i="10" s="1"/>
  <c r="B312" i="10" s="1"/>
  <c r="B313" i="10" s="1"/>
  <c r="B314" i="10" s="1"/>
  <c r="B315" i="10" s="1"/>
  <c r="B316" i="10" s="1"/>
  <c r="B317" i="10" s="1"/>
  <c r="B318" i="10" s="1"/>
  <c r="B319" i="10" s="1"/>
  <c r="B320" i="10" s="1"/>
  <c r="B321" i="10" s="1"/>
  <c r="B322" i="10" s="1"/>
  <c r="B323" i="10" s="1"/>
  <c r="B324" i="10" s="1"/>
  <c r="B325" i="10" s="1"/>
  <c r="B326" i="10" s="1"/>
  <c r="B327" i="10" s="1"/>
  <c r="B328" i="10" s="1"/>
  <c r="B329" i="10" s="1"/>
  <c r="B330" i="10" s="1"/>
  <c r="B331" i="10" s="1"/>
  <c r="B332" i="10" s="1"/>
  <c r="B333" i="10" s="1"/>
  <c r="B334" i="10" s="1"/>
  <c r="B335" i="10" s="1"/>
  <c r="B336" i="10" s="1"/>
  <c r="B337" i="10" s="1"/>
  <c r="B338" i="10" s="1"/>
  <c r="B339" i="10" s="1"/>
  <c r="B340" i="10" s="1"/>
  <c r="B341" i="10" s="1"/>
  <c r="B342" i="10" s="1"/>
  <c r="B343" i="10" s="1"/>
  <c r="B344" i="10" s="1"/>
  <c r="B345" i="10" s="1"/>
  <c r="B346" i="10" s="1"/>
  <c r="B347" i="10" s="1"/>
  <c r="B348" i="10" s="1"/>
  <c r="B349" i="10" s="1"/>
  <c r="B350" i="10" s="1"/>
  <c r="B351" i="10" s="1"/>
  <c r="B352" i="10" s="1"/>
  <c r="B353" i="10" s="1"/>
  <c r="B354" i="10" s="1"/>
  <c r="B355" i="10" s="1"/>
  <c r="B356" i="10" s="1"/>
  <c r="B357" i="10" s="1"/>
  <c r="B358" i="10" s="1"/>
  <c r="B359" i="10" s="1"/>
  <c r="B360" i="10" s="1"/>
  <c r="B361" i="10" s="1"/>
  <c r="B362" i="10" s="1"/>
  <c r="B363" i="10" s="1"/>
  <c r="B364" i="10" s="1"/>
  <c r="B365" i="10" s="1"/>
  <c r="B366" i="10" s="1"/>
  <c r="B367" i="10" s="1"/>
  <c r="B368" i="10" s="1"/>
  <c r="B369" i="10" s="1"/>
  <c r="B370" i="10" s="1"/>
  <c r="B371" i="10" s="1"/>
  <c r="B372" i="10" s="1"/>
  <c r="B373" i="10" s="1"/>
  <c r="B374" i="10" s="1"/>
  <c r="B375" i="10" s="1"/>
  <c r="B376" i="10" s="1"/>
  <c r="B377" i="10" s="1"/>
  <c r="B378" i="10" s="1"/>
  <c r="B379" i="10" s="1"/>
  <c r="B380" i="10" s="1"/>
  <c r="B381" i="10" s="1"/>
  <c r="B382" i="10" s="1"/>
  <c r="B383" i="10" s="1"/>
  <c r="B384" i="10" s="1"/>
  <c r="B385" i="10" s="1"/>
  <c r="B386" i="10" s="1"/>
  <c r="B387" i="10" s="1"/>
  <c r="B388" i="10" s="1"/>
  <c r="B389" i="10" s="1"/>
  <c r="B390" i="10" s="1"/>
  <c r="B391" i="10" s="1"/>
  <c r="B392" i="10" s="1"/>
  <c r="B393" i="10" s="1"/>
  <c r="B394" i="10" s="1"/>
  <c r="B395" i="10" s="1"/>
  <c r="B396" i="10" s="1"/>
  <c r="B397" i="10" s="1"/>
  <c r="B398" i="10" s="1"/>
  <c r="B399" i="10" s="1"/>
  <c r="B400" i="10" s="1"/>
  <c r="B401" i="10" s="1"/>
  <c r="B402" i="10" s="1"/>
  <c r="B403" i="10" s="1"/>
  <c r="B404" i="10" s="1"/>
  <c r="B405" i="10" s="1"/>
  <c r="B406" i="10" s="1"/>
  <c r="B407" i="10" s="1"/>
  <c r="B408" i="10" s="1"/>
  <c r="B409" i="10" s="1"/>
  <c r="B410" i="10" s="1"/>
  <c r="B411" i="10" s="1"/>
  <c r="B412" i="10" s="1"/>
  <c r="B413" i="10" s="1"/>
  <c r="B414" i="10" s="1"/>
  <c r="B415" i="10" s="1"/>
  <c r="B416" i="10" s="1"/>
  <c r="B417" i="10" s="1"/>
  <c r="B418" i="10" s="1"/>
  <c r="B419" i="10" s="1"/>
  <c r="B420" i="10" s="1"/>
  <c r="B421" i="10" s="1"/>
  <c r="B422" i="10" s="1"/>
  <c r="B423" i="10" s="1"/>
  <c r="B424" i="10" s="1"/>
  <c r="B425" i="10" s="1"/>
  <c r="B426" i="10" s="1"/>
  <c r="B427" i="10" s="1"/>
  <c r="B428" i="10" s="1"/>
  <c r="B429" i="10" s="1"/>
  <c r="B430" i="10" s="1"/>
  <c r="B431" i="10" s="1"/>
  <c r="B432" i="10" s="1"/>
  <c r="B433" i="10" s="1"/>
  <c r="B434" i="10" s="1"/>
  <c r="B435" i="10" s="1"/>
  <c r="B436" i="10" s="1"/>
  <c r="B437" i="10" s="1"/>
  <c r="B438" i="10" s="1"/>
  <c r="B439" i="10" s="1"/>
  <c r="B440" i="10" s="1"/>
  <c r="B441" i="10" s="1"/>
  <c r="B442" i="10" s="1"/>
  <c r="B443" i="10" s="1"/>
  <c r="B444" i="10" s="1"/>
  <c r="B445" i="10" s="1"/>
  <c r="B446" i="10" s="1"/>
  <c r="B447" i="10" s="1"/>
  <c r="B448" i="10" s="1"/>
  <c r="B449" i="10" s="1"/>
  <c r="B450" i="10" s="1"/>
  <c r="B451" i="10" s="1"/>
  <c r="B452" i="10" s="1"/>
  <c r="B453" i="10" s="1"/>
  <c r="B454" i="10" s="1"/>
  <c r="B455" i="10" s="1"/>
  <c r="B456" i="10" s="1"/>
  <c r="B457" i="10" s="1"/>
  <c r="B458" i="10" s="1"/>
  <c r="B459" i="10" s="1"/>
  <c r="B460" i="10" s="1"/>
  <c r="B461" i="10" s="1"/>
  <c r="B462" i="10" s="1"/>
  <c r="B463" i="10" s="1"/>
  <c r="B464" i="10" s="1"/>
  <c r="B465" i="10" s="1"/>
  <c r="B466" i="10" s="1"/>
  <c r="B467" i="10" s="1"/>
  <c r="B468" i="10" s="1"/>
  <c r="B469" i="10" s="1"/>
  <c r="B470" i="10" s="1"/>
  <c r="B471" i="10" s="1"/>
  <c r="B472" i="10" s="1"/>
  <c r="B473" i="10" s="1"/>
  <c r="B474" i="10" s="1"/>
  <c r="B475" i="10" s="1"/>
  <c r="B476" i="10" s="1"/>
  <c r="B477" i="10" s="1"/>
  <c r="B478" i="10" s="1"/>
  <c r="B479" i="10" s="1"/>
  <c r="B480" i="10" s="1"/>
  <c r="B481" i="10" s="1"/>
  <c r="B482" i="10" s="1"/>
  <c r="B483" i="10" s="1"/>
  <c r="B484" i="10" s="1"/>
  <c r="B485" i="10" s="1"/>
  <c r="B486" i="10" s="1"/>
  <c r="B487" i="10" s="1"/>
  <c r="B488" i="10" s="1"/>
  <c r="B489" i="10" s="1"/>
  <c r="B490" i="10" s="1"/>
  <c r="B491" i="10" s="1"/>
  <c r="B492" i="10" s="1"/>
  <c r="B493" i="10" s="1"/>
  <c r="B494" i="10" s="1"/>
  <c r="B495" i="10" s="1"/>
  <c r="B496" i="10" s="1"/>
  <c r="B497" i="10" s="1"/>
  <c r="B498" i="10" s="1"/>
  <c r="B499" i="10" s="1"/>
  <c r="B500" i="10" s="1"/>
  <c r="B501" i="10" s="1"/>
  <c r="B502" i="10" s="1"/>
  <c r="B503" i="10" s="1"/>
  <c r="B504" i="10" s="1"/>
  <c r="B505" i="10" s="1"/>
  <c r="B506" i="10" s="1"/>
  <c r="B507" i="10" s="1"/>
  <c r="B508" i="10" s="1"/>
  <c r="B509" i="10" s="1"/>
  <c r="B510" i="10" s="1"/>
  <c r="B511" i="10" s="1"/>
  <c r="B512" i="10" s="1"/>
  <c r="B513" i="10" s="1"/>
  <c r="B514" i="10" s="1"/>
  <c r="B515" i="10" s="1"/>
  <c r="B516" i="10" s="1"/>
  <c r="B517" i="10" s="1"/>
  <c r="B518" i="10" s="1"/>
  <c r="B519" i="10" s="1"/>
  <c r="B520" i="10" s="1"/>
  <c r="B521" i="10" s="1"/>
  <c r="B522" i="10" s="1"/>
  <c r="B523" i="10" s="1"/>
  <c r="B524" i="10" s="1"/>
  <c r="B525" i="10" s="1"/>
  <c r="B526" i="10" s="1"/>
  <c r="B527" i="10" s="1"/>
  <c r="B528" i="10" s="1"/>
  <c r="B529" i="10" s="1"/>
  <c r="B530" i="10" s="1"/>
  <c r="B531" i="10" s="1"/>
  <c r="B532" i="10" s="1"/>
  <c r="B533" i="10" s="1"/>
  <c r="B534" i="10" s="1"/>
  <c r="B535" i="10" s="1"/>
  <c r="B536" i="10" s="1"/>
  <c r="B537" i="10" s="1"/>
  <c r="B538" i="10" s="1"/>
  <c r="B539" i="10" s="1"/>
  <c r="B540" i="10" s="1"/>
  <c r="B541" i="10" s="1"/>
  <c r="B542" i="10" s="1"/>
  <c r="B543" i="10" s="1"/>
  <c r="B544" i="10" s="1"/>
  <c r="B545" i="10" s="1"/>
  <c r="B546" i="10" s="1"/>
  <c r="B547" i="10" s="1"/>
  <c r="B548" i="10" s="1"/>
  <c r="B549" i="10" s="1"/>
  <c r="B550" i="10" s="1"/>
  <c r="B551" i="10" s="1"/>
  <c r="B552" i="10" s="1"/>
  <c r="B553" i="10" s="1"/>
  <c r="B554" i="10" s="1"/>
  <c r="B555" i="10" s="1"/>
  <c r="B556" i="10" s="1"/>
  <c r="B557" i="10" s="1"/>
  <c r="B558" i="10" s="1"/>
  <c r="B559" i="10" s="1"/>
  <c r="B560" i="10" s="1"/>
  <c r="B561" i="10" s="1"/>
  <c r="B562" i="10" s="1"/>
  <c r="B563" i="10" s="1"/>
  <c r="B564" i="10" s="1"/>
  <c r="B565" i="10" s="1"/>
  <c r="B566" i="10" s="1"/>
  <c r="B567" i="10" s="1"/>
  <c r="B568" i="10" s="1"/>
  <c r="B569" i="10" s="1"/>
  <c r="B570" i="10" s="1"/>
  <c r="B571" i="10" s="1"/>
  <c r="B572" i="10" s="1"/>
  <c r="B573" i="10" s="1"/>
  <c r="B574" i="10" s="1"/>
  <c r="B575" i="10" s="1"/>
  <c r="B576" i="10" s="1"/>
  <c r="B577" i="10" s="1"/>
  <c r="B578" i="10" s="1"/>
  <c r="B579" i="10" s="1"/>
  <c r="B580" i="10" s="1"/>
  <c r="B581" i="10" s="1"/>
  <c r="B582" i="10" s="1"/>
  <c r="B583" i="10" s="1"/>
  <c r="B584" i="10" s="1"/>
  <c r="B585" i="10" s="1"/>
  <c r="B586" i="10" s="1"/>
  <c r="B587" i="10" s="1"/>
  <c r="B588" i="10" s="1"/>
  <c r="B589" i="10" s="1"/>
  <c r="B590" i="10" s="1"/>
  <c r="B591" i="10" s="1"/>
  <c r="B592" i="10" s="1"/>
  <c r="B593" i="10" s="1"/>
  <c r="B594" i="10" s="1"/>
  <c r="B595" i="10" s="1"/>
  <c r="B596" i="10" s="1"/>
  <c r="B597" i="10" s="1"/>
  <c r="B598" i="10" s="1"/>
  <c r="B599" i="10" s="1"/>
  <c r="B600" i="10" s="1"/>
  <c r="B601" i="10" s="1"/>
  <c r="B602" i="10" s="1"/>
  <c r="B603" i="10" s="1"/>
  <c r="B604" i="10" s="1"/>
  <c r="B605" i="10" s="1"/>
  <c r="B606" i="10" s="1"/>
  <c r="B607" i="10" s="1"/>
  <c r="B608" i="10" s="1"/>
  <c r="B609" i="10" s="1"/>
  <c r="B610" i="10" s="1"/>
  <c r="B611" i="10" s="1"/>
  <c r="B612" i="10" s="1"/>
  <c r="B613" i="10" s="1"/>
  <c r="B614" i="10" s="1"/>
  <c r="B615" i="10" s="1"/>
  <c r="B616" i="10" s="1"/>
  <c r="B617" i="10" s="1"/>
  <c r="B618" i="10" s="1"/>
  <c r="B619" i="10" s="1"/>
  <c r="B620" i="10" s="1"/>
  <c r="B621" i="10" s="1"/>
  <c r="B622" i="10" s="1"/>
  <c r="B623" i="10" s="1"/>
  <c r="B624" i="10" s="1"/>
  <c r="B625" i="10" s="1"/>
  <c r="B626" i="10" s="1"/>
  <c r="B627" i="10" s="1"/>
  <c r="B628" i="10" s="1"/>
  <c r="B629" i="10" s="1"/>
  <c r="B630" i="10" s="1"/>
  <c r="B631" i="10" s="1"/>
  <c r="B632" i="10" s="1"/>
  <c r="B633" i="10" s="1"/>
  <c r="B634" i="10" s="1"/>
  <c r="B635" i="10" s="1"/>
  <c r="B636" i="10" s="1"/>
  <c r="B637" i="10" s="1"/>
  <c r="B638" i="10" s="1"/>
  <c r="B639" i="10" s="1"/>
  <c r="B640" i="10" s="1"/>
  <c r="B641" i="10" s="1"/>
  <c r="B642" i="10" s="1"/>
  <c r="B643" i="10" s="1"/>
  <c r="B644" i="10" s="1"/>
  <c r="B645" i="10" s="1"/>
  <c r="B646" i="10" s="1"/>
  <c r="B647" i="10" s="1"/>
  <c r="B648" i="10" s="1"/>
  <c r="B649" i="10" s="1"/>
  <c r="B650" i="10" s="1"/>
  <c r="B651" i="10" s="1"/>
  <c r="B652" i="10" s="1"/>
  <c r="B653" i="10" s="1"/>
  <c r="B654" i="10" s="1"/>
  <c r="B655" i="10" s="1"/>
  <c r="B656" i="10" s="1"/>
  <c r="B657" i="10" s="1"/>
  <c r="B658" i="10" s="1"/>
  <c r="B659" i="10" s="1"/>
  <c r="B660" i="10" s="1"/>
  <c r="B661" i="10" s="1"/>
  <c r="B662" i="10" s="1"/>
  <c r="B663" i="10" s="1"/>
  <c r="B664" i="10" s="1"/>
  <c r="B665" i="10" s="1"/>
  <c r="B666" i="10" s="1"/>
  <c r="B667" i="10" s="1"/>
  <c r="B668" i="10" s="1"/>
  <c r="B669" i="10" s="1"/>
  <c r="B670" i="10" s="1"/>
  <c r="B671" i="10" s="1"/>
  <c r="B672" i="10" s="1"/>
  <c r="B673" i="10" s="1"/>
  <c r="B674" i="10" s="1"/>
  <c r="B675" i="10" s="1"/>
  <c r="B676" i="10" s="1"/>
  <c r="B677" i="10" s="1"/>
  <c r="B678" i="10" s="1"/>
  <c r="B679" i="10" s="1"/>
  <c r="B680" i="10" s="1"/>
  <c r="B681" i="10" s="1"/>
  <c r="B682" i="10" s="1"/>
  <c r="B683" i="10" s="1"/>
  <c r="B684" i="10" s="1"/>
  <c r="B685" i="10" s="1"/>
  <c r="B686" i="10" s="1"/>
  <c r="B687" i="10" s="1"/>
  <c r="B688" i="10" s="1"/>
  <c r="B689" i="10" s="1"/>
  <c r="B690" i="10" s="1"/>
  <c r="B691" i="10" s="1"/>
  <c r="B692" i="10" s="1"/>
  <c r="B693" i="10" s="1"/>
  <c r="B694" i="10" s="1"/>
  <c r="B695" i="10" s="1"/>
  <c r="B696" i="10" s="1"/>
  <c r="B697" i="10" s="1"/>
  <c r="B698" i="10" s="1"/>
  <c r="B699" i="10" s="1"/>
  <c r="B700" i="10" s="1"/>
  <c r="B701" i="10" s="1"/>
  <c r="B702" i="10" s="1"/>
  <c r="B703" i="10" s="1"/>
  <c r="B704" i="10" s="1"/>
  <c r="B705" i="10" s="1"/>
  <c r="B706" i="10" s="1"/>
  <c r="B707" i="10" s="1"/>
  <c r="B708" i="10" s="1"/>
  <c r="B709" i="10" s="1"/>
  <c r="B710" i="10" s="1"/>
  <c r="B711" i="10" s="1"/>
  <c r="B712" i="10" s="1"/>
  <c r="B713" i="10" s="1"/>
  <c r="B714" i="10" s="1"/>
  <c r="B715" i="10" s="1"/>
  <c r="B716" i="10" s="1"/>
  <c r="B717" i="10" s="1"/>
  <c r="B718" i="10" s="1"/>
  <c r="B719" i="10" s="1"/>
  <c r="B720" i="10" s="1"/>
  <c r="B721" i="10" s="1"/>
  <c r="B722" i="10" s="1"/>
  <c r="B723" i="10" s="1"/>
  <c r="B724" i="10" s="1"/>
  <c r="B725" i="10" s="1"/>
  <c r="B726" i="10" s="1"/>
  <c r="B727" i="10" s="1"/>
  <c r="B728" i="10" s="1"/>
  <c r="B729" i="10" s="1"/>
  <c r="B730" i="10" s="1"/>
  <c r="B731" i="10" s="1"/>
  <c r="B732" i="10" s="1"/>
  <c r="B733" i="10" s="1"/>
  <c r="B734" i="10" s="1"/>
  <c r="B735" i="10" s="1"/>
  <c r="B736" i="10" s="1"/>
  <c r="B737" i="10" s="1"/>
  <c r="B738" i="10" s="1"/>
  <c r="B739" i="10" s="1"/>
  <c r="B740" i="10" s="1"/>
  <c r="B741" i="10" s="1"/>
  <c r="B742" i="10" s="1"/>
  <c r="B743" i="10" s="1"/>
  <c r="B744" i="10" s="1"/>
  <c r="B745" i="10" s="1"/>
  <c r="B746" i="10" s="1"/>
  <c r="B747" i="10" s="1"/>
  <c r="B748" i="10" s="1"/>
  <c r="B749" i="10" s="1"/>
  <c r="B750" i="10" s="1"/>
  <c r="B751" i="10" s="1"/>
  <c r="B752" i="10" s="1"/>
  <c r="B753" i="10" s="1"/>
  <c r="B754" i="10" s="1"/>
  <c r="B755" i="10" s="1"/>
  <c r="B756" i="10" s="1"/>
  <c r="B757" i="10" s="1"/>
  <c r="B758" i="10" s="1"/>
  <c r="B759" i="10" s="1"/>
  <c r="B760" i="10" s="1"/>
  <c r="B761" i="10" s="1"/>
  <c r="B762" i="10" s="1"/>
  <c r="B763" i="10" s="1"/>
  <c r="B764" i="10" s="1"/>
  <c r="B765" i="10" s="1"/>
  <c r="B766" i="10" s="1"/>
  <c r="B767" i="10" s="1"/>
  <c r="B768" i="10" s="1"/>
  <c r="B769" i="10" s="1"/>
  <c r="B770" i="10" s="1"/>
  <c r="B771" i="10" s="1"/>
  <c r="B772" i="10" s="1"/>
  <c r="B773" i="10" s="1"/>
  <c r="B774" i="10" s="1"/>
  <c r="B775" i="10" s="1"/>
  <c r="B776" i="10" s="1"/>
  <c r="B777" i="10" s="1"/>
  <c r="B778" i="10" s="1"/>
  <c r="B779" i="10" s="1"/>
  <c r="B780" i="10" s="1"/>
  <c r="B781" i="10" s="1"/>
  <c r="B782" i="10" s="1"/>
  <c r="B783" i="10" s="1"/>
  <c r="B784" i="10" s="1"/>
  <c r="B785" i="10" s="1"/>
  <c r="B786" i="10" s="1"/>
  <c r="B787" i="10" s="1"/>
  <c r="B788" i="10" s="1"/>
  <c r="B789" i="10" s="1"/>
  <c r="B790" i="10" s="1"/>
  <c r="B791" i="10" s="1"/>
  <c r="B792" i="10" s="1"/>
  <c r="B793" i="10" s="1"/>
  <c r="B794" i="10" s="1"/>
  <c r="B795" i="10" s="1"/>
  <c r="B796" i="10" s="1"/>
  <c r="B797" i="10" s="1"/>
  <c r="B798" i="10" s="1"/>
  <c r="B799" i="10" s="1"/>
  <c r="B800" i="10" s="1"/>
  <c r="B801" i="10" s="1"/>
  <c r="B802" i="10" s="1"/>
  <c r="B803" i="10" s="1"/>
  <c r="B804" i="10" s="1"/>
  <c r="B805" i="10" s="1"/>
  <c r="B806" i="10" s="1"/>
  <c r="B807" i="10" s="1"/>
  <c r="B808" i="10" s="1"/>
  <c r="B809" i="10" s="1"/>
  <c r="B810" i="10" s="1"/>
  <c r="B811" i="10" s="1"/>
  <c r="B812" i="10" s="1"/>
  <c r="B813" i="10" s="1"/>
  <c r="B814" i="10" s="1"/>
  <c r="B815" i="10" s="1"/>
  <c r="B816" i="10" s="1"/>
  <c r="B817" i="10" s="1"/>
  <c r="B818" i="10" s="1"/>
  <c r="B819" i="10" s="1"/>
  <c r="B820" i="10" s="1"/>
  <c r="B821" i="10" s="1"/>
  <c r="B822" i="10" s="1"/>
  <c r="B823" i="10" s="1"/>
  <c r="B824" i="10" s="1"/>
  <c r="B825" i="10" s="1"/>
  <c r="B826" i="10" s="1"/>
  <c r="B827" i="10" s="1"/>
  <c r="B828" i="10" s="1"/>
  <c r="B829" i="10" s="1"/>
  <c r="B830" i="10" s="1"/>
  <c r="B831" i="10" s="1"/>
  <c r="B832" i="10" s="1"/>
  <c r="B833" i="10" s="1"/>
  <c r="B834" i="10" s="1"/>
  <c r="B835" i="10" s="1"/>
  <c r="B836" i="10" s="1"/>
  <c r="B837" i="10" s="1"/>
  <c r="B838" i="10" s="1"/>
  <c r="B839" i="10" s="1"/>
  <c r="B840" i="10" s="1"/>
  <c r="B841" i="10" s="1"/>
  <c r="B842" i="10" s="1"/>
  <c r="B843" i="10" s="1"/>
  <c r="B844" i="10" s="1"/>
  <c r="B845" i="10" s="1"/>
  <c r="B846" i="10" s="1"/>
  <c r="B847" i="10" s="1"/>
  <c r="B848" i="10" s="1"/>
  <c r="B849" i="10" s="1"/>
  <c r="B850" i="10" s="1"/>
  <c r="B851" i="10" s="1"/>
  <c r="B852" i="10" s="1"/>
  <c r="B853" i="10" s="1"/>
  <c r="B854" i="10" s="1"/>
  <c r="B855" i="10" s="1"/>
  <c r="B856" i="10" s="1"/>
  <c r="B857" i="10" s="1"/>
  <c r="B858" i="10" s="1"/>
  <c r="B859" i="10" s="1"/>
  <c r="B860" i="10" s="1"/>
  <c r="B861" i="10" s="1"/>
  <c r="B862" i="10" s="1"/>
  <c r="B863" i="10" s="1"/>
  <c r="B864" i="10" s="1"/>
  <c r="B865" i="10" s="1"/>
  <c r="B866" i="10" s="1"/>
  <c r="B867" i="10" s="1"/>
  <c r="B868" i="10" s="1"/>
  <c r="B869" i="10" s="1"/>
  <c r="B870" i="10" s="1"/>
  <c r="B871" i="10" s="1"/>
  <c r="B872" i="10" s="1"/>
  <c r="B873" i="10" s="1"/>
  <c r="B874" i="10" s="1"/>
  <c r="B875" i="10" s="1"/>
  <c r="B876" i="10" s="1"/>
  <c r="B877" i="10" s="1"/>
  <c r="B878" i="10" s="1"/>
  <c r="B879" i="10" s="1"/>
  <c r="B880" i="10" s="1"/>
  <c r="B881" i="10" s="1"/>
  <c r="B882" i="10" s="1"/>
  <c r="B883" i="10" s="1"/>
  <c r="B884" i="10" s="1"/>
  <c r="B885" i="10" s="1"/>
  <c r="B886" i="10" s="1"/>
  <c r="B887" i="10" s="1"/>
  <c r="B888" i="10" s="1"/>
  <c r="B889" i="10" s="1"/>
  <c r="B890" i="10" s="1"/>
  <c r="B891" i="10" s="1"/>
  <c r="B892" i="10" s="1"/>
  <c r="B893" i="10" s="1"/>
  <c r="B894" i="10" s="1"/>
  <c r="B895" i="10" s="1"/>
  <c r="B896" i="10" s="1"/>
  <c r="B897" i="10" s="1"/>
  <c r="B898" i="10" s="1"/>
  <c r="B899" i="10" s="1"/>
  <c r="B900" i="10" s="1"/>
  <c r="B901" i="10" s="1"/>
  <c r="B902" i="10" s="1"/>
  <c r="B903" i="10" s="1"/>
  <c r="B904" i="10" s="1"/>
  <c r="B905" i="10" s="1"/>
  <c r="B906" i="10" s="1"/>
  <c r="B907" i="10" s="1"/>
  <c r="B908" i="10" s="1"/>
  <c r="B909" i="10" s="1"/>
  <c r="B910" i="10" s="1"/>
  <c r="B911" i="10" s="1"/>
  <c r="B912" i="10" s="1"/>
  <c r="B913" i="10" s="1"/>
  <c r="B914" i="10" s="1"/>
  <c r="B915" i="10" s="1"/>
  <c r="B916" i="10" s="1"/>
  <c r="B917" i="10" s="1"/>
  <c r="B918" i="10" s="1"/>
  <c r="B919" i="10" s="1"/>
  <c r="B920" i="10" s="1"/>
  <c r="B921" i="10" s="1"/>
  <c r="B922" i="10" s="1"/>
  <c r="B923" i="10" s="1"/>
  <c r="B924" i="10" s="1"/>
  <c r="B925" i="10" s="1"/>
  <c r="B926" i="10" s="1"/>
  <c r="B927" i="10" s="1"/>
  <c r="B928" i="10" s="1"/>
  <c r="B929" i="10" s="1"/>
  <c r="B930" i="10" s="1"/>
  <c r="B931" i="10" s="1"/>
  <c r="B932" i="10" s="1"/>
  <c r="B933" i="10" s="1"/>
  <c r="B934" i="10" s="1"/>
  <c r="B935" i="10" s="1"/>
  <c r="B936" i="10" s="1"/>
  <c r="B937" i="10" s="1"/>
  <c r="B938" i="10" s="1"/>
  <c r="B939" i="10" s="1"/>
  <c r="B940" i="10" s="1"/>
  <c r="B941" i="10" s="1"/>
  <c r="B942" i="10" s="1"/>
  <c r="B943" i="10" s="1"/>
  <c r="B944" i="10" s="1"/>
  <c r="B945" i="10" s="1"/>
  <c r="B946" i="10" s="1"/>
  <c r="B947" i="10" s="1"/>
  <c r="B948" i="10" s="1"/>
  <c r="B949" i="10" s="1"/>
  <c r="B950" i="10" s="1"/>
  <c r="B951" i="10" s="1"/>
  <c r="B952" i="10" s="1"/>
  <c r="B953" i="10" s="1"/>
  <c r="B954" i="10" s="1"/>
  <c r="B955" i="10" s="1"/>
  <c r="B956" i="10" s="1"/>
  <c r="B957" i="10" s="1"/>
  <c r="B958" i="10" s="1"/>
  <c r="B959" i="10" s="1"/>
  <c r="B960" i="10" s="1"/>
  <c r="B961" i="10" s="1"/>
  <c r="B962" i="10" s="1"/>
  <c r="B963" i="10" s="1"/>
  <c r="B964" i="10" s="1"/>
  <c r="B965" i="10" s="1"/>
  <c r="B966" i="10" s="1"/>
  <c r="B967" i="10" s="1"/>
  <c r="B968" i="10" s="1"/>
  <c r="B969" i="10" s="1"/>
  <c r="B970" i="10" s="1"/>
  <c r="B971" i="10" s="1"/>
  <c r="B972" i="10" s="1"/>
  <c r="B973" i="10" s="1"/>
  <c r="B974" i="10" s="1"/>
  <c r="B975" i="10" s="1"/>
  <c r="B976" i="10" s="1"/>
  <c r="B977" i="10" s="1"/>
  <c r="B978" i="10" s="1"/>
  <c r="B979" i="10" s="1"/>
  <c r="B980" i="10" s="1"/>
  <c r="B981" i="10" s="1"/>
  <c r="B982" i="10" s="1"/>
  <c r="B983" i="10" s="1"/>
  <c r="B984" i="10" s="1"/>
  <c r="B985" i="10" s="1"/>
  <c r="B986" i="10" s="1"/>
  <c r="B987" i="10" s="1"/>
  <c r="B988" i="10" s="1"/>
  <c r="B989" i="10" s="1"/>
  <c r="B990" i="10" s="1"/>
  <c r="B991" i="10" s="1"/>
  <c r="B992" i="10" s="1"/>
  <c r="B993" i="10" s="1"/>
  <c r="B994" i="10" s="1"/>
  <c r="B995" i="10" s="1"/>
  <c r="B996" i="10" s="1"/>
  <c r="B997" i="10" s="1"/>
  <c r="B998" i="10" s="1"/>
  <c r="B999" i="10" s="1"/>
  <c r="B1000" i="10" s="1"/>
  <c r="B1001" i="10" s="1"/>
  <c r="B1002" i="10" s="1"/>
  <c r="B1003" i="10" s="1"/>
  <c r="B1004" i="10" s="1"/>
  <c r="B1005" i="10" s="1"/>
  <c r="B1006" i="10" s="1"/>
  <c r="B1007" i="10" s="1"/>
  <c r="B1008" i="10" s="1"/>
  <c r="B1009" i="10" s="1"/>
  <c r="B1010" i="10" s="1"/>
  <c r="B1011" i="10" s="1"/>
  <c r="B1012" i="10" s="1"/>
  <c r="B1013" i="10" s="1"/>
  <c r="B1014" i="10" s="1"/>
  <c r="B1015" i="10" s="1"/>
  <c r="B1016" i="10" s="1"/>
  <c r="B1017" i="10" s="1"/>
  <c r="B1018" i="10" s="1"/>
  <c r="B1019" i="10" s="1"/>
  <c r="B1020" i="10" s="1"/>
  <c r="B1021" i="10" s="1"/>
  <c r="B1022" i="10" s="1"/>
  <c r="B1023" i="10" s="1"/>
  <c r="B1024" i="10" s="1"/>
  <c r="B1025" i="10" s="1"/>
  <c r="B1026" i="10" s="1"/>
  <c r="B1027" i="10" s="1"/>
  <c r="B1028" i="10" s="1"/>
  <c r="B1029" i="10" s="1"/>
  <c r="B1030" i="10" s="1"/>
  <c r="B1031" i="10" s="1"/>
  <c r="B1032" i="10" s="1"/>
  <c r="B1033" i="10" s="1"/>
  <c r="B1034" i="10" s="1"/>
  <c r="B1035" i="10" s="1"/>
  <c r="B1036" i="10" s="1"/>
  <c r="B1037" i="10" s="1"/>
  <c r="B1038" i="10" s="1"/>
  <c r="B1039" i="10" s="1"/>
  <c r="B1040" i="10" s="1"/>
  <c r="B1041" i="10" s="1"/>
  <c r="B1042" i="10" s="1"/>
  <c r="B1043" i="10" s="1"/>
  <c r="B1044" i="10" s="1"/>
  <c r="B1045" i="10" s="1"/>
  <c r="B1046" i="10" s="1"/>
  <c r="B1047" i="10" s="1"/>
  <c r="B1048" i="10" s="1"/>
  <c r="B1049" i="10" s="1"/>
  <c r="B1050" i="10" s="1"/>
  <c r="B1051" i="10" s="1"/>
  <c r="B1052" i="10" s="1"/>
  <c r="B1053" i="10" s="1"/>
  <c r="B1054" i="10" s="1"/>
  <c r="B1055" i="10" s="1"/>
  <c r="B1056" i="10" s="1"/>
  <c r="B1057" i="10" s="1"/>
  <c r="B1058" i="10" s="1"/>
  <c r="B1059" i="10" s="1"/>
  <c r="B1060" i="10" s="1"/>
  <c r="B1061" i="10" s="1"/>
  <c r="B1062" i="10" s="1"/>
  <c r="B1063" i="10" s="1"/>
  <c r="B1064" i="10" s="1"/>
  <c r="B1065" i="10" s="1"/>
  <c r="B1066" i="10" s="1"/>
  <c r="B1067" i="10" s="1"/>
  <c r="B1068" i="10" s="1"/>
  <c r="B1069" i="10" s="1"/>
  <c r="B1070" i="10" s="1"/>
  <c r="B1071" i="10" s="1"/>
  <c r="B1072" i="10" s="1"/>
  <c r="B1073" i="10" s="1"/>
  <c r="B1074" i="10" s="1"/>
  <c r="B1075" i="10" s="1"/>
  <c r="B1076" i="10" s="1"/>
  <c r="B1077" i="10" s="1"/>
  <c r="B1078" i="10" s="1"/>
  <c r="B1079" i="10" s="1"/>
  <c r="B1080" i="10" s="1"/>
  <c r="B1081" i="10" s="1"/>
  <c r="B1082" i="10" s="1"/>
  <c r="B1083" i="10" s="1"/>
  <c r="B1084" i="10" s="1"/>
  <c r="B1085" i="10" s="1"/>
  <c r="B1086" i="10" s="1"/>
  <c r="B1087" i="10" s="1"/>
  <c r="B1088" i="10" s="1"/>
  <c r="B1089" i="10" s="1"/>
  <c r="B1090" i="10" s="1"/>
  <c r="B1091" i="10" s="1"/>
  <c r="B1092" i="10" s="1"/>
  <c r="B1093" i="10" s="1"/>
  <c r="B1094" i="10" s="1"/>
  <c r="B1095" i="10" s="1"/>
  <c r="B1096" i="10" s="1"/>
  <c r="B1097" i="10" s="1"/>
  <c r="B1098" i="10" s="1"/>
  <c r="B1099" i="10" s="1"/>
  <c r="B1100" i="10" s="1"/>
  <c r="B1101" i="10" s="1"/>
  <c r="B1102" i="10" s="1"/>
  <c r="B1103" i="10" s="1"/>
  <c r="B1104" i="10" s="1"/>
  <c r="B1105" i="10" s="1"/>
  <c r="B1106" i="10" s="1"/>
  <c r="B1107" i="10" s="1"/>
  <c r="B1108" i="10" s="1"/>
  <c r="B1109" i="10" s="1"/>
  <c r="B1110" i="10" s="1"/>
  <c r="B1111" i="10" s="1"/>
  <c r="B1112" i="10" s="1"/>
  <c r="B1113" i="10" s="1"/>
  <c r="B1114" i="10" s="1"/>
  <c r="B1115" i="10" s="1"/>
  <c r="B1116" i="10" s="1"/>
  <c r="B1117" i="10" s="1"/>
  <c r="B1118" i="10" s="1"/>
  <c r="B1119" i="10" s="1"/>
  <c r="B1120" i="10" s="1"/>
  <c r="B1121" i="10" s="1"/>
  <c r="B1122" i="10" s="1"/>
  <c r="B1123" i="10" s="1"/>
  <c r="B1124" i="10" s="1"/>
  <c r="B1125" i="10" s="1"/>
  <c r="B1126" i="10" s="1"/>
  <c r="B1127" i="10" s="1"/>
  <c r="B1128" i="10" s="1"/>
  <c r="B1129" i="10" s="1"/>
  <c r="B1130" i="10" s="1"/>
  <c r="B1131" i="10" s="1"/>
  <c r="B1132" i="10" s="1"/>
  <c r="B1133" i="10" s="1"/>
  <c r="B1134" i="10" s="1"/>
  <c r="B1135" i="10" s="1"/>
  <c r="B1136" i="10" s="1"/>
  <c r="B1137" i="10" s="1"/>
  <c r="B1138" i="10" s="1"/>
  <c r="B1139" i="10" s="1"/>
  <c r="B1140" i="10" s="1"/>
  <c r="B1141" i="10" s="1"/>
  <c r="B1142" i="10" s="1"/>
  <c r="B1143" i="10" s="1"/>
  <c r="B1144" i="10" s="1"/>
  <c r="B1145" i="10" s="1"/>
  <c r="B1146" i="10" s="1"/>
  <c r="B1147" i="10" s="1"/>
  <c r="B1148" i="10" s="1"/>
  <c r="B1149" i="10" s="1"/>
  <c r="B1150" i="10" s="1"/>
  <c r="B1151" i="10" s="1"/>
  <c r="B1152" i="10" s="1"/>
  <c r="B1153" i="10" s="1"/>
  <c r="B1154" i="10" s="1"/>
  <c r="B1155" i="10" s="1"/>
  <c r="B1156" i="10" s="1"/>
  <c r="B1157" i="10" s="1"/>
  <c r="B1158" i="10" s="1"/>
  <c r="B1159" i="10" s="1"/>
  <c r="B1160" i="10" s="1"/>
  <c r="B1161" i="10" s="1"/>
  <c r="B1162" i="10" s="1"/>
  <c r="B1163" i="10" s="1"/>
  <c r="B1164" i="10" s="1"/>
  <c r="B1165" i="10" s="1"/>
  <c r="B1166" i="10" s="1"/>
  <c r="B1167" i="10" s="1"/>
  <c r="B1168" i="10" s="1"/>
  <c r="B1169" i="10" s="1"/>
  <c r="B1170" i="10" s="1"/>
  <c r="B1171" i="10" s="1"/>
  <c r="B1172" i="10" s="1"/>
  <c r="B1173" i="10" s="1"/>
  <c r="B1174" i="10" s="1"/>
  <c r="B1175" i="10" s="1"/>
  <c r="B1176" i="10" s="1"/>
  <c r="B1177" i="10" s="1"/>
  <c r="B1178" i="10" s="1"/>
  <c r="B1179" i="10" s="1"/>
  <c r="B1180" i="10" s="1"/>
  <c r="B1181" i="10" s="1"/>
  <c r="B1182" i="10" s="1"/>
  <c r="B1183" i="10" s="1"/>
  <c r="B1184" i="10" s="1"/>
  <c r="B1185" i="10" s="1"/>
  <c r="B1186" i="10" s="1"/>
  <c r="B1187" i="10" s="1"/>
  <c r="B1188" i="10" s="1"/>
  <c r="B1189" i="10" s="1"/>
  <c r="B1190" i="10" s="1"/>
  <c r="B1191" i="10" s="1"/>
  <c r="B1192" i="10" s="1"/>
  <c r="B1193" i="10" s="1"/>
  <c r="B1194" i="10" s="1"/>
  <c r="B1195" i="10" s="1"/>
  <c r="B1196" i="10" s="1"/>
  <c r="B1197" i="10" s="1"/>
  <c r="B1198" i="10" s="1"/>
  <c r="B1199" i="10" s="1"/>
  <c r="B1200" i="10" s="1"/>
  <c r="B1201" i="10" s="1"/>
  <c r="B1202" i="10" s="1"/>
  <c r="B1203" i="10" s="1"/>
  <c r="B1204" i="10" s="1"/>
  <c r="B1205" i="10" s="1"/>
  <c r="B1206" i="10" s="1"/>
  <c r="B1207" i="10" s="1"/>
  <c r="B1208" i="10" s="1"/>
  <c r="B1209" i="10" s="1"/>
  <c r="B1210" i="10" s="1"/>
  <c r="B1211" i="10" s="1"/>
  <c r="B1212" i="10" s="1"/>
  <c r="B1213" i="10" s="1"/>
  <c r="B1214" i="10" s="1"/>
  <c r="B1215" i="10" s="1"/>
  <c r="B1216" i="10" s="1"/>
  <c r="B1217" i="10" s="1"/>
  <c r="B1218" i="10" s="1"/>
  <c r="B1219" i="10" s="1"/>
  <c r="B1220" i="10" s="1"/>
  <c r="B1221" i="10" s="1"/>
  <c r="B1222" i="10" s="1"/>
  <c r="B1223" i="10" s="1"/>
  <c r="B1224" i="10" s="1"/>
  <c r="B1225" i="10" s="1"/>
  <c r="B1226" i="10" s="1"/>
  <c r="B1227" i="10" s="1"/>
  <c r="B1228" i="10" s="1"/>
  <c r="B1229" i="10" s="1"/>
  <c r="B1230" i="10" s="1"/>
  <c r="B1231" i="10" s="1"/>
  <c r="B1232" i="10" s="1"/>
  <c r="B1233" i="10" s="1"/>
  <c r="B1234" i="10" s="1"/>
  <c r="B1235" i="10" s="1"/>
  <c r="B1236" i="10" s="1"/>
  <c r="B1237" i="10" s="1"/>
  <c r="B1238" i="10" s="1"/>
  <c r="B1239" i="10" s="1"/>
  <c r="B1240" i="10" s="1"/>
  <c r="B1241" i="10" s="1"/>
  <c r="B1242" i="10" s="1"/>
  <c r="B1243" i="10" s="1"/>
  <c r="B1244" i="10" s="1"/>
  <c r="B1245" i="10" s="1"/>
  <c r="B1246" i="10" s="1"/>
  <c r="B1247" i="10" s="1"/>
  <c r="B1248" i="10" s="1"/>
  <c r="B1249" i="10" s="1"/>
  <c r="B1250" i="10" s="1"/>
  <c r="B1251" i="10" s="1"/>
  <c r="B1252" i="10" s="1"/>
  <c r="B1253" i="10" s="1"/>
  <c r="B1254" i="10" s="1"/>
  <c r="B1255" i="10" s="1"/>
  <c r="B1256" i="10" s="1"/>
  <c r="B1257" i="10" s="1"/>
  <c r="B1258" i="10" s="1"/>
  <c r="B1259" i="10" s="1"/>
  <c r="B1260" i="10" s="1"/>
  <c r="B1261" i="10" s="1"/>
  <c r="B1262" i="10" s="1"/>
  <c r="B1263" i="10" s="1"/>
  <c r="B1264" i="10" s="1"/>
  <c r="B1265" i="10" s="1"/>
  <c r="B1266" i="10" s="1"/>
  <c r="B1267" i="10" s="1"/>
  <c r="B1268" i="10" s="1"/>
  <c r="B1269" i="10" s="1"/>
  <c r="B1270" i="10" s="1"/>
  <c r="B1271" i="10" s="1"/>
  <c r="B1272" i="10" s="1"/>
  <c r="B1273" i="10" s="1"/>
  <c r="B1274" i="10" s="1"/>
  <c r="B1275" i="10" s="1"/>
  <c r="B1276" i="10" s="1"/>
  <c r="B1277" i="10" s="1"/>
  <c r="B1278" i="10" s="1"/>
  <c r="B1279" i="10" s="1"/>
  <c r="B1280" i="10" s="1"/>
  <c r="B1281" i="10" s="1"/>
  <c r="B1282" i="10" s="1"/>
  <c r="B1283" i="10" s="1"/>
  <c r="B1284" i="10" s="1"/>
  <c r="B1285" i="10" s="1"/>
  <c r="B1286" i="10" s="1"/>
  <c r="B1287" i="10" s="1"/>
  <c r="B1288" i="10" s="1"/>
  <c r="B1289" i="10" s="1"/>
  <c r="B1290" i="10" s="1"/>
  <c r="B1291" i="10" s="1"/>
  <c r="B1292" i="10" s="1"/>
  <c r="B1293" i="10" s="1"/>
  <c r="B1294" i="10" s="1"/>
  <c r="B1295" i="10" s="1"/>
  <c r="B1296" i="10" s="1"/>
  <c r="B1297" i="10" s="1"/>
  <c r="B1298" i="10" s="1"/>
  <c r="B1299" i="10" s="1"/>
  <c r="B1300" i="10" s="1"/>
  <c r="B1301" i="10" s="1"/>
  <c r="B1302" i="10" s="1"/>
  <c r="B1303" i="10" s="1"/>
  <c r="B1304" i="10" s="1"/>
  <c r="B1305" i="10" s="1"/>
  <c r="B1306" i="10" s="1"/>
  <c r="B1307" i="10" s="1"/>
  <c r="B1308" i="10" s="1"/>
  <c r="B1309" i="10" s="1"/>
  <c r="B1310" i="10" s="1"/>
  <c r="B1311" i="10" s="1"/>
  <c r="B1312" i="10" s="1"/>
  <c r="B1313" i="10" s="1"/>
  <c r="B1314" i="10" s="1"/>
  <c r="B1315" i="10" s="1"/>
  <c r="B1316" i="10" s="1"/>
  <c r="B1317" i="10" s="1"/>
  <c r="B2" i="10"/>
  <c r="D1317" i="10"/>
  <c r="D1316" i="10"/>
  <c r="D1315" i="10"/>
  <c r="D1314" i="10"/>
  <c r="D1313" i="10"/>
  <c r="D1312" i="10"/>
  <c r="D1311" i="10"/>
  <c r="D1310" i="10"/>
  <c r="D1309" i="10"/>
  <c r="D1308" i="10"/>
  <c r="D1307" i="10"/>
  <c r="D1306" i="10"/>
  <c r="D1305" i="10"/>
  <c r="D1304" i="10"/>
  <c r="D1303" i="10"/>
  <c r="D1302" i="10"/>
  <c r="D1301" i="10"/>
  <c r="D1300" i="10"/>
  <c r="D1299" i="10"/>
  <c r="D1298" i="10"/>
  <c r="D1297" i="10"/>
  <c r="D1296" i="10"/>
  <c r="D1295" i="10"/>
  <c r="D1294" i="10"/>
  <c r="D1293" i="10"/>
  <c r="D1292" i="10"/>
  <c r="D1291" i="10"/>
  <c r="D1290" i="10"/>
  <c r="D1289" i="10"/>
  <c r="D1288" i="10"/>
  <c r="D1287" i="10"/>
  <c r="D1286" i="10"/>
  <c r="D1285" i="10"/>
  <c r="D1284" i="10"/>
  <c r="D1283" i="10"/>
  <c r="D1282" i="10"/>
  <c r="D1281" i="10"/>
  <c r="D1280" i="10"/>
  <c r="D1279" i="10"/>
  <c r="D1278" i="10"/>
  <c r="D1277" i="10"/>
  <c r="D1276" i="10"/>
  <c r="D1275" i="10"/>
  <c r="D1274" i="10"/>
  <c r="D1273" i="10"/>
  <c r="D1272" i="10"/>
  <c r="D1271" i="10"/>
  <c r="D1270" i="10"/>
  <c r="D1269" i="10"/>
  <c r="D1268" i="10"/>
  <c r="D1267" i="10"/>
  <c r="D1266" i="10"/>
  <c r="D1265" i="10"/>
  <c r="D1264" i="10"/>
  <c r="D1263" i="10"/>
  <c r="D1262" i="10"/>
  <c r="D1261" i="10"/>
  <c r="D1260" i="10"/>
  <c r="D1259" i="10"/>
  <c r="D1258" i="10"/>
  <c r="D1257" i="10"/>
  <c r="D1256" i="10"/>
  <c r="D1255" i="10"/>
  <c r="D1254" i="10"/>
  <c r="D1253" i="10"/>
  <c r="D1252" i="10"/>
  <c r="D1251" i="10"/>
  <c r="D1250" i="10"/>
  <c r="D1249" i="10"/>
  <c r="D1248" i="10"/>
  <c r="D1247" i="10"/>
  <c r="D1246" i="10"/>
  <c r="D1245" i="10"/>
  <c r="D1244" i="10"/>
  <c r="D1243" i="10"/>
  <c r="D1242" i="10"/>
  <c r="D1241" i="10"/>
  <c r="D1240" i="10"/>
  <c r="D1239" i="10"/>
  <c r="D1238" i="10"/>
  <c r="D1237" i="10"/>
  <c r="D1236" i="10"/>
  <c r="D1235" i="10"/>
  <c r="D1234" i="10"/>
  <c r="D1233" i="10"/>
  <c r="D1232" i="10"/>
  <c r="D1231" i="10"/>
  <c r="D1230" i="10"/>
  <c r="D1229" i="10"/>
  <c r="D1228" i="10"/>
  <c r="D1227" i="10"/>
  <c r="D1226" i="10"/>
  <c r="D1225" i="10"/>
  <c r="D1224" i="10"/>
  <c r="D1223" i="10"/>
  <c r="D1222" i="10"/>
  <c r="D1221" i="10"/>
  <c r="D1220" i="10"/>
  <c r="D1219" i="10"/>
  <c r="D1218" i="10"/>
  <c r="D1217" i="10"/>
  <c r="D1216" i="10"/>
  <c r="D1215" i="10"/>
  <c r="D1214" i="10"/>
  <c r="D1213" i="10"/>
  <c r="D1212" i="10"/>
  <c r="D1211" i="10"/>
  <c r="D1210" i="10"/>
  <c r="D1209" i="10"/>
  <c r="D1208" i="10"/>
  <c r="D1207" i="10"/>
  <c r="D1206" i="10"/>
  <c r="D1205" i="10"/>
  <c r="D1204" i="10"/>
  <c r="D1203" i="10"/>
  <c r="D1202" i="10"/>
  <c r="D1201" i="10"/>
  <c r="D1200" i="10"/>
  <c r="D1199" i="10"/>
  <c r="D1198" i="10"/>
  <c r="D1197" i="10"/>
  <c r="D1196" i="10"/>
  <c r="D1195" i="10"/>
  <c r="D1194" i="10"/>
  <c r="D1193" i="10"/>
  <c r="D1192" i="10"/>
  <c r="D1191" i="10"/>
  <c r="D1190" i="10"/>
  <c r="D1189" i="10"/>
  <c r="D1188" i="10"/>
  <c r="D1187" i="10"/>
  <c r="D1186" i="10"/>
  <c r="D1185" i="10"/>
  <c r="D1184" i="10"/>
  <c r="D1183" i="10"/>
  <c r="D1182" i="10"/>
  <c r="D1181" i="10"/>
  <c r="D1180" i="10"/>
  <c r="D1179" i="10"/>
  <c r="D1178" i="10"/>
  <c r="D1177" i="10"/>
  <c r="D1176" i="10"/>
  <c r="D1175" i="10"/>
  <c r="D1174" i="10"/>
  <c r="D1173" i="10"/>
  <c r="D1172" i="10"/>
  <c r="D1171" i="10"/>
  <c r="D1170" i="10"/>
  <c r="D1169" i="10"/>
  <c r="D1168" i="10"/>
  <c r="D1167" i="10"/>
  <c r="D1166" i="10"/>
  <c r="D1165" i="10"/>
  <c r="D1164" i="10"/>
  <c r="D1163" i="10"/>
  <c r="D1162" i="10"/>
  <c r="D1161" i="10"/>
  <c r="D1160" i="10"/>
  <c r="D1159" i="10"/>
  <c r="D1158" i="10"/>
  <c r="D1157" i="10"/>
  <c r="D1156" i="10"/>
  <c r="D1155" i="10"/>
  <c r="D1154" i="10"/>
  <c r="D1153" i="10"/>
  <c r="D1152" i="10"/>
  <c r="D1151" i="10"/>
  <c r="D1150" i="10"/>
  <c r="D1149" i="10"/>
  <c r="D1148" i="10"/>
  <c r="D1147" i="10"/>
  <c r="D1146" i="10"/>
  <c r="D1145" i="10"/>
  <c r="D1144" i="10"/>
  <c r="D1143" i="10"/>
  <c r="D1142" i="10"/>
  <c r="D1141" i="10"/>
  <c r="D1140" i="10"/>
  <c r="D1139" i="10"/>
  <c r="D1138" i="10"/>
  <c r="D1137" i="10"/>
  <c r="D1136" i="10"/>
  <c r="D1135" i="10"/>
  <c r="D1134" i="10"/>
  <c r="D1133" i="10"/>
  <c r="D1132" i="10"/>
  <c r="D1131" i="10"/>
  <c r="D1130" i="10"/>
  <c r="D1129" i="10"/>
  <c r="D1128" i="10"/>
  <c r="D1127" i="10"/>
  <c r="D1126" i="10"/>
  <c r="D1125" i="10"/>
  <c r="D1124" i="10"/>
  <c r="D1123" i="10"/>
  <c r="D1122" i="10"/>
  <c r="D1121" i="10"/>
  <c r="D1120" i="10"/>
  <c r="D1119" i="10"/>
  <c r="D1118" i="10"/>
  <c r="D1117" i="10"/>
  <c r="D1116" i="10"/>
  <c r="D1115" i="10"/>
  <c r="D1114" i="10"/>
  <c r="D1113" i="10"/>
  <c r="D1112" i="10"/>
  <c r="D1111" i="10"/>
  <c r="D1110" i="10"/>
  <c r="D1109" i="10"/>
  <c r="D1108" i="10"/>
  <c r="D1107" i="10"/>
  <c r="D1106" i="10"/>
  <c r="D1105" i="10"/>
  <c r="D1104" i="10"/>
  <c r="D1103" i="10"/>
  <c r="D1102" i="10"/>
  <c r="D1101" i="10"/>
  <c r="D1100" i="10"/>
  <c r="D1099" i="10"/>
  <c r="D1098" i="10"/>
  <c r="D1097" i="10"/>
  <c r="D1096" i="10"/>
  <c r="D1095" i="10"/>
  <c r="D1094" i="10"/>
  <c r="D1093" i="10"/>
  <c r="D1092" i="10"/>
  <c r="D1091" i="10"/>
  <c r="D1090" i="10"/>
  <c r="D1089" i="10"/>
  <c r="D1088" i="10"/>
  <c r="D1087" i="10"/>
  <c r="D1086" i="10"/>
  <c r="D1085" i="10"/>
  <c r="D1084" i="10"/>
  <c r="D1083" i="10"/>
  <c r="D1082" i="10"/>
  <c r="D1081" i="10"/>
  <c r="D1080" i="10"/>
  <c r="D1079" i="10"/>
  <c r="D1078" i="10"/>
  <c r="D1077" i="10"/>
  <c r="D1076" i="10"/>
  <c r="D1075" i="10"/>
  <c r="D1074" i="10"/>
  <c r="D1073" i="10"/>
  <c r="D1072" i="10"/>
  <c r="D1071" i="10"/>
  <c r="D1070" i="10"/>
  <c r="D1069" i="10"/>
  <c r="D1068" i="10"/>
  <c r="D1067" i="10"/>
  <c r="D1066" i="10"/>
  <c r="D1065" i="10"/>
  <c r="D1064" i="10"/>
  <c r="D1063" i="10"/>
  <c r="D1062" i="10"/>
  <c r="D1061" i="10"/>
  <c r="D1060" i="10"/>
  <c r="D1059" i="10"/>
  <c r="D1058" i="10"/>
  <c r="D1057" i="10"/>
  <c r="D1056" i="10"/>
  <c r="D1055" i="10"/>
  <c r="D1054" i="10"/>
  <c r="D1053" i="10"/>
  <c r="D1052" i="10"/>
  <c r="D1051" i="10"/>
  <c r="D1050" i="10"/>
  <c r="D1049" i="10"/>
  <c r="D1048" i="10"/>
  <c r="D1047" i="10"/>
  <c r="D1046" i="10"/>
  <c r="D1045" i="10"/>
  <c r="D1044" i="10"/>
  <c r="D1043" i="10"/>
  <c r="D1042" i="10"/>
  <c r="D1041" i="10"/>
  <c r="D1040" i="10"/>
  <c r="D1039" i="10"/>
  <c r="D1038" i="10"/>
  <c r="D1037" i="10"/>
  <c r="D1036" i="10"/>
  <c r="D1035" i="10"/>
  <c r="D1034" i="10"/>
  <c r="D1033" i="10"/>
  <c r="D1032" i="10"/>
  <c r="D1031" i="10"/>
  <c r="D1030" i="10"/>
  <c r="D1029" i="10"/>
  <c r="D1028" i="10"/>
  <c r="D1027" i="10"/>
  <c r="D1026" i="10"/>
  <c r="D1025" i="10"/>
  <c r="D1024" i="10"/>
  <c r="D1023" i="10"/>
  <c r="D1022" i="10"/>
  <c r="D1021" i="10"/>
  <c r="D1020" i="10"/>
  <c r="D1019" i="10"/>
  <c r="D1018" i="10"/>
  <c r="D1017" i="10"/>
  <c r="D1016" i="10"/>
  <c r="D1015" i="10"/>
  <c r="D1014" i="10"/>
  <c r="D1013" i="10"/>
  <c r="D1012" i="10"/>
  <c r="D1011" i="10"/>
  <c r="D1010" i="10"/>
  <c r="D1009" i="10"/>
  <c r="D1008" i="10"/>
  <c r="D1007" i="10"/>
  <c r="D1006" i="10"/>
  <c r="D1005" i="10"/>
  <c r="D1004" i="10"/>
  <c r="D1003" i="10"/>
  <c r="D1002" i="10"/>
  <c r="D1001" i="10"/>
  <c r="D1000" i="10"/>
  <c r="D999" i="10"/>
  <c r="D998" i="10"/>
  <c r="D997" i="10"/>
  <c r="D996" i="10"/>
  <c r="D995" i="10"/>
  <c r="D994" i="10"/>
  <c r="D993" i="10"/>
  <c r="D992" i="10"/>
  <c r="D991" i="10"/>
  <c r="D990" i="10"/>
  <c r="D989" i="10"/>
  <c r="D988" i="10"/>
  <c r="D987" i="10"/>
  <c r="D986" i="10"/>
  <c r="D985" i="10"/>
  <c r="D984" i="10"/>
  <c r="D983" i="10"/>
  <c r="D982" i="10"/>
  <c r="D981" i="10"/>
  <c r="D980" i="10"/>
  <c r="D979" i="10"/>
  <c r="D978" i="10"/>
  <c r="D977" i="10"/>
  <c r="D976" i="10"/>
  <c r="D975" i="10"/>
  <c r="D974" i="10"/>
  <c r="D973" i="10"/>
  <c r="D972" i="10"/>
  <c r="D971" i="10"/>
  <c r="D970" i="10"/>
  <c r="D969" i="10"/>
  <c r="D968" i="10"/>
  <c r="D967" i="10"/>
  <c r="D966" i="10"/>
  <c r="D965" i="10"/>
  <c r="D964" i="10"/>
  <c r="D963" i="10"/>
  <c r="D962" i="10"/>
  <c r="D961" i="10"/>
  <c r="D960" i="10"/>
  <c r="D959" i="10"/>
  <c r="D958" i="10"/>
  <c r="D957" i="10"/>
  <c r="D956" i="10"/>
  <c r="D955" i="10"/>
  <c r="D954" i="10"/>
  <c r="D953" i="10"/>
  <c r="D952" i="10"/>
  <c r="D951" i="10"/>
  <c r="D950" i="10"/>
  <c r="D949" i="10"/>
  <c r="D948" i="10"/>
  <c r="D947" i="10"/>
  <c r="D946" i="10"/>
  <c r="D945" i="10"/>
  <c r="D944" i="10"/>
  <c r="D943" i="10"/>
  <c r="D942" i="10"/>
  <c r="D941" i="10"/>
  <c r="D940" i="10"/>
  <c r="D939" i="10"/>
  <c r="D938" i="10"/>
  <c r="D937" i="10"/>
  <c r="D936" i="10"/>
  <c r="D935" i="10"/>
  <c r="D934" i="10"/>
  <c r="D933" i="10"/>
  <c r="D932" i="10"/>
  <c r="D931" i="10"/>
  <c r="D930" i="10"/>
  <c r="D929" i="10"/>
  <c r="D928" i="10"/>
  <c r="D927" i="10"/>
  <c r="D926" i="10"/>
  <c r="D925" i="10"/>
  <c r="D924" i="10"/>
  <c r="D923" i="10"/>
  <c r="D922" i="10"/>
  <c r="D921" i="10"/>
  <c r="D920" i="10"/>
  <c r="D919" i="10"/>
  <c r="D918" i="10"/>
  <c r="D917" i="10"/>
  <c r="D916" i="10"/>
  <c r="D915" i="10"/>
  <c r="D914" i="10"/>
  <c r="D913" i="10"/>
  <c r="D912" i="10"/>
  <c r="D911" i="10"/>
  <c r="D910" i="10"/>
  <c r="D909" i="10"/>
  <c r="D908" i="10"/>
  <c r="D907" i="10"/>
  <c r="D906" i="10"/>
  <c r="D905" i="10"/>
  <c r="D904" i="10"/>
  <c r="D903" i="10"/>
  <c r="D902" i="10"/>
  <c r="D901" i="10"/>
  <c r="D900" i="10"/>
  <c r="D899" i="10"/>
  <c r="D898" i="10"/>
  <c r="D897" i="10"/>
  <c r="D896" i="10"/>
  <c r="D895" i="10"/>
  <c r="D894" i="10"/>
  <c r="D893" i="10"/>
  <c r="D892" i="10"/>
  <c r="D891" i="10"/>
  <c r="D890" i="10"/>
  <c r="D889" i="10"/>
  <c r="D888" i="10"/>
  <c r="D887" i="10"/>
  <c r="D886" i="10"/>
  <c r="D885" i="10"/>
  <c r="D884" i="10"/>
  <c r="D883" i="10"/>
  <c r="D882" i="10"/>
  <c r="D881" i="10"/>
  <c r="D880" i="10"/>
  <c r="D879" i="10"/>
  <c r="D878" i="10"/>
  <c r="D877" i="10"/>
  <c r="D876" i="10"/>
  <c r="D875" i="10"/>
  <c r="D874" i="10"/>
  <c r="D873" i="10"/>
  <c r="D872" i="10"/>
  <c r="D871" i="10"/>
  <c r="D870" i="10"/>
  <c r="D869" i="10"/>
  <c r="D868" i="10"/>
  <c r="D867" i="10"/>
  <c r="D866" i="10"/>
  <c r="D865" i="10"/>
  <c r="D864" i="10"/>
  <c r="D863" i="10"/>
  <c r="D862" i="10"/>
  <c r="D861" i="10"/>
  <c r="D860" i="10"/>
  <c r="D859" i="10"/>
  <c r="D858" i="10"/>
  <c r="D857" i="10"/>
  <c r="D856" i="10"/>
  <c r="D855" i="10"/>
  <c r="D854" i="10"/>
  <c r="D853" i="10"/>
  <c r="D852" i="10"/>
  <c r="D851" i="10"/>
  <c r="D850" i="10"/>
  <c r="D849" i="10"/>
  <c r="D848" i="10"/>
  <c r="D847" i="10"/>
  <c r="D846" i="10"/>
  <c r="D845" i="10"/>
  <c r="D844" i="10"/>
  <c r="D843" i="10"/>
  <c r="D842" i="10"/>
  <c r="D841" i="10"/>
  <c r="D840" i="10"/>
  <c r="D839" i="10"/>
  <c r="D838" i="10"/>
  <c r="D837" i="10"/>
  <c r="D836" i="10"/>
  <c r="D835" i="10"/>
  <c r="D834" i="10"/>
  <c r="D833" i="10"/>
  <c r="D832" i="10"/>
  <c r="D831" i="10"/>
  <c r="D830" i="10"/>
  <c r="D829" i="10"/>
  <c r="D828" i="10"/>
  <c r="D827" i="10"/>
  <c r="D826" i="10"/>
  <c r="D825" i="10"/>
  <c r="D824" i="10"/>
  <c r="D823" i="10"/>
  <c r="D822" i="10"/>
  <c r="D821" i="10"/>
  <c r="D820" i="10"/>
  <c r="D819" i="10"/>
  <c r="D818" i="10"/>
  <c r="D817" i="10"/>
  <c r="D816" i="10"/>
  <c r="D815" i="10"/>
  <c r="D814" i="10"/>
  <c r="D813" i="10"/>
  <c r="D812" i="10"/>
  <c r="D811" i="10"/>
  <c r="D810" i="10"/>
  <c r="D809" i="10"/>
  <c r="D808" i="10"/>
  <c r="D807" i="10"/>
  <c r="D806" i="10"/>
  <c r="D805" i="10"/>
  <c r="D804" i="10"/>
  <c r="D803" i="10"/>
  <c r="D802" i="10"/>
  <c r="D801" i="10"/>
  <c r="D800" i="10"/>
  <c r="D799" i="10"/>
  <c r="D798" i="10"/>
  <c r="D797" i="10"/>
  <c r="D796" i="10"/>
  <c r="D795" i="10"/>
  <c r="D794" i="10"/>
  <c r="D793" i="10"/>
  <c r="D792" i="10"/>
  <c r="D791" i="10"/>
  <c r="D790" i="10"/>
  <c r="D789" i="10"/>
  <c r="D788" i="10"/>
  <c r="D787" i="10"/>
  <c r="D786" i="10"/>
  <c r="D785" i="10"/>
  <c r="D784" i="10"/>
  <c r="D783" i="10"/>
  <c r="D782" i="10"/>
  <c r="D781" i="10"/>
  <c r="D780" i="10"/>
  <c r="D779" i="10"/>
  <c r="D778" i="10"/>
  <c r="D777" i="10"/>
  <c r="D776" i="10"/>
  <c r="D775" i="10"/>
  <c r="D774" i="10"/>
  <c r="D773" i="10"/>
  <c r="D772" i="10"/>
  <c r="D771" i="10"/>
  <c r="D770" i="10"/>
  <c r="D769" i="10"/>
  <c r="D768" i="10"/>
  <c r="D767" i="10"/>
  <c r="D766" i="10"/>
  <c r="D765" i="10"/>
  <c r="D764" i="10"/>
  <c r="D763" i="10"/>
  <c r="D762" i="10"/>
  <c r="D761" i="10"/>
  <c r="D760" i="10"/>
  <c r="D759" i="10"/>
  <c r="D758" i="10"/>
  <c r="D757" i="10"/>
  <c r="D756" i="10"/>
  <c r="D755" i="10"/>
  <c r="D754" i="10"/>
  <c r="D753" i="10"/>
  <c r="D752" i="10"/>
  <c r="D751" i="10"/>
  <c r="D750" i="10"/>
  <c r="D749" i="10"/>
  <c r="D748" i="10"/>
  <c r="D747" i="10"/>
  <c r="D746" i="10"/>
  <c r="D745" i="10"/>
  <c r="D744" i="10"/>
  <c r="D743" i="10"/>
  <c r="D742" i="10"/>
  <c r="D741" i="10"/>
  <c r="D740" i="10"/>
  <c r="D739" i="10"/>
  <c r="D738" i="10"/>
  <c r="D737" i="10"/>
  <c r="D736" i="10"/>
  <c r="D735" i="10"/>
  <c r="D734" i="10"/>
  <c r="D733" i="10"/>
  <c r="D732" i="10"/>
  <c r="D731" i="10"/>
  <c r="D730" i="10"/>
  <c r="D729" i="10"/>
  <c r="D728" i="10"/>
  <c r="D727" i="10"/>
  <c r="D726" i="10"/>
  <c r="D725" i="10"/>
  <c r="D724" i="10"/>
  <c r="D723" i="10"/>
  <c r="D722" i="10"/>
  <c r="D721" i="10"/>
  <c r="D720" i="10"/>
  <c r="D719" i="10"/>
  <c r="D718" i="10"/>
  <c r="D717" i="10"/>
  <c r="D716" i="10"/>
  <c r="D715" i="10"/>
  <c r="D714" i="10"/>
  <c r="D713" i="10"/>
  <c r="D712" i="10"/>
  <c r="D711" i="10"/>
  <c r="D710" i="10"/>
  <c r="D709" i="10"/>
  <c r="D708" i="10"/>
  <c r="D707" i="10"/>
  <c r="D706" i="10"/>
  <c r="D705" i="10"/>
  <c r="D704" i="10"/>
  <c r="D703" i="10"/>
  <c r="D702" i="10"/>
  <c r="D701" i="10"/>
  <c r="D700" i="10"/>
  <c r="D699" i="10"/>
  <c r="D698" i="10"/>
  <c r="D697" i="10"/>
  <c r="D696" i="10"/>
  <c r="D695" i="10"/>
  <c r="D694" i="10"/>
  <c r="D693" i="10"/>
  <c r="D692" i="10"/>
  <c r="D691" i="10"/>
  <c r="D690" i="10"/>
  <c r="D689" i="10"/>
  <c r="D688" i="10"/>
  <c r="D687" i="10"/>
  <c r="D686" i="10"/>
  <c r="D685" i="10"/>
  <c r="D684" i="10"/>
  <c r="D683" i="10"/>
  <c r="D682" i="10"/>
  <c r="D681" i="10"/>
  <c r="D680" i="10"/>
  <c r="D679" i="10"/>
  <c r="D678" i="10"/>
  <c r="D677" i="10"/>
  <c r="D676" i="10"/>
  <c r="D675" i="10"/>
  <c r="D674" i="10"/>
  <c r="D673" i="10"/>
  <c r="D672" i="10"/>
  <c r="D671" i="10"/>
  <c r="D670" i="10"/>
  <c r="D669" i="10"/>
  <c r="D668" i="10"/>
  <c r="D667" i="10"/>
  <c r="D666" i="10"/>
  <c r="D665" i="10"/>
  <c r="D664" i="10"/>
  <c r="D663" i="10"/>
  <c r="D662" i="10"/>
  <c r="D661" i="10"/>
  <c r="D660" i="10"/>
  <c r="D659" i="10"/>
  <c r="D658" i="10"/>
  <c r="D657" i="10"/>
  <c r="D656" i="10"/>
  <c r="D655" i="10"/>
  <c r="D654" i="10"/>
  <c r="D653" i="10"/>
  <c r="D652" i="10"/>
  <c r="D651" i="10"/>
  <c r="D650" i="10"/>
  <c r="D649" i="10"/>
  <c r="D648" i="10"/>
  <c r="D647" i="10"/>
  <c r="D646" i="10"/>
  <c r="D645" i="10"/>
  <c r="D644" i="10"/>
  <c r="D643" i="10"/>
  <c r="D642" i="10"/>
  <c r="D641" i="10"/>
  <c r="D640" i="10"/>
  <c r="D639" i="10"/>
  <c r="D638" i="10"/>
  <c r="D637" i="10"/>
  <c r="D636" i="10"/>
  <c r="D635" i="10"/>
  <c r="D634" i="10"/>
  <c r="D633" i="10"/>
  <c r="D632" i="10"/>
  <c r="D631" i="10"/>
  <c r="D630" i="10"/>
  <c r="D629" i="10"/>
  <c r="D628" i="10"/>
  <c r="D627" i="10"/>
  <c r="D626" i="10"/>
  <c r="D625" i="10"/>
  <c r="D624" i="10"/>
  <c r="D623" i="10"/>
  <c r="D622" i="10"/>
  <c r="D621" i="10"/>
  <c r="D620" i="10"/>
  <c r="D619" i="10"/>
  <c r="D618" i="10"/>
  <c r="D617" i="10"/>
  <c r="D616" i="10"/>
  <c r="D615" i="10"/>
  <c r="D614" i="10"/>
  <c r="D613" i="10"/>
  <c r="D612" i="10"/>
  <c r="D611" i="10"/>
  <c r="D610" i="10"/>
  <c r="D609" i="10"/>
  <c r="D608" i="10"/>
  <c r="D607" i="10"/>
  <c r="D606" i="10"/>
  <c r="D605" i="10"/>
  <c r="D604" i="10"/>
  <c r="D603" i="10"/>
  <c r="D602" i="10"/>
  <c r="D601" i="10"/>
  <c r="D600" i="10"/>
  <c r="D599" i="10"/>
  <c r="D598" i="10"/>
  <c r="D597" i="10"/>
  <c r="D596" i="10"/>
  <c r="D595" i="10"/>
  <c r="D594" i="10"/>
  <c r="D593" i="10"/>
  <c r="D592" i="10"/>
  <c r="D591" i="10"/>
  <c r="D590" i="10"/>
  <c r="D589" i="10"/>
  <c r="D588" i="10"/>
  <c r="D587" i="10"/>
  <c r="D586" i="10"/>
  <c r="D585" i="10"/>
  <c r="D584" i="10"/>
  <c r="D583" i="10"/>
  <c r="D582" i="10"/>
  <c r="D581" i="10"/>
  <c r="D580" i="10"/>
  <c r="D579" i="10"/>
  <c r="D578" i="10"/>
  <c r="D577" i="10"/>
  <c r="D576" i="10"/>
  <c r="D575" i="10"/>
  <c r="D574" i="10"/>
  <c r="D573" i="10"/>
  <c r="D572" i="10"/>
  <c r="D571" i="10"/>
  <c r="D570" i="10"/>
  <c r="D569" i="10"/>
  <c r="D568" i="10"/>
  <c r="D567" i="10"/>
  <c r="D566" i="10"/>
  <c r="D565" i="10"/>
  <c r="D564" i="10"/>
  <c r="D563" i="10"/>
  <c r="D562" i="10"/>
  <c r="D561" i="10"/>
  <c r="D560" i="10"/>
  <c r="D559" i="10"/>
  <c r="D558" i="10"/>
  <c r="D557" i="10"/>
  <c r="D556" i="10"/>
  <c r="D555" i="10"/>
  <c r="D554" i="10"/>
  <c r="D553" i="10"/>
  <c r="D552" i="10"/>
  <c r="D551" i="10"/>
  <c r="D550" i="10"/>
  <c r="D549" i="10"/>
  <c r="D548" i="10"/>
  <c r="D547" i="10"/>
  <c r="D546" i="10"/>
  <c r="D545" i="10"/>
  <c r="D544" i="10"/>
  <c r="D543" i="10"/>
  <c r="D542" i="10"/>
  <c r="D541" i="10"/>
  <c r="D540" i="10"/>
  <c r="D539" i="10"/>
  <c r="D538" i="10"/>
  <c r="D537" i="10"/>
  <c r="D536" i="10"/>
  <c r="D535" i="10"/>
  <c r="D534" i="10"/>
  <c r="D533" i="10"/>
  <c r="D532" i="10"/>
  <c r="D531" i="10"/>
  <c r="D530" i="10"/>
  <c r="D529" i="10"/>
  <c r="D528" i="10"/>
  <c r="D527" i="10"/>
  <c r="D526" i="10"/>
  <c r="D525" i="10"/>
  <c r="D524" i="10"/>
  <c r="D523" i="10"/>
  <c r="D522" i="10"/>
  <c r="D521" i="10"/>
  <c r="D520" i="10"/>
  <c r="D519" i="10"/>
  <c r="D518" i="10"/>
  <c r="D517" i="10"/>
  <c r="D516" i="10"/>
  <c r="D515" i="10"/>
  <c r="D514" i="10"/>
  <c r="D513" i="10"/>
  <c r="D512" i="10"/>
  <c r="D511" i="10"/>
  <c r="D510" i="10"/>
  <c r="D509" i="10"/>
  <c r="D508" i="10"/>
  <c r="D507" i="10"/>
  <c r="D506" i="10"/>
  <c r="D505" i="10"/>
  <c r="D504" i="10"/>
  <c r="D503" i="10"/>
  <c r="D502" i="10"/>
  <c r="D501" i="10"/>
  <c r="D500" i="10"/>
  <c r="D499" i="10"/>
  <c r="D498" i="10"/>
  <c r="D497" i="10"/>
  <c r="D496" i="10"/>
  <c r="D495" i="10"/>
  <c r="D494" i="10"/>
  <c r="D493" i="10"/>
  <c r="D492" i="10"/>
  <c r="D491" i="10"/>
  <c r="D490" i="10"/>
  <c r="D489" i="10"/>
  <c r="D488" i="10"/>
  <c r="D487" i="10"/>
  <c r="D486" i="10"/>
  <c r="D485" i="10"/>
  <c r="D484" i="10"/>
  <c r="D483" i="10"/>
  <c r="D482" i="10"/>
  <c r="D481" i="10"/>
  <c r="D480" i="10"/>
  <c r="D479" i="10"/>
  <c r="D478" i="10"/>
  <c r="D477" i="10"/>
  <c r="D476" i="10"/>
  <c r="D475" i="10"/>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55" i="9" l="1"/>
  <c r="D56" i="9" s="1"/>
  <c r="D57" i="9" s="1"/>
  <c r="D58" i="9" s="1"/>
  <c r="D59" i="9" s="1"/>
  <c r="D60" i="9" s="1"/>
  <c r="D61" i="9" s="1"/>
  <c r="D62" i="9" s="1"/>
  <c r="D63" i="9" s="1"/>
  <c r="D64" i="9" s="1"/>
  <c r="D65" i="9" s="1"/>
  <c r="D66" i="9" s="1"/>
  <c r="D67" i="9" s="1"/>
  <c r="D68" i="9" s="1"/>
  <c r="D69" i="9" s="1"/>
  <c r="D70" i="9" s="1"/>
  <c r="D71" i="9" s="1"/>
  <c r="D72" i="9" s="1"/>
  <c r="D73" i="9" s="1"/>
  <c r="D74" i="9" s="1"/>
  <c r="D75" i="9" s="1"/>
  <c r="D76" i="9" s="1"/>
  <c r="D77" i="9" s="1"/>
  <c r="D78" i="9" s="1"/>
  <c r="D79" i="9" s="1"/>
  <c r="D80" i="9" s="1"/>
  <c r="D81" i="9" s="1"/>
  <c r="D82" i="9" s="1"/>
  <c r="D83" i="9" s="1"/>
  <c r="D84" i="9" s="1"/>
  <c r="D85" i="9" s="1"/>
  <c r="D86" i="9" s="1"/>
  <c r="D87" i="9" s="1"/>
  <c r="D88" i="9" s="1"/>
  <c r="D89" i="9" s="1"/>
  <c r="D90" i="9" s="1"/>
  <c r="D91" i="9" s="1"/>
  <c r="D92" i="9" s="1"/>
  <c r="D93" i="9" s="1"/>
  <c r="D94" i="9" s="1"/>
  <c r="D95" i="9" s="1"/>
  <c r="D96" i="9" s="1"/>
  <c r="D97" i="9" s="1"/>
  <c r="D98" i="9" s="1"/>
  <c r="D99" i="9" s="1"/>
  <c r="D100" i="9" s="1"/>
  <c r="D101" i="9" s="1"/>
  <c r="D102" i="9" s="1"/>
  <c r="D103" i="9" s="1"/>
  <c r="D104" i="9" s="1"/>
  <c r="D105" i="9" s="1"/>
  <c r="D106" i="9" s="1"/>
  <c r="D107" i="9" s="1"/>
  <c r="D108" i="9" s="1"/>
  <c r="D109" i="9" s="1"/>
  <c r="D110" i="9" s="1"/>
  <c r="D111" i="9" s="1"/>
  <c r="D112" i="9" s="1"/>
  <c r="D113" i="9" s="1"/>
  <c r="D114" i="9" s="1"/>
  <c r="D115" i="9" s="1"/>
  <c r="D116" i="9" s="1"/>
  <c r="D117" i="9" s="1"/>
  <c r="D118" i="9" s="1"/>
  <c r="D119" i="9" s="1"/>
  <c r="D120" i="9" s="1"/>
  <c r="D121" i="9" s="1"/>
  <c r="D122" i="9" s="1"/>
  <c r="D123" i="9" s="1"/>
  <c r="D124" i="9" s="1"/>
  <c r="D125" i="9" s="1"/>
  <c r="D126" i="9" s="1"/>
  <c r="D127" i="9" s="1"/>
  <c r="D128" i="9" s="1"/>
  <c r="D129" i="9" s="1"/>
  <c r="D130" i="9" s="1"/>
  <c r="D131" i="9" s="1"/>
  <c r="D132" i="9" s="1"/>
  <c r="D133" i="9" s="1"/>
  <c r="D134" i="9" s="1"/>
  <c r="D135" i="9" s="1"/>
  <c r="D136" i="9" s="1"/>
  <c r="D137" i="9" s="1"/>
  <c r="D138" i="9" s="1"/>
  <c r="D139" i="9" s="1"/>
  <c r="D140" i="9" s="1"/>
  <c r="D141" i="9" s="1"/>
  <c r="D142" i="9" s="1"/>
  <c r="D143" i="9" s="1"/>
  <c r="D144" i="9" s="1"/>
  <c r="D145" i="9" s="1"/>
  <c r="D146" i="9" s="1"/>
  <c r="D147" i="9" s="1"/>
  <c r="D148" i="9" s="1"/>
  <c r="D149" i="9" s="1"/>
  <c r="D150" i="9" s="1"/>
  <c r="D151" i="9" s="1"/>
  <c r="D152" i="9" s="1"/>
  <c r="D153" i="9" s="1"/>
  <c r="D154" i="9" s="1"/>
  <c r="D155" i="9" s="1"/>
  <c r="D156" i="9" s="1"/>
  <c r="D157" i="9" s="1"/>
  <c r="D158" i="9" s="1"/>
  <c r="D159" i="9" s="1"/>
  <c r="D160" i="9" s="1"/>
  <c r="D161" i="9" s="1"/>
  <c r="D162" i="9" s="1"/>
  <c r="D163" i="9" s="1"/>
  <c r="D164" i="9" s="1"/>
  <c r="D165" i="9" s="1"/>
  <c r="D166" i="9" s="1"/>
  <c r="D167" i="9" s="1"/>
  <c r="D168" i="9" s="1"/>
  <c r="D169" i="9" s="1"/>
  <c r="D170" i="9" s="1"/>
  <c r="D171" i="9" s="1"/>
  <c r="D172" i="9" s="1"/>
  <c r="D173" i="9" s="1"/>
  <c r="D174" i="9" s="1"/>
  <c r="D175" i="9" s="1"/>
  <c r="D176" i="9" s="1"/>
  <c r="D177" i="9" s="1"/>
  <c r="D178" i="9" s="1"/>
  <c r="D179" i="9" s="1"/>
  <c r="D180" i="9" s="1"/>
  <c r="D181" i="9" s="1"/>
  <c r="D182" i="9" s="1"/>
  <c r="D183" i="9" s="1"/>
  <c r="D184" i="9" s="1"/>
  <c r="D185" i="9" s="1"/>
  <c r="D186" i="9" s="1"/>
  <c r="D187" i="9" s="1"/>
  <c r="D188" i="9" s="1"/>
  <c r="D189" i="9" s="1"/>
  <c r="D190" i="9" s="1"/>
  <c r="D191" i="9" s="1"/>
  <c r="D192" i="9" s="1"/>
  <c r="D193" i="9" s="1"/>
  <c r="D194" i="9" s="1"/>
  <c r="D195" i="9" s="1"/>
  <c r="D196" i="9" s="1"/>
  <c r="D197" i="9" s="1"/>
  <c r="D198" i="9" s="1"/>
  <c r="D199" i="9" s="1"/>
  <c r="D200" i="9" s="1"/>
  <c r="D201" i="9" s="1"/>
  <c r="D202" i="9" s="1"/>
  <c r="D203" i="9" s="1"/>
  <c r="D204" i="9" s="1"/>
  <c r="D205" i="9" s="1"/>
  <c r="D206" i="9" s="1"/>
  <c r="D207" i="9" s="1"/>
  <c r="D208" i="9" s="1"/>
  <c r="D209" i="9" s="1"/>
  <c r="D210" i="9" s="1"/>
  <c r="D211" i="9" s="1"/>
  <c r="D212" i="9" s="1"/>
  <c r="D213" i="9" s="1"/>
  <c r="D214" i="9" s="1"/>
  <c r="D215" i="9" s="1"/>
  <c r="D216" i="9" s="1"/>
  <c r="D217" i="9" s="1"/>
  <c r="D218" i="9" s="1"/>
  <c r="D219" i="9" s="1"/>
  <c r="D220" i="9" s="1"/>
  <c r="D221" i="9" s="1"/>
  <c r="D222" i="9" s="1"/>
  <c r="D223" i="9" s="1"/>
  <c r="D224" i="9" s="1"/>
  <c r="D225" i="9" s="1"/>
  <c r="D226" i="9" s="1"/>
  <c r="D227" i="9" s="1"/>
  <c r="D228" i="9" s="1"/>
  <c r="D229" i="9" s="1"/>
  <c r="D230" i="9" s="1"/>
  <c r="D231" i="9" s="1"/>
  <c r="D232" i="9" s="1"/>
  <c r="D233" i="9" s="1"/>
  <c r="D234" i="9" s="1"/>
  <c r="D235" i="9" s="1"/>
  <c r="D236" i="9" s="1"/>
  <c r="D237" i="9" s="1"/>
  <c r="D238" i="9" s="1"/>
  <c r="D239" i="9" s="1"/>
  <c r="D240" i="9" s="1"/>
  <c r="D241" i="9" s="1"/>
  <c r="D242" i="9" s="1"/>
  <c r="D243" i="9" s="1"/>
  <c r="D244" i="9" s="1"/>
  <c r="D245" i="9" s="1"/>
  <c r="D246" i="9" s="1"/>
  <c r="D247" i="9" s="1"/>
  <c r="D248" i="9" s="1"/>
  <c r="D249" i="9" s="1"/>
  <c r="D250" i="9" s="1"/>
  <c r="D251" i="9" s="1"/>
  <c r="D252" i="9" s="1"/>
  <c r="D253" i="9" s="1"/>
  <c r="D254" i="9" s="1"/>
  <c r="D255" i="9" s="1"/>
  <c r="D256" i="9" s="1"/>
  <c r="D257" i="9" s="1"/>
  <c r="D258" i="9" s="1"/>
  <c r="D259" i="9" s="1"/>
  <c r="D260" i="9" s="1"/>
  <c r="D261" i="9" s="1"/>
  <c r="D262" i="9" s="1"/>
  <c r="D263" i="9" s="1"/>
  <c r="D264" i="9" s="1"/>
  <c r="D265" i="9" s="1"/>
  <c r="D266" i="9" s="1"/>
  <c r="D267" i="9" s="1"/>
  <c r="D268" i="9" s="1"/>
  <c r="D269" i="9" s="1"/>
  <c r="D270" i="9" s="1"/>
  <c r="D271" i="9" s="1"/>
  <c r="D272" i="9" s="1"/>
  <c r="D273" i="9" s="1"/>
  <c r="D274" i="9" s="1"/>
  <c r="D275" i="9" s="1"/>
  <c r="D276" i="9" s="1"/>
  <c r="D277" i="9" s="1"/>
  <c r="D278" i="9" s="1"/>
  <c r="D279" i="9" s="1"/>
  <c r="D280" i="9" s="1"/>
  <c r="D281" i="9" s="1"/>
  <c r="D282" i="9" s="1"/>
  <c r="D283" i="9" s="1"/>
  <c r="D284" i="9" s="1"/>
  <c r="D285" i="9" s="1"/>
  <c r="D286" i="9" s="1"/>
  <c r="D287" i="9" s="1"/>
  <c r="D288" i="9" s="1"/>
  <c r="D289" i="9" s="1"/>
  <c r="D290" i="9" s="1"/>
  <c r="D291" i="9" s="1"/>
  <c r="D292" i="9" s="1"/>
  <c r="D293" i="9" s="1"/>
  <c r="D294" i="9" s="1"/>
  <c r="D295" i="9" s="1"/>
  <c r="D296" i="9" s="1"/>
  <c r="D297" i="9" s="1"/>
  <c r="D298" i="9" s="1"/>
  <c r="D299" i="9" s="1"/>
  <c r="D300" i="9" s="1"/>
  <c r="D301" i="9" s="1"/>
  <c r="D302" i="9" s="1"/>
  <c r="D303" i="9" s="1"/>
  <c r="D304" i="9" s="1"/>
  <c r="D305" i="9" s="1"/>
  <c r="D306" i="9" s="1"/>
  <c r="D307" i="9" s="1"/>
  <c r="D308" i="9" s="1"/>
  <c r="D309" i="9" s="1"/>
  <c r="D310" i="9" s="1"/>
  <c r="D311" i="9" s="1"/>
  <c r="D312" i="9" s="1"/>
  <c r="D313" i="9" s="1"/>
  <c r="D314" i="9" s="1"/>
  <c r="D315" i="9" s="1"/>
  <c r="D316" i="9" s="1"/>
  <c r="D317" i="9" s="1"/>
  <c r="D318" i="9" s="1"/>
  <c r="D319" i="9" s="1"/>
  <c r="D320" i="9" s="1"/>
  <c r="D321" i="9" s="1"/>
  <c r="D322" i="9" s="1"/>
  <c r="D323" i="9" s="1"/>
  <c r="D324" i="9" s="1"/>
  <c r="D325" i="9" s="1"/>
  <c r="D326" i="9" s="1"/>
  <c r="D327" i="9" s="1"/>
  <c r="D328" i="9" s="1"/>
  <c r="D329" i="9" s="1"/>
  <c r="D330" i="9" s="1"/>
  <c r="D331" i="9" s="1"/>
  <c r="D332" i="9" s="1"/>
  <c r="D333" i="9" s="1"/>
  <c r="D334" i="9" s="1"/>
  <c r="D335" i="9" s="1"/>
  <c r="D336" i="9" s="1"/>
  <c r="D337" i="9" s="1"/>
  <c r="D338" i="9" s="1"/>
  <c r="D339" i="9" s="1"/>
  <c r="D340" i="9" s="1"/>
  <c r="D341" i="9" s="1"/>
  <c r="D342" i="9" s="1"/>
  <c r="D343" i="9" s="1"/>
  <c r="D344" i="9" s="1"/>
  <c r="D345" i="9" s="1"/>
  <c r="D346" i="9" s="1"/>
  <c r="D347" i="9" s="1"/>
  <c r="D348" i="9" s="1"/>
  <c r="D349" i="9" s="1"/>
  <c r="D350" i="9" s="1"/>
  <c r="D351" i="9" s="1"/>
  <c r="D352" i="9" s="1"/>
  <c r="D353" i="9" s="1"/>
  <c r="C34" i="9"/>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96" i="9" s="1"/>
  <c r="C97" i="9" s="1"/>
  <c r="C98" i="9" s="1"/>
  <c r="C99" i="9" s="1"/>
  <c r="C100" i="9" s="1"/>
  <c r="C101" i="9" s="1"/>
  <c r="C102" i="9" s="1"/>
  <c r="C103" i="9" s="1"/>
  <c r="C104" i="9" s="1"/>
  <c r="C105" i="9" s="1"/>
  <c r="C106" i="9" s="1"/>
  <c r="C107" i="9" s="1"/>
  <c r="C108" i="9" s="1"/>
  <c r="C109" i="9" s="1"/>
  <c r="C110" i="9" s="1"/>
  <c r="C111" i="9" s="1"/>
  <c r="C112" i="9" s="1"/>
  <c r="C113" i="9" s="1"/>
  <c r="C114" i="9" s="1"/>
  <c r="C115" i="9" s="1"/>
  <c r="C116" i="9" s="1"/>
  <c r="C117" i="9" s="1"/>
  <c r="C118" i="9" s="1"/>
  <c r="C119" i="9" s="1"/>
  <c r="C120" i="9" s="1"/>
  <c r="C121" i="9" s="1"/>
  <c r="C122" i="9" s="1"/>
  <c r="C123" i="9" s="1"/>
  <c r="C124" i="9" s="1"/>
  <c r="C125" i="9" s="1"/>
  <c r="C126" i="9" s="1"/>
  <c r="C127" i="9" s="1"/>
  <c r="C128" i="9" s="1"/>
  <c r="C129" i="9" s="1"/>
  <c r="C130" i="9" s="1"/>
  <c r="C131" i="9" s="1"/>
  <c r="C132" i="9" s="1"/>
  <c r="C133" i="9" s="1"/>
  <c r="C134" i="9" s="1"/>
  <c r="C135" i="9" s="1"/>
  <c r="C136" i="9" s="1"/>
  <c r="C137" i="9" s="1"/>
  <c r="C138" i="9" s="1"/>
  <c r="C139" i="9" s="1"/>
  <c r="C140" i="9" s="1"/>
  <c r="C141" i="9" s="1"/>
  <c r="C142" i="9" s="1"/>
  <c r="C143" i="9" s="1"/>
  <c r="C144" i="9" s="1"/>
  <c r="C145" i="9" s="1"/>
  <c r="C146" i="9" s="1"/>
  <c r="C147" i="9" s="1"/>
  <c r="C148" i="9" s="1"/>
  <c r="C149" i="9" s="1"/>
  <c r="C150" i="9" s="1"/>
  <c r="C151" i="9" s="1"/>
  <c r="C152" i="9" s="1"/>
  <c r="C153" i="9" s="1"/>
  <c r="C154" i="9" s="1"/>
  <c r="C155" i="9" s="1"/>
  <c r="C156" i="9" s="1"/>
  <c r="C157" i="9" s="1"/>
  <c r="C158" i="9" s="1"/>
  <c r="C159" i="9" s="1"/>
  <c r="C160" i="9" s="1"/>
  <c r="C161" i="9" s="1"/>
  <c r="C162" i="9" s="1"/>
  <c r="C163" i="9" s="1"/>
  <c r="C164" i="9" s="1"/>
  <c r="C165" i="9" s="1"/>
  <c r="C166" i="9" s="1"/>
  <c r="C167" i="9" s="1"/>
  <c r="C168" i="9" s="1"/>
  <c r="C169" i="9" s="1"/>
  <c r="C170" i="9" s="1"/>
  <c r="C171" i="9" s="1"/>
  <c r="C172" i="9" s="1"/>
  <c r="C173" i="9" s="1"/>
  <c r="C174" i="9" s="1"/>
  <c r="C175" i="9" s="1"/>
  <c r="C176" i="9" s="1"/>
  <c r="C177" i="9" s="1"/>
  <c r="C178" i="9" s="1"/>
  <c r="C179" i="9" s="1"/>
  <c r="C180" i="9" s="1"/>
  <c r="C181" i="9" s="1"/>
  <c r="C182" i="9" s="1"/>
  <c r="C183" i="9" s="1"/>
  <c r="C184" i="9" s="1"/>
  <c r="C185" i="9" s="1"/>
  <c r="C186" i="9" s="1"/>
  <c r="C187" i="9" s="1"/>
  <c r="C188" i="9" s="1"/>
  <c r="C189" i="9" s="1"/>
  <c r="C190" i="9" s="1"/>
  <c r="C191" i="9" s="1"/>
  <c r="C192" i="9" s="1"/>
  <c r="C193" i="9" s="1"/>
  <c r="C194" i="9" s="1"/>
  <c r="C195" i="9" s="1"/>
  <c r="C196" i="9" s="1"/>
  <c r="C197" i="9" s="1"/>
  <c r="C198" i="9" s="1"/>
  <c r="C199" i="9" s="1"/>
  <c r="C200" i="9" s="1"/>
  <c r="C201" i="9" s="1"/>
  <c r="C202" i="9" s="1"/>
  <c r="C203" i="9" s="1"/>
  <c r="C204" i="9" s="1"/>
  <c r="C205" i="9" s="1"/>
  <c r="C206" i="9" s="1"/>
  <c r="C207" i="9" s="1"/>
  <c r="C208" i="9" s="1"/>
  <c r="C209" i="9" s="1"/>
  <c r="C210" i="9" s="1"/>
  <c r="C211" i="9" s="1"/>
  <c r="C212" i="9" s="1"/>
  <c r="C213" i="9" s="1"/>
  <c r="C214" i="9" s="1"/>
  <c r="C215" i="9" s="1"/>
  <c r="C216" i="9" s="1"/>
  <c r="C217" i="9" s="1"/>
  <c r="C218" i="9" s="1"/>
  <c r="C219" i="9" s="1"/>
  <c r="C220" i="9" s="1"/>
  <c r="C221" i="9" s="1"/>
  <c r="C222" i="9" s="1"/>
  <c r="C223" i="9" s="1"/>
  <c r="C224" i="9" s="1"/>
  <c r="C225" i="9" s="1"/>
  <c r="C226" i="9" s="1"/>
  <c r="C227" i="9" s="1"/>
  <c r="C228" i="9" s="1"/>
  <c r="C229" i="9" s="1"/>
  <c r="C230" i="9" s="1"/>
  <c r="C231" i="9" s="1"/>
  <c r="C232" i="9" s="1"/>
  <c r="C233" i="9" s="1"/>
  <c r="C234" i="9" s="1"/>
  <c r="C235" i="9" s="1"/>
  <c r="C236" i="9" s="1"/>
  <c r="C237" i="9" s="1"/>
  <c r="C238" i="9" s="1"/>
  <c r="C239" i="9" s="1"/>
  <c r="C240" i="9" s="1"/>
  <c r="C241" i="9" s="1"/>
  <c r="C242" i="9" s="1"/>
  <c r="C243" i="9" s="1"/>
  <c r="C244" i="9" s="1"/>
  <c r="C245" i="9" s="1"/>
  <c r="C246" i="9" s="1"/>
  <c r="C247" i="9" s="1"/>
  <c r="C248" i="9" s="1"/>
  <c r="C249" i="9" s="1"/>
  <c r="C250" i="9" s="1"/>
  <c r="C251" i="9" s="1"/>
  <c r="C252" i="9" s="1"/>
  <c r="C253" i="9" s="1"/>
  <c r="C254" i="9" s="1"/>
  <c r="C255" i="9" s="1"/>
  <c r="C256" i="9" s="1"/>
  <c r="C257" i="9" s="1"/>
  <c r="C258" i="9" s="1"/>
  <c r="C259" i="9" s="1"/>
  <c r="C260" i="9" s="1"/>
  <c r="C261" i="9" s="1"/>
  <c r="C262" i="9" s="1"/>
  <c r="C263" i="9" s="1"/>
  <c r="C264" i="9" s="1"/>
  <c r="C265" i="9" s="1"/>
  <c r="C266" i="9" s="1"/>
  <c r="C267" i="9" s="1"/>
  <c r="C268" i="9" s="1"/>
  <c r="C269" i="9" s="1"/>
  <c r="C270" i="9" s="1"/>
  <c r="C271" i="9" s="1"/>
  <c r="C272" i="9" s="1"/>
  <c r="C273" i="9" s="1"/>
  <c r="C274" i="9" s="1"/>
  <c r="C275" i="9" s="1"/>
  <c r="C276" i="9" s="1"/>
  <c r="C277" i="9" s="1"/>
  <c r="C278" i="9" s="1"/>
  <c r="C279" i="9" s="1"/>
  <c r="C280" i="9" s="1"/>
  <c r="C281" i="9" s="1"/>
  <c r="C282" i="9" s="1"/>
  <c r="C283" i="9" s="1"/>
  <c r="C284" i="9" s="1"/>
  <c r="C285" i="9" s="1"/>
  <c r="C286" i="9" s="1"/>
  <c r="C287" i="9" s="1"/>
  <c r="C288" i="9" s="1"/>
  <c r="C289" i="9" s="1"/>
  <c r="C290" i="9" s="1"/>
  <c r="C291" i="9" s="1"/>
  <c r="C292" i="9" s="1"/>
  <c r="C293" i="9" s="1"/>
  <c r="C294" i="9" s="1"/>
  <c r="C295" i="9" s="1"/>
  <c r="C296" i="9" s="1"/>
  <c r="C297" i="9" s="1"/>
  <c r="C298" i="9" s="1"/>
  <c r="C299" i="9" s="1"/>
  <c r="C300" i="9" s="1"/>
  <c r="C301" i="9" s="1"/>
  <c r="C302" i="9" s="1"/>
  <c r="C303" i="9" s="1"/>
  <c r="C304" i="9" s="1"/>
  <c r="C305" i="9" s="1"/>
  <c r="C306" i="9" s="1"/>
  <c r="C307" i="9" s="1"/>
  <c r="C308" i="9" s="1"/>
  <c r="C309" i="9" s="1"/>
  <c r="C310" i="9" s="1"/>
  <c r="C311" i="9" s="1"/>
  <c r="C312" i="9" s="1"/>
  <c r="C313" i="9" s="1"/>
  <c r="C314" i="9" s="1"/>
  <c r="C315" i="9" s="1"/>
  <c r="C316" i="9" s="1"/>
  <c r="C317" i="9" s="1"/>
  <c r="C318" i="9" s="1"/>
  <c r="C319" i="9" s="1"/>
  <c r="C320" i="9" s="1"/>
  <c r="C321" i="9" s="1"/>
  <c r="C322" i="9" s="1"/>
  <c r="C323" i="9" s="1"/>
  <c r="C324" i="9" s="1"/>
  <c r="C325" i="9" s="1"/>
  <c r="C326" i="9" s="1"/>
  <c r="C327" i="9" s="1"/>
  <c r="C328" i="9" s="1"/>
  <c r="C329" i="9" s="1"/>
  <c r="C330" i="9" s="1"/>
  <c r="C331" i="9" s="1"/>
  <c r="C332" i="9" s="1"/>
  <c r="C333" i="9" s="1"/>
  <c r="C334" i="9" s="1"/>
  <c r="C335" i="9" s="1"/>
  <c r="C336" i="9" s="1"/>
  <c r="C337" i="9" s="1"/>
  <c r="C338" i="9" s="1"/>
  <c r="C339" i="9" s="1"/>
  <c r="C340" i="9" s="1"/>
  <c r="C341" i="9" s="1"/>
  <c r="C342" i="9" s="1"/>
  <c r="C343" i="9" s="1"/>
  <c r="C344" i="9" s="1"/>
  <c r="C345" i="9" s="1"/>
  <c r="C346" i="9" s="1"/>
  <c r="C347" i="9" s="1"/>
  <c r="C348" i="9" s="1"/>
  <c r="C349" i="9" s="1"/>
  <c r="C350" i="9" s="1"/>
  <c r="C351" i="9" s="1"/>
  <c r="C352" i="9" s="1"/>
  <c r="C353" i="9" s="1"/>
  <c r="B17" i="9"/>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105" i="9" s="1"/>
  <c r="B106" i="9" s="1"/>
  <c r="B107" i="9" s="1"/>
  <c r="B108" i="9" s="1"/>
  <c r="B109" i="9" s="1"/>
  <c r="B110" i="9" s="1"/>
  <c r="B111" i="9" s="1"/>
  <c r="B112" i="9" s="1"/>
  <c r="B113" i="9" s="1"/>
  <c r="B114" i="9" s="1"/>
  <c r="B115" i="9" s="1"/>
  <c r="B116" i="9" s="1"/>
  <c r="B117" i="9" s="1"/>
  <c r="B118" i="9" s="1"/>
  <c r="B119" i="9" s="1"/>
  <c r="B120" i="9" s="1"/>
  <c r="B121" i="9" s="1"/>
  <c r="B122" i="9" s="1"/>
  <c r="B123" i="9" s="1"/>
  <c r="B124" i="9" s="1"/>
  <c r="B125" i="9" s="1"/>
  <c r="B126" i="9" s="1"/>
  <c r="B127" i="9" s="1"/>
  <c r="B128" i="9" s="1"/>
  <c r="B129" i="9" s="1"/>
  <c r="B130" i="9" s="1"/>
  <c r="B131" i="9" s="1"/>
  <c r="B132" i="9" s="1"/>
  <c r="B133" i="9" s="1"/>
  <c r="B134" i="9" s="1"/>
  <c r="B135" i="9" s="1"/>
  <c r="B136" i="9" s="1"/>
  <c r="B137" i="9" s="1"/>
  <c r="B138" i="9" s="1"/>
  <c r="B139" i="9" s="1"/>
  <c r="B140" i="9" s="1"/>
  <c r="B141" i="9" s="1"/>
  <c r="B142" i="9" s="1"/>
  <c r="B143" i="9" s="1"/>
  <c r="B144" i="9" s="1"/>
  <c r="B145" i="9" s="1"/>
  <c r="B146" i="9" s="1"/>
  <c r="B147" i="9" s="1"/>
  <c r="B148" i="9" s="1"/>
  <c r="B149" i="9" s="1"/>
  <c r="B150" i="9" s="1"/>
  <c r="B151" i="9" s="1"/>
  <c r="B152" i="9" s="1"/>
  <c r="B153" i="9" s="1"/>
  <c r="B154" i="9" s="1"/>
  <c r="B155" i="9" s="1"/>
  <c r="B156" i="9" s="1"/>
  <c r="B157" i="9" s="1"/>
  <c r="B158" i="9" s="1"/>
  <c r="B159" i="9" s="1"/>
  <c r="B160" i="9" s="1"/>
  <c r="B161" i="9" s="1"/>
  <c r="B162" i="9" s="1"/>
  <c r="B163" i="9" s="1"/>
  <c r="B164" i="9" s="1"/>
  <c r="B165" i="9" s="1"/>
  <c r="B166" i="9" s="1"/>
  <c r="B167" i="9" s="1"/>
  <c r="B168" i="9" s="1"/>
  <c r="B169" i="9" s="1"/>
  <c r="B170" i="9" s="1"/>
  <c r="B171" i="9" s="1"/>
  <c r="B172" i="9" s="1"/>
  <c r="B173" i="9" s="1"/>
  <c r="B174" i="9" s="1"/>
  <c r="B175" i="9" s="1"/>
  <c r="B176" i="9" s="1"/>
  <c r="B177" i="9" s="1"/>
  <c r="B178" i="9" s="1"/>
  <c r="B179" i="9" s="1"/>
  <c r="B180" i="9" s="1"/>
  <c r="B181" i="9" s="1"/>
  <c r="B182" i="9" s="1"/>
  <c r="B183" i="9" s="1"/>
  <c r="B184" i="9" s="1"/>
  <c r="B185" i="9" s="1"/>
  <c r="B186" i="9" s="1"/>
  <c r="B187" i="9" s="1"/>
  <c r="B188" i="9" s="1"/>
  <c r="B189" i="9" s="1"/>
  <c r="B190" i="9" s="1"/>
  <c r="B191" i="9" s="1"/>
  <c r="B192" i="9" s="1"/>
  <c r="B193" i="9" s="1"/>
  <c r="B194" i="9" s="1"/>
  <c r="B195" i="9" s="1"/>
  <c r="B196" i="9" s="1"/>
  <c r="B197" i="9" s="1"/>
  <c r="B198" i="9" s="1"/>
  <c r="B199" i="9" s="1"/>
  <c r="B200" i="9" s="1"/>
  <c r="B201" i="9" s="1"/>
  <c r="B202" i="9" s="1"/>
  <c r="B203" i="9" s="1"/>
  <c r="B204" i="9" s="1"/>
  <c r="B205" i="9" s="1"/>
  <c r="B206" i="9" s="1"/>
  <c r="B207" i="9" s="1"/>
  <c r="B208" i="9" s="1"/>
  <c r="B209" i="9" s="1"/>
  <c r="B210" i="9" s="1"/>
  <c r="B211" i="9" s="1"/>
  <c r="B212" i="9" s="1"/>
  <c r="B213" i="9" s="1"/>
  <c r="B214" i="9" s="1"/>
  <c r="B215" i="9" s="1"/>
  <c r="B216" i="9" s="1"/>
  <c r="B217" i="9" s="1"/>
  <c r="B218" i="9" s="1"/>
  <c r="B219" i="9" s="1"/>
  <c r="B220" i="9" s="1"/>
  <c r="B221" i="9" s="1"/>
  <c r="B222" i="9" s="1"/>
  <c r="B223" i="9" s="1"/>
  <c r="B224" i="9" s="1"/>
  <c r="B225" i="9" s="1"/>
  <c r="B226" i="9" s="1"/>
  <c r="B227" i="9" s="1"/>
  <c r="B228" i="9" s="1"/>
  <c r="B229" i="9" s="1"/>
  <c r="B230" i="9" s="1"/>
  <c r="B231" i="9" s="1"/>
  <c r="B232" i="9" s="1"/>
  <c r="B233" i="9" s="1"/>
  <c r="B234" i="9" s="1"/>
  <c r="B235" i="9" s="1"/>
  <c r="B236" i="9" s="1"/>
  <c r="B237" i="9" s="1"/>
  <c r="B238" i="9" s="1"/>
  <c r="B239" i="9" s="1"/>
  <c r="B240" i="9" s="1"/>
  <c r="B241" i="9" s="1"/>
  <c r="B242" i="9" s="1"/>
  <c r="B243" i="9" s="1"/>
  <c r="B244" i="9" s="1"/>
  <c r="B245" i="9" s="1"/>
  <c r="B246" i="9" s="1"/>
  <c r="B247" i="9" s="1"/>
  <c r="B248" i="9" s="1"/>
  <c r="B249" i="9" s="1"/>
  <c r="B250" i="9" s="1"/>
  <c r="B251" i="9" s="1"/>
  <c r="B252" i="9" s="1"/>
  <c r="B253" i="9" s="1"/>
  <c r="B254" i="9" s="1"/>
  <c r="B255" i="9" s="1"/>
  <c r="B256" i="9" s="1"/>
  <c r="B257" i="9" s="1"/>
  <c r="B258" i="9" s="1"/>
  <c r="B259" i="9" s="1"/>
  <c r="B260" i="9" s="1"/>
  <c r="B261" i="9" s="1"/>
  <c r="B262" i="9" s="1"/>
  <c r="B263" i="9" s="1"/>
  <c r="B264" i="9" s="1"/>
  <c r="B265" i="9" s="1"/>
  <c r="B266" i="9" s="1"/>
  <c r="B267" i="9" s="1"/>
  <c r="B268" i="9" s="1"/>
  <c r="B269" i="9" s="1"/>
  <c r="B270" i="9" s="1"/>
  <c r="B271" i="9" s="1"/>
  <c r="B272" i="9" s="1"/>
  <c r="B273" i="9" s="1"/>
  <c r="B274" i="9" s="1"/>
  <c r="B275" i="9" s="1"/>
  <c r="B276" i="9" s="1"/>
  <c r="B277" i="9" s="1"/>
  <c r="B278" i="9" s="1"/>
  <c r="B279" i="9" s="1"/>
  <c r="B280" i="9" s="1"/>
  <c r="B281" i="9" s="1"/>
  <c r="B282" i="9" s="1"/>
  <c r="B283" i="9" s="1"/>
  <c r="B284" i="9" s="1"/>
  <c r="B285" i="9" s="1"/>
  <c r="B286" i="9" s="1"/>
  <c r="B287" i="9" s="1"/>
  <c r="B288" i="9" s="1"/>
  <c r="B289" i="9" s="1"/>
  <c r="B290" i="9" s="1"/>
  <c r="B291" i="9" s="1"/>
  <c r="B292" i="9" s="1"/>
  <c r="B293" i="9" s="1"/>
  <c r="B294" i="9" s="1"/>
  <c r="B295" i="9" s="1"/>
  <c r="B296" i="9" s="1"/>
  <c r="B297" i="9" s="1"/>
  <c r="B298" i="9" s="1"/>
  <c r="B299" i="9" s="1"/>
  <c r="B300" i="9" s="1"/>
  <c r="B301" i="9" s="1"/>
  <c r="B302" i="9" s="1"/>
  <c r="B303" i="9" s="1"/>
  <c r="B304" i="9" s="1"/>
  <c r="B305" i="9" s="1"/>
  <c r="B306" i="9" s="1"/>
  <c r="B307" i="9" s="1"/>
  <c r="B308" i="9" s="1"/>
  <c r="B309" i="9" s="1"/>
  <c r="B310" i="9" s="1"/>
  <c r="B311" i="9" s="1"/>
  <c r="B312" i="9" s="1"/>
  <c r="B313" i="9" s="1"/>
  <c r="B314" i="9" s="1"/>
  <c r="B315" i="9" s="1"/>
  <c r="B316" i="9" s="1"/>
  <c r="B317" i="9" s="1"/>
  <c r="B318" i="9" s="1"/>
  <c r="B319" i="9" s="1"/>
  <c r="B320" i="9" s="1"/>
  <c r="B321" i="9" s="1"/>
  <c r="B322" i="9" s="1"/>
  <c r="B323" i="9" s="1"/>
  <c r="B324" i="9" s="1"/>
  <c r="B325" i="9" s="1"/>
  <c r="B326" i="9" s="1"/>
  <c r="B327" i="9" s="1"/>
  <c r="B328" i="9" s="1"/>
  <c r="B329" i="9" s="1"/>
  <c r="B330" i="9" s="1"/>
  <c r="B331" i="9" s="1"/>
  <c r="B332" i="9" s="1"/>
  <c r="B333" i="9" s="1"/>
  <c r="B334" i="9" s="1"/>
  <c r="B335" i="9" s="1"/>
  <c r="B336" i="9" s="1"/>
  <c r="B337" i="9" s="1"/>
  <c r="B338" i="9" s="1"/>
  <c r="B339" i="9" s="1"/>
  <c r="B340" i="9" s="1"/>
  <c r="B341" i="9" s="1"/>
  <c r="B342" i="9" s="1"/>
  <c r="B343" i="9" s="1"/>
  <c r="B344" i="9" s="1"/>
  <c r="B345" i="9" s="1"/>
  <c r="B346" i="9" s="1"/>
  <c r="B347" i="9" s="1"/>
  <c r="B348" i="9" s="1"/>
  <c r="B349" i="9" s="1"/>
  <c r="B350" i="9" s="1"/>
  <c r="B351" i="9" s="1"/>
  <c r="B352" i="9" s="1"/>
  <c r="B353" i="9" s="1"/>
  <c r="B16" i="9"/>
  <c r="B15" i="9"/>
  <c r="A36" i="9"/>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4" i="9"/>
  <c r="A35" i="9" s="1"/>
  <c r="A2" i="9"/>
  <c r="A3" i="9" s="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17" i="8"/>
  <c r="A18" i="8" s="1"/>
  <c r="A19" i="8" s="1"/>
  <c r="A20" i="8" s="1"/>
  <c r="A21" i="8" s="1"/>
  <c r="A22" i="8" s="1"/>
  <c r="A23" i="8" s="1"/>
  <c r="A24" i="8" s="1"/>
  <c r="A25" i="8" s="1"/>
  <c r="A26" i="8" s="1"/>
  <c r="A27" i="8" s="1"/>
  <c r="A28" i="8" s="1"/>
  <c r="A29" i="8" s="1"/>
  <c r="A30" i="8" s="1"/>
  <c r="A31" i="8" s="1"/>
  <c r="A32" i="8" s="1"/>
  <c r="A33" i="8" s="1"/>
  <c r="A2" i="8"/>
  <c r="A3" i="8" s="1"/>
  <c r="A4" i="8" s="1"/>
  <c r="A5" i="8" s="1"/>
  <c r="A6" i="8" s="1"/>
  <c r="A7" i="8" s="1"/>
  <c r="A8" i="8" s="1"/>
  <c r="A9" i="8" s="1"/>
  <c r="A10" i="8" s="1"/>
  <c r="A11" i="8" s="1"/>
  <c r="A12" i="8" s="1"/>
  <c r="A13" i="8" s="1"/>
  <c r="A14" i="8" s="1"/>
  <c r="A15" i="8" s="1"/>
  <c r="A16" i="8" s="1"/>
  <c r="F18" i="7"/>
  <c r="F17" i="7"/>
  <c r="E18" i="7"/>
  <c r="E17" i="7"/>
  <c r="A16" i="7"/>
  <c r="F21" i="7" l="1"/>
  <c r="B18" i="7"/>
  <c r="B17" i="7"/>
  <c r="A3" i="7"/>
  <c r="A4" i="7" s="1"/>
  <c r="A5" i="7" s="1"/>
  <c r="A6" i="7" s="1"/>
  <c r="A7" i="7" s="1"/>
  <c r="A8" i="7" s="1"/>
  <c r="A9" i="7" s="1"/>
  <c r="A10" i="7" s="1"/>
  <c r="A11" i="7" s="1"/>
  <c r="A12" i="7" s="1"/>
  <c r="A13" i="7" s="1"/>
  <c r="A14" i="7" s="1"/>
  <c r="A15" i="7" s="1"/>
  <c r="A2" i="7"/>
  <c r="C17" i="7" l="1"/>
  <c r="C21" i="7" s="1"/>
  <c r="C18" i="7"/>
  <c r="A4" i="2"/>
  <c r="D4" i="2"/>
  <c r="E6" i="2"/>
  <c r="B6" i="2"/>
  <c r="C6" i="2" l="1"/>
  <c r="G6" i="2" s="1"/>
  <c r="F6" i="2"/>
  <c r="E7" i="2"/>
  <c r="B7" i="2"/>
  <c r="B8" i="2"/>
  <c r="E8" i="2"/>
  <c r="F7" i="2" l="1"/>
  <c r="C7" i="2"/>
  <c r="C8" i="2"/>
  <c r="G8" i="2" s="1"/>
  <c r="F8" i="2"/>
  <c r="B9" i="2"/>
  <c r="E9" i="2"/>
  <c r="G7" i="2"/>
  <c r="C9" i="2" l="1"/>
  <c r="G9" i="2" s="1"/>
  <c r="F9" i="2"/>
  <c r="E12" i="2"/>
  <c r="E10" i="2"/>
  <c r="E11" i="2"/>
  <c r="B12" i="2"/>
  <c r="B10" i="2"/>
  <c r="B11" i="2"/>
  <c r="F11" i="2" l="1"/>
  <c r="C11" i="2"/>
  <c r="F10" i="2"/>
  <c r="C10" i="2"/>
  <c r="G10" i="2" s="1"/>
  <c r="F12" i="2"/>
  <c r="B13" i="2"/>
  <c r="B14" i="2"/>
  <c r="G11" i="2"/>
  <c r="E13" i="2"/>
  <c r="E14" i="2"/>
  <c r="F13" i="2" l="1"/>
  <c r="C12" i="2"/>
  <c r="G12" i="2" s="1"/>
  <c r="F14" i="2"/>
  <c r="E15" i="2"/>
  <c r="E17" i="2"/>
  <c r="B15" i="2"/>
  <c r="E16" i="2"/>
  <c r="B16" i="2"/>
  <c r="F15" i="2" l="1"/>
  <c r="F16" i="2"/>
  <c r="C13" i="2"/>
  <c r="G13" i="2" s="1"/>
  <c r="F17" i="2"/>
  <c r="G17" i="2"/>
  <c r="G18" i="2"/>
  <c r="G19" i="2"/>
  <c r="E19" i="2"/>
  <c r="E18" i="2"/>
  <c r="E20" i="2"/>
  <c r="F18" i="2" l="1"/>
  <c r="F19" i="2"/>
  <c r="C14" i="2"/>
  <c r="G14" i="2" s="1"/>
  <c r="F20" i="2"/>
  <c r="G20" i="2"/>
  <c r="G21" i="2"/>
  <c r="E21" i="2"/>
  <c r="E22" i="2"/>
  <c r="F21" i="2" l="1"/>
  <c r="C15" i="2"/>
  <c r="G15" i="2" s="1"/>
  <c r="F22" i="2"/>
  <c r="G22" i="2"/>
  <c r="G23" i="2"/>
  <c r="E24" i="2"/>
  <c r="E23" i="2"/>
  <c r="F23" i="2" l="1"/>
  <c r="C16" i="2"/>
  <c r="G16" i="2" s="1"/>
  <c r="F24" i="2"/>
  <c r="G24" i="2"/>
  <c r="G13" i="37" l="1"/>
</calcChain>
</file>

<file path=xl/comments1.xml><?xml version="1.0" encoding="utf-8"?>
<comments xmlns="http://schemas.openxmlformats.org/spreadsheetml/2006/main">
  <authors>
    <author>David A. Gray</author>
  </authors>
  <commentList>
    <comment ref="I81" authorId="0">
      <text>
        <r>
          <rPr>
            <b/>
            <sz val="8"/>
            <color indexed="81"/>
            <rFont val="Tahoma"/>
            <charset val="1"/>
          </rPr>
          <t>David A. Gray:</t>
        </r>
        <r>
          <rPr>
            <sz val="8"/>
            <color indexed="81"/>
            <rFont val="Tahoma"/>
            <charset val="1"/>
          </rPr>
          <t xml:space="preserve">
Tthis exception is the result of a configuration error, since fixed.</t>
        </r>
      </text>
    </comment>
  </commentList>
</comments>
</file>

<file path=xl/comments2.xml><?xml version="1.0" encoding="utf-8"?>
<comments xmlns="http://schemas.openxmlformats.org/spreadsheetml/2006/main">
  <authors>
    <author>David A. Gray</author>
  </authors>
  <commentList>
    <comment ref="I81" authorId="0">
      <text>
        <r>
          <rPr>
            <b/>
            <sz val="8"/>
            <color indexed="81"/>
            <rFont val="Tahoma"/>
            <charset val="1"/>
          </rPr>
          <t>David A. Gray:</t>
        </r>
        <r>
          <rPr>
            <sz val="8"/>
            <color indexed="81"/>
            <rFont val="Tahoma"/>
            <charset val="1"/>
          </rPr>
          <t xml:space="preserve">
Tthis exception is the result of a configuration error, since fixed.</t>
        </r>
      </text>
    </comment>
  </commentList>
</comments>
</file>

<file path=xl/comments3.xml><?xml version="1.0" encoding="utf-8"?>
<comments xmlns="http://schemas.openxmlformats.org/spreadsheetml/2006/main">
  <authors>
    <author>David A. Gray</author>
  </authors>
  <commentList>
    <comment ref="I81" authorId="0">
      <text>
        <r>
          <rPr>
            <b/>
            <sz val="8"/>
            <color indexed="81"/>
            <rFont val="Tahoma"/>
            <charset val="1"/>
          </rPr>
          <t>David A. Gray:</t>
        </r>
        <r>
          <rPr>
            <sz val="8"/>
            <color indexed="81"/>
            <rFont val="Tahoma"/>
            <charset val="1"/>
          </rPr>
          <t xml:space="preserve">
Tthis exception is the result of a configuration error, since fixed.</t>
        </r>
      </text>
    </comment>
  </commentList>
</comments>
</file>

<file path=xl/connections.xml><?xml version="1.0" encoding="utf-8"?>
<connections xmlns="http://schemas.openxmlformats.org/spreadsheetml/2006/main">
  <connection id="1" name="Application_ZAPHOD42_20140305_004026" type="6" refreshedVersion="4" background="1" saveData="1">
    <textPr codePage="437" firstRow="2" sourceFile="C:\Users\DAVE\Documents\Visual Studio 2013\Projects\WizardWrx_Libs\DLLServices2\_NOTES\ApplicationEvents_ENIGMA_20150713_193222.TXT">
      <textFields count="9">
        <textField/>
        <textField/>
        <textField/>
        <textField/>
        <textField/>
        <textField/>
        <textField/>
        <textField/>
        <textField type="text"/>
      </textFields>
    </textPr>
  </connection>
  <connection id="2" name="Application_ZAPHOD42_20140305_0040261" type="6" refreshedVersion="4" background="1" saveData="1">
    <textPr codePage="437" firstRow="2" sourceFile="C:\Users\DAVE\Documents\Visual Studio 2013\Projects\WizardWrx_Libs\DLLServices2\_NOTES\ApplicationEvents_ENIGMA_20150619_194622.TXT">
      <textFields count="9">
        <textField/>
        <textField/>
        <textField/>
        <textField/>
        <textField/>
        <textField/>
        <textField/>
        <textField/>
        <textField type="text"/>
      </textFields>
    </textPr>
  </connection>
  <connection id="3" name="Application_ZAPHOD42_20140305_0040262" type="6" refreshedVersion="4" background="1" saveData="1">
    <textPr codePage="437" firstRow="2" sourceFile="C:\Users\DAVE\Documents\Visual Studio 2013\Projects\WizardWrx_Libs\DLLServices2\_NOTES\ApplicationEvents_ENIGMA_20150621_175053.TXT">
      <textFields count="9">
        <textField/>
        <textField/>
        <textField/>
        <textField/>
        <textField/>
        <textField/>
        <textField/>
        <textField/>
        <textField type="text"/>
      </textFields>
    </textPr>
  </connection>
  <connection id="4" name="Application_ZAPHOD42_20140305_0040263" type="6" refreshedVersion="4" background="1" saveData="1">
    <textPr codePage="437" firstRow="2" sourceFile="C:\Users\DAVE\Documents\Visual Studio 2013\Projects\WizardWrx_Libs\DLLServices2\_NOTES\ApplicationEvents_ENIGMA_20150623_230134.TXT">
      <textFields count="9">
        <textField/>
        <textField/>
        <textField/>
        <textField/>
        <textField/>
        <textField/>
        <textField/>
        <textField/>
        <textField type="text"/>
      </textFields>
    </textPr>
  </connection>
  <connection id="5" name="Application_ZAPHOD42_20140305_0040264" type="6" refreshedVersion="4" background="1" saveData="1">
    <textPr codePage="437" firstRow="2" sourceFile="C:\Users\DAVE\Documents\Visual Studio 2013\Projects\WizardWrx_Libs\DLLServices2\Redirected_Streams\ApplicationEvents_ENIGMA_20150624_220238.TXT">
      <textFields count="9">
        <textField/>
        <textField/>
        <textField/>
        <textField/>
        <textField/>
        <textField/>
        <textField/>
        <textField/>
        <textField type="text"/>
      </textFields>
    </textPr>
  </connection>
  <connection id="6" name="PSTFileBackups" type="6" refreshedVersion="4" background="1" saveData="1">
    <textPr codePage="437" sourceFile="C:\Users\DAVE\Documents\Visual Studio 2013\Projects\WizardWrx_Libs\DLLServices2\Redirected_Streams\RedirectionDrills.LOG">
      <textFields count="2">
        <textField/>
        <textField type="text"/>
      </textFields>
    </textPr>
  </connection>
</connections>
</file>

<file path=xl/sharedStrings.xml><?xml version="1.0" encoding="utf-8"?>
<sst xmlns="http://schemas.openxmlformats.org/spreadsheetml/2006/main" count="9236" uniqueCount="1730">
  <si>
    <t xml:space="preserve">The VSS service is shutting down due to idle timeout.    </t>
  </si>
  <si>
    <t>None</t>
  </si>
  <si>
    <t>ENIGMA</t>
  </si>
  <si>
    <t>INFORMATION</t>
  </si>
  <si>
    <t>VSS</t>
  </si>
  <si>
    <t>Application</t>
  </si>
  <si>
    <t xml:space="preserve">The disk defragmenter successfully completed defragmentation on SYSTEM RESERVED  </t>
  </si>
  <si>
    <t>UNKNOWN TYPE</t>
  </si>
  <si>
    <t>Microsoft-Windows-Defrag</t>
  </si>
  <si>
    <t xml:space="preserve">The Software Protection service is starting.    </t>
  </si>
  <si>
    <t>Software Protection Platform Service</t>
  </si>
  <si>
    <t xml:space="preserve">Initialization status for service objects.  C:\Windows\system32\sppwinob.dll, msft:spp/windowsfunctionality/agent/7.0, 0x00000000, 0x00000000 C:\Windows\system32\sppobjs.dll, msft:rm/algorithm/phone/1.0, 0x00000000, 0x00000000 C:\Windows\system32\sppobjs.dll, msft:rm/algorithm/pkey/2005, 0x00000000, 0x00000000 C:\Windows\system32\sppobjs.dll, msft:spp/TaskScheduler/1.0, 0x00000000, 0x00000000 C:\Windows\system32\sppobjs.dll, msft:spp/volume/services/kms/1.0, 0x00000000, 0x00000000 C:\Windows\system32\sppobjs.dll, msft:spp/volume/services/kms/licenserenewal/1.0, 0x00000000, 0x00000000   </t>
  </si>
  <si>
    <t xml:space="preserve">The Software Protection service has completed licensing status check.  Application Id=55c92734-d682-4d71-983e-d6ec3f16059f  Licensing Status= 1: 4de78642-0f7f-4b61-9392-8add86d70ae8, 1, 0 [(0 [0xC004F014, 0, 0], [(?)(?)(?)(?)(?)(?)])(1 )(2 )] 2: 50e329f7-a5fa-46b2-85fd-f224e5da7764, 1, 0 [(0 [0xC004F014, 0, 0], [(?)(?)(?)(?)(?)(?)])(1 )(2 )] 3: 5a79ecd8-d33f-406c-a619-7785899b5d59, 1, 0 [(0 [0xC004F014, 0, 0], [(?)(?)(?)(?)(?)(?)])(1 )(2 )] 4: 770bc271-8dc1-467d-b574-73cbacbeccd1, 1, 0 [(0 [0xC004F014, 0, 0], [(?)(?)(?)(?)(?)(?)])(1 )(2 )] 5: 90a61a0d-0b76-4bf1-a8b8-89061855a4c9, 1, 0 [(0 [0xC004F014, 0, 0], [(?)(?)(?)(?)(?)(?)])(1 )(2 )] 6: 92f9d22a-65f5-49a7-90fe-06491b4fc379, 1, 0 [(0 [0xC004F014, 0, 0], [(?)(?)(?)(?)(?)(?)])(1 )(2 )] 7: 9abf5984-9c16-46f2-ad1e-7fe15931a8dd, 1, 0 [(0 [0xC004F014, 0, 0], [(?)(?)(?)(?)(?)(?)])(1 )(2 )] 8: 9ccffaf9-86a2-414e-b031-b2f777720e90, 1, 0 [(0 [0xC004F014, 0, 0], [(?)(?)(?)(?)(?)(?)])(1 )(2 )] 9: b92e9980-b9d5-4821-9c94-140f632f6312, 1, 0 [(0 [0xC004F014, 0, 0], [(?)(?)(?)(?)(?)(?)])(1 )(2 )] 10: c1027486-8ae8-4633-9cf9-9658ed80504d, 1, 0 [(0 [0xC004F014, 0, 0], [(?)(?)(?)(?)(?)(?)])(1 )(2 )] 11: c1e88de3-96c4-4563-ad7d-775f65b1e670, 1, 0 [(0 [0xC004F014, 0, 0], [(?)(?)(?)(?)(?)(?)])(1 )(2 )] 12: c33001fc-5e9c-4f27-8c05-e0154adb0db4, 1, 0 [(0 [0xC004F014, 0, 0], [(?)(?)(?)(?)(?)(?)])(1 )(2 )] 13: cf3c5b35-35ff-4c95-9bbd-a188e47ad14c, 1, 0 [(0 [0xC004F014, 0, 0], [(?)(?)(?)(?)(?)(?)])(1 )(2 )] 14: cff07cac-7534-4cc3-b3f3-99e1a0aa3c20, 1, 0 [(0 [0xC004F014, 0, 0], [(?)(?)(?)(?)(?)(?)])(1 )(2 )] 15: d188820a-cb63-4bad-a9a2-40b843ee23b7, 1, 0 [(0 [0xC004F014, 0, 0], [(?)(?)(?)(?)(?)(?)])(1 )(2 )] 16: d8e04254-f9a5-4729-ae86-886de6aa907c, 1, 0 [(0 [0xC004F014, 0, 0], [(?)(?)(?)(?)(?)(?)])(1 )(2 )] 17: da22eadd-46dc-4056-a287-f5041c852470, 1, 0 [(0 [0xC004F014, 0, 0], [(?)(?)(?)(?)(?)(?)])(1 )(2 )] 18: e120e868-3df2-464a-95a0-b52fa5ada4bf, 1, 0 [(0 [0xC004F014, 0, 0], [(?)(?)(?)(?)(?)(?)])(1 )(2 )] 19: e838d943-63ed-4a0b-9fb1-47152908acc9, 1, 1 [(0 [0x00000000, 1, 0], [(?)(?)( 1 0x00000000 3 0 msft:rm/algorithm/hwid/4.0 0x00000000 0)(?)(?)(?)])(1 )(2 )] 20: 4a8149bb-7d61-49f4-8822-82c7bf88d64b, 1, 0 [(0 [0xC004F014, 0, 0], [(?)(?)(?)(?)(?)(?)])(1 )(2 )] 21: afd5f68f-b70f-4000-a21d-28dbc8be8b07, 1, 0 [(0 [0xC004F014, 0, 0], [(?)(?)(?)(?)(?)(?)])(1 )(2 )]    </t>
  </si>
  <si>
    <t xml:space="preserve">The Software Protection service has started.  6.1.7601.17514  </t>
  </si>
  <si>
    <t xml:space="preserve">The Software Protection service has stopped.    </t>
  </si>
  <si>
    <t xml:space="preserve">The disk defragmenter successfully completed defragmentation on Gateway (C:)  </t>
  </si>
  <si>
    <t xml:space="preserve">The disk defragmenter successfully completed defragmentation on PQSERVICE  </t>
  </si>
  <si>
    <t xml:space="preserve">Message text not available.  Insertion strings: Service stopped  </t>
  </si>
  <si>
    <t>gupdate</t>
  </si>
  <si>
    <t xml:space="preserve">Outlook loaded the following add-in(s):   Name: OneNote Notes about Outlook Items Description: Adds Send to OneNote and Notes about this Item buttons to the command bar ProgID: OneNote.OutlookAddin GUID: {B8DD1F2D-BED0-4298-B0D5-9B08F8FAD6CB} Load Behavior: 03 HKLM: 1 Location: C:\Program Files (x86)\Microsoft Office\Office14\ONBttnOL.dll Boot Time (Milliseconds): 16   </t>
  </si>
  <si>
    <t>Outlook</t>
  </si>
  <si>
    <t xml:space="preserve">The Software Protection service has completed licensing status check.  Application Id=59a52881-a989-479d-af46-f275c6370663  Licensing Status= 1: 0993043d-664f-4b2e-a7f1-fd92091fa81f, 1, 1 [(0 [0x00000000, 1, 0], [(?)(?)( 1 0x00000000 3 0 msft:rm/algorithm/hwid/4.0 0x00000000 0)(?)(?)(?)])(1 )(2 )] 2: 0b172e55-95ae-4c78-8c58-81aa98ab7f94, 1, 0 [(0 [0xC004F014, 0, 0], [(?)(?)(?)(?)(?)(?)])(1 )(2 )] 3: 0ec894e8-a5a9-48de-9463-061c4801ee8f, 1, 0 [(0 [0xC004F014, 0, 0], [(?)(?)(?)(?)(?)(?)])(1 )(2 )] 4: 1359dce0-0dc8-4171-8c43-ba8b9f2e5d1d, 1, 0 [(0 [0xC004F014, 0, 0], [(?)(?)(?)(?)(?)(?)])(1 )(2 )] 5: 15a9d881-3184-45e0-b407-466a68a691b1, 1, 0 [(0 [0xC004F014, 0, 0], [(?)(?)(?)(?)(?)(?)])(1 )(2 )] 6: 28fe27a7-2e11-4c05-8dd0-e1f1c08dc3ae, 1, 0 [(0 [0xC004F014, 0, 0], [(?)(?)(?)(?)(?)(?)])(1 )(2 )] 7: 3513c04b-9085-43a9-8f9a-639993c19e80, 1, 0 [(0 [0xC004F014, 0, 0], [(?)(?)(?)(?)(?)(?)])(1 )(2 )] 8: 40becf98-1d17-43ef-989f-1d92396a2741, 1, 0 [(0 [0xC004F014, 0, 0], [(?)(?)(?)(?)(?)(?)])(1 )(2 )] 9: 42cbf3f6-4d5e-49c6-991a-0d99b8429a6d, 1, 0 [(0 [0xC004F014, 0, 0], [(?)(?)(?)(?)(?)(?)])(1 )(2 )] 10: 46c84aad-65c7-482d-b82a-1edc52e6989a, 1, 1 [(0 [0x00000000, 1, 0], [(?)(?)( 1 0x00000000 3 0 msft:rm/algorithm/hwid/4.0 0x00000000 0)(?)(?)(?)])(1 )(2 )] 11: 4cc91c85-44a8-4834-b15d-ffea4616e4e4, 1, 0 [(0 [0xC004F014, 0, 0], [(?)(?)(?)(?)(?)(?)])(1 )(2 )] 12: 66cad568-c2dc-459d-93ec-2f3cb967ee34, 1, 0 [(0 [0xC004F014, 0, 0], [(?)(?)(?)(?)(?)(?)])(1 )(2 )] 13: 673ea9ea-9bc0-463f-93e5-f77655e46630, 1, 0 [(0 [0xC004F014, 0, 0], [(?)(?)(?)(?)(?)(?)])(1 )(2 )] 14: 71af7e84-93e6-4363-9b69-699e04e74071, 1, 0 [(0 [0xC004F014, 0, 0], [(?)(?)(?)(?)(?)(?)])(1 )(2 )] 15: 75bb133b-f5dd-423c-8321-3bd0b50322a5, 1, 0 [(0 [0xC004F014, 0, 0], [(?)(?)(?)(?)(?)(?)])(1 )(2 )] 16: 7616c283-5c5b-4054-b52c-902f03e4dcdf, 1, 0 [(0 [0xC004F014, 0, 0], [(?)(?)(?)(?)(?)(?)])(1 )(2 )] 17: 8c5edb5d-9aa0-47a7-9416-d61c7419a60a, 1, 0 [(0 [0xC004F014, 0, 0], [(?)(?)(?)(?)(?)(?)])(1 )(2 )] 18: 8c5fa740-5dca-43f9-be1b-d0281bcf9779, 1, 0 [(0 [0xC004F014, 0, 0], [(?)(?)(?)(?)(?)(?)])(1 )(2 )] 19: a27df0c4-ae71-4ddd-bbeb-6d6222fe3a17, 1, 0 [(0 [0xC004F014, 0, 0], [(?)(?)(?)(?)(?)(?)])(1 )(2 )] 20: ba24d057-8b5f-462e-87fe-485038c68954, 1, 0 [(0 [0xC004F014, 0, 0], [(?)(?)(?)(?)(?)(?)])(1 )(2 )] 21: bb42dd2b-070c-4f5b-947a-55f56a16d4f3, 1, 0 [(0 [0xC004F014, 0, 0], [(?)(?)(?)(?)(?)(?)])(1 )(2 )] 22: c1ceda8b-c578-4d5d-a4aa-23626be4e234, 1, 0 [(0 [0xC004F014, 0, 0], [(?)(?)(?)(?)(?)(?)])(1 )(2 )] 23: d0a97e12-08a1-4a45-add5-1155b204e766, 1, 0 [(0 [0xC004F014, 0, 0], [(?)(?)(?)(?)(?)(?)])(1 )(2 )]    </t>
  </si>
  <si>
    <t>Office Software Protection Platform Service</t>
  </si>
  <si>
    <t xml:space="preserve">The Software Protection service has completed licensing status check.  Application Id=59a52881-a989-479d-af46-f275c6370663  Licensing Status= 1: 0993043d-664f-4b2e-a7f1-fd92091fa81f, 1, 1 [(0 [0x00000000, 1, 0], [(?)(?)( 1 0x00000000 3 0 msft:rm/algorithm/hwid/4.0 0x00000000 0)(?)(?)(?)])(1 )(2 )]    </t>
  </si>
  <si>
    <t xml:space="preserve">The Software Protection service has completed licensing status check.  Application Id=59a52881-a989-479d-af46-f275c6370663  Licensing Status= 1: 46c84aad-65c7-482d-b82a-1edc52e6989a, 1, 1 [(0 [0x00000000, 1, 0], [(?)(?)( 1 0x00000000 3 0 msft:rm/algorithm/hwid/4.0 0x00000000 0)(?)(?)(?)])(1 )(2 )]    </t>
  </si>
  <si>
    <t xml:space="preserve">The store C:\Users\DAVE\Documents\Outlook Files\Main.PST has detected a catalog checkpoint.  </t>
  </si>
  <si>
    <t xml:space="preserve">The store C:\Users\DAVE\Documents\Outlook Files\archive1.pst has detected a catalog checkpoint.  </t>
  </si>
  <si>
    <t xml:space="preserve">An System.NullReferenceException exception was caught in routine ExerciseColorExceptionReporting:                 Message          = Object reference not set to an instance of an object.  Exception Method = Void ExerciseColorExceptionReporting()  Exception Source = TestStand    Stack Trace Begin:     at TestStand.Program.ExerciseColorExceptionReporting() in c:\Users\DAVE\Documents\Visual Studio 2013\Projects\WizardWrx_Libs\ConsoleAppAids2\TestStand\Program.cs:line 538  End of Stack Trace    There are no further exceptions to report.    </t>
  </si>
  <si>
    <t>ERROR</t>
  </si>
  <si>
    <t>WizardWrx</t>
  </si>
  <si>
    <t xml:space="preserve">An System.Exception exception was caught in routine ExerciseColorExceptionReporting:                 Message          = This error message appears in White text on Red background.  Exception Method = Void ExerciseColorExceptionReporting()  Exception Source = TestStand    Stack Trace Begin:     at TestStand.Program.ExerciseColorExceptionReporting() in c:\Users\DAVE\Documents\Visual Studio 2013\Projects\WizardWrx_Libs\ConsoleAppAids2\TestStand\Program.cs:line 559  End of Stack Trace    There are no further exceptions to report.    </t>
  </si>
  <si>
    <t xml:space="preserve">An System.Exception exception was caught in routine ExerciseColorExceptionReporting:                 Message          = This error message appears in Yellow text on Red background.  Exception Method = Void ExerciseColorExceptionReporting()  Exception Source = TestStand    Stack Trace Begin:     at TestStand.Program.ExerciseColorExceptionReporting() in c:\Users\DAVE\Documents\Visual Studio 2013\Projects\WizardWrx_Libs\ConsoleAppAids2\TestStand\Program.cs:line 559  End of Stack Trace    There are no further exceptions to report.    </t>
  </si>
  <si>
    <t xml:space="preserve">An System.Exception exception was caught in routine ExerciseColorExceptionReporting:                 Message          = This error message appears in White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559  End of Stack Trace    There are no further exceptions to report.    </t>
  </si>
  <si>
    <t xml:space="preserve">An System.Exception exception was caught in routine ExerciseColorExceptionReporting:                 Message          = This error message appears in Yellow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559  End of Stack Trace    There are no further exceptions to report.    </t>
  </si>
  <si>
    <t xml:space="preserve">An System.Exception exception was caught in routine TimedExitTest:                 Message          = This is a test exception. This is only a test.  Exception Method = Void TimedExitTest(Int32 ByRef, WizardWrx.ApplicationHelpers2.CmdLneArgsBasic)  Exception Source = TestStand    Stack Trace Begin:     at TestStand.Program.TimedExitTest(Int32&amp; pintTestNbr, CmdLneArgsBasic cmdArgs) in c:\Users\DAVE\Documents\Visual Studio 2013\Projects\WizardWrx_Libs\ConsoleAppAids2\TestStand\Program.cs:line 1550  End of Stack Trace    There are no further exceptions to report.    </t>
  </si>
  <si>
    <t xml:space="preserve">An System.IO.DirectoryNotFoundException exception was caught in routine TimeedWaitTest:                 Message          = Could not find a part of the path 'C:\Documents and Settings\DAG\My Documents\Visual Studio 2010\Projects\WizardWrx_Libs\ConsoleAppAids2\NOTES\Test_Data\TimedWaitTests.TXT'.  Exception Method = Void WinIOError(Int32, System.String)  Exception Source = mscorlib    Stack Trace Begin: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at System.IO.FileStream..ctor(String path, FileMode mode, FileAccess access, FileShare share, Int32 bufferSize, FileOptions options)     at System.IO.StreamReader..ctor(String path, Encoding encoding, Boolean detectEncodingFromByteOrderMarks, Int32 bufferSize)     at System.IO.StreamReader..ctor(String path, Encoding encoding)     at TestStand.Program.TimeedWaitTest(Int32&amp; s_intCase, CmdLneArgsBasic cmdArgs) in c:\Users\DAVE\Documents\Visual Studio 2013\Projects\WizardWrx_Libs\ConsoleAppAids2\TestStand\Program.cs:line 1610  End of Stack Trace    There are no further exceptions to report.    </t>
  </si>
  <si>
    <t xml:space="preserve">An System.NullReferenceException exception was caught in routine ExerciseColorExceptionReporting:                 Message          = Object reference not set to an instance of an object.  Exception Method = Void ExerciseColorExceptionReporting()  Exception Source = TestStand    Stack Trace Begin:     at TestStand.Program.ExerciseColorExceptionReporting() in c:\Users\DAVE\Documents\Visual Studio 2013\Projects\WizardWrx_Libs\ConsoleAppAids2\TestStand\Program.cs:line 552  End of Stack Trace    There are no further exceptions to report.    </t>
  </si>
  <si>
    <t xml:space="preserve">An System.Exception exception was caught in routine ExerciseColorExceptionReporting:                 Message          = This error message appears in White text on Red background.  Exception Method = Void ExerciseColorExceptionReporting()  Exception Source = TestStand    Stack Trace Begin:     at TestStand.Program.ExerciseColorExceptionReporting() in c:\Users\DAVE\Documents\Visual Studio 2013\Projects\WizardWrx_Libs\ConsoleAppAids2\TestStand\Program.cs:line 573  End of Stack Trace    There are no further exceptions to report.    </t>
  </si>
  <si>
    <t xml:space="preserve">An System.Exception exception was caught in routine ExerciseColorExceptionReporting:                 Message          = This error message appears in Yellow text on Red background.  Exception Method = Void ExerciseColorExceptionReporting()  Exception Source = TestStand    Stack Trace Begin:     at TestStand.Program.ExerciseColorExceptionReporting() in c:\Users\DAVE\Documents\Visual Studio 2013\Projects\WizardWrx_Libs\ConsoleAppAids2\TestStand\Program.cs:line 573  End of Stack Trace    There are no further exceptions to report.    </t>
  </si>
  <si>
    <t xml:space="preserve">An System.Exception exception was caught in routine ExerciseColorExceptionReporting:                 Message          = This error message appears in White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573  End of Stack Trace    There are no further exceptions to report.    </t>
  </si>
  <si>
    <t xml:space="preserve">An System.Exception exception was caught in routine ExerciseColorExceptionReporting:                 Message          = This error message appears in Yellow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573  End of Stack Trace    There are no further exceptions to report.    </t>
  </si>
  <si>
    <t xml:space="preserve">An System.Exception exception was caught in routine TimedExitTest:                 Message          = This is a test exception. This is only a test.  Exception Method = Void TimedExitTest(Int32 ByRef, WizardWrx.ApplicationHelpers2.CmdLneArgsBasic)  Exception Source = TestStand    Stack Trace Begin:     at TestStand.Program.TimedExitTest(Int32&amp; pintTestNbr, CmdLneArgsBasic cmdArgs) in c:\Users\DAVE\Documents\Visual Studio 2013\Projects\WizardWrx_Libs\ConsoleAppAids2\TestStand\Program.cs:line 1564  End of Stack Trace    There are no further exceptions to report.    </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</si>
  <si>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TestStand.Program.ExerciseColorExceptionReporting() in c:\Users\DAVE\Documents\Visual Studio 2013\Projects\WizardWrx_Libs\ConsoleAppAids2\TestStand\Program.cs:line 539     at TestStand.Program.Main(String[] pastrArgs) in c:\Users\DAVE\Documents\Visual Studio 2013\Projects\WizardWrx_Libs\ConsoleAppAids2\TestStand\Program.cs:line 443  End of Stack Trace    There are no further exceptions to report.    </t>
  </si>
  <si>
    <t xml:space="preserve">An System.NullReferenceException exception was caught in routine ExerciseColorExceptionReporting:                 Message          = Object reference not set to an instance of an object.  Exception Method = Void ExerciseColorExceptionReporting()  Exception Source = TestStand    Stack Trace Begin:     at TestStand.Program.ExerciseColorExceptionReporting() in c:\Users\DAVE\Documents\Visual Studio 2013\Projects\WizardWrx_Libs\ConsoleAppAids2\TestStand\Program.cs:line 571  End of Stack Trace    There are no further exceptions to report.    </t>
  </si>
  <si>
    <t xml:space="preserve">An System.Exception exception was caught in routine ExerciseColorExceptionReporting:                 Message          = This error message appears in White text on Red background.  Exception Method = Void ExerciseColorExceptionReporting()  Exception Source = TestStand    Stack Trace Begin:     at TestStand.Program.ExerciseColorExceptionReporting() in c:\Users\DAVE\Documents\Visual Studio 2013\Projects\WizardWrx_Libs\ConsoleAppAids2\TestStand\Program.cs:line 592  End of Stack Trace    There are no further exceptions to report.    </t>
  </si>
  <si>
    <t xml:space="preserve">An System.Exception exception was caught in routine ExerciseColorExceptionReporting:                 Message          = This error message appears in Yellow text on Red background.  Exception Method = Void ExerciseColorExceptionReporting()  Exception Source = TestStand    Stack Trace Begin:     at TestStand.Program.ExerciseColorExceptionReporting() in c:\Users\DAVE\Documents\Visual Studio 2013\Projects\WizardWrx_Libs\ConsoleAppAids2\TestStand\Program.cs:line 592  End of Stack Trace    There are no further exceptions to report.    </t>
  </si>
  <si>
    <t xml:space="preserve">An System.Exception exception was caught in routine ExerciseColorExceptionReporting:                 Message          = This error message appears in White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592  End of Stack Trace    There are no further exceptions to report.    </t>
  </si>
  <si>
    <t xml:space="preserve">An System.Exception exception was caught in routine ExerciseColorExceptionReporting:                 Message          = This error message appears in Yellow text on DarkRed background.  Exception Method = Void ExerciseColorExceptionReporting()  Exception Source = TestStand    Stack Trace Begin:     at TestStand.Program.ExerciseColorExceptionReporting() in c:\Users\DAVE\Documents\Visual Studio 2013\Projects\WizardWrx_Libs\ConsoleAppAids2\TestStand\Program.cs:line 592  End of Stack Trace    There are no further exceptions to report.    </t>
  </si>
  <si>
    <t xml:space="preserve">An System.Exception exception was caught in routine TimedExitTest:                 Message          = This is a test exception. This is only a test.  Exception Method = Void TimedExitTest(Int32 ByRef, WizardWrx.ApplicationHelpers2.CmdLneArgsBasic)  Exception Source = TestStand    Stack Trace Begin:     at TestStand.Program.TimedExitTest(Int32&amp; pintTestNbr, CmdLneArgsBasic cmdArgs) in c:\Users\DAVE\Documents\Visual Studio 2013\Projects\WizardWrx_Libs\ConsoleAppAids2\TestStand\Program.cs:line 1583  End of Stack Trace    There are no further exceptions to report.    </t>
  </si>
  <si>
    <t xml:space="preserve">The disk defragmenter successfully completed boot optimization on Gateway (C:)  </t>
  </si>
  <si>
    <t xml:space="preserve">The Desktop Window Manager has exited with code (0x40010004)  </t>
  </si>
  <si>
    <t>Desktop Window Manager</t>
  </si>
  <si>
    <t xml:space="preserve">The winlogon notification subscriber &lt;SessionEnv&gt; was unavailable to handle a notification event.  </t>
  </si>
  <si>
    <t>Wlclntfy</t>
  </si>
  <si>
    <t xml:space="preserve">Windows detected your registry file is still in use by other applications or services. The file will be unloaded now. The applications or services that hold your registry file may not function properly afterwards.       DETAIL -    5 user registry handles leaked from \Registry\User\S-1-5-21-17510579-3350751504-2289590292-1000: Process 700 (\Device\HarddiskVolume3\Windows\System32\lsass.exe) has opened key \REGISTRY\USER\S-1-5-21-17510579-3350751504-2289590292-1000 Process 700 (\Device\HarddiskVolume3\Windows\System32\lsass.exe) has opened key \REGISTRY\USER\S-1-5-21-17510579-3350751504-2289590292-1000 Process 700 (\Device\HarddiskVolume3\Windows\System32\lsass.exe) has opened key \REGISTRY\USER\S-1-5-21-17510579-3350751504-2289590292-1000\Software\Microsoft\SystemCertificates\My Process 700 (\Device\HarddiskVolume3\Windows\System32\lsass.exe) has opened key \REGISTRY\USER\S-1-5-21-17510579-3350751504-2289590292-1000\Software\Microsoft\SystemCertificates\CA Process 700 (\Device\HarddiskVolume3\Windows\System32\lsass.exe) has opened key \REGISTRY\USER\S-1-5-21-17510579-3350751504-2289590292-1000\Software\Microsoft\SystemCertificates\Disallowed   </t>
  </si>
  <si>
    <t>SYSTEM\NT AUTHORITY</t>
  </si>
  <si>
    <t>WARNING</t>
  </si>
  <si>
    <t>Microsoft-Windows-User Profiles Service</t>
  </si>
  <si>
    <t xml:space="preserve">The winlogon notification subscriber &lt;Wlansvc&gt; was unavailable to handle a notification event.  </t>
  </si>
  <si>
    <t xml:space="preserve">Message text not available.  Insertion strings: 86400 SuppressDuplicateDuration Software\Microsoft\EventSystem\EventLog  </t>
  </si>
  <si>
    <t>EventSystem</t>
  </si>
  <si>
    <t xml:space="preserve">The User Profile Service has stopped.        </t>
  </si>
  <si>
    <t xml:space="preserve">The User Profile Service has started successfully.        </t>
  </si>
  <si>
    <t xml:space="preserve">Message text not available.  Insertion strings: Service started  </t>
  </si>
  <si>
    <t>AdobeARMservice</t>
  </si>
  <si>
    <t xml:space="preserve">EMET Service status is: Running  EMET configuration for Certificate Trust is: &lt;ConfigCertTrustREG&gt; www.facebook.com pinned to FacebookCA (No. CA : 17) login.skype.com pinned to MSSkypeCA (No. CA : 6) login.live.com pinned to MSLiveCA (No. CA : 6) twitter.com pinned to TwitterCA (No. CA : 19) secure.skype.com pinned to MSSkypeCA (No. CA : 6) login.yahoo.com pinned to YahooCA (No. CA : 17) login.microsoftonline.com pinned to MSOffice365CA (No. CA : 6) &lt;/ConfigCertTrustREG&gt;  </t>
  </si>
  <si>
    <t>EMET</t>
  </si>
  <si>
    <t xml:space="preserve">EMET Service status is: Running  EMET configuration for System mitigations (Registry) is: &lt;ConfigSysmitREG&gt; DEP: Application Opt In SEHOP: Application Opt In ASLR: Application Opt In Pinning: Enabled &lt;/ConfigSysmitREG&gt;  EMET configuration for Global Application mitigations (Registry) is: &lt;ConfigAppmitREG&gt; DeepHooks: True AntiDetours: True BannedFunctions: True ExploitAction: StopProgram &lt;/ConfigAppmitREG&gt;  EMET configuration for System mitigations (GPO) is: &lt;ConfigSysmitGPO&gt; &lt;/ConfigSysmitGPO&gt;  EMET configuration for Global Application mitigations (GPO) is: &lt;ConfigAppmitGPO&gt; &lt;/ConfigAppmitGPO&gt;  </t>
  </si>
  <si>
    <t xml:space="preserve">EMET Service status is: Running  EMET configuration for Application mitigations (Registry) is: &lt;ConfigAppmitREG&gt; Acrobat.exe *\Adobe\Acrobat*\Acrobat  DEP SEHOP NullPage HeapSpray EAF EAF+ MandatoryASLR BottomUpASLR LoadLib MemProt Caller SimExecFlow StackPivot AcroRd32.exe *\Adobe\Reader*\Reader  DEP SEHOP NullPage HeapSpray EAF EAF+ MandatoryASLR BottomUpASLR LoadLib MemProt Caller SimExecFlow StackPivot EXCEL.EXE *\OFFICE1*  DEP SEHOP NullPage HeapSpray EAF EAF+ MandatoryASLR BottomUpASLR LoadLib MemProt Caller SimExecFlow StackPivot ASR iexplore.exe *\Internet Explorer  DEP SEHOP NullPage HeapSpray EAF EAF+ MandatoryASLR BottomUpASLR LoadLib MemProt Caller SimExecFlow StackPivot ASR INFOPATH.EXE *\OFFICE1*  DEP SEHOP NullPage HeapSpray EAF MandatoryASLR BottomUpASLR LoadLib MemProt Caller SimExecFlow StackPivot java.exe *\Java\jre1.8*\bin  DEP SEHOP NullPage EAF MandatoryASLR BottomUpASLR LoadLib MemProt Caller SimExecFlow StackPivot java.exe *\Java\jre7\bin  DEP SEHOP NullPage EAF MandatoryASLR BottomUpASLR LoadLib MemProt Caller SimExecFlow StackPivot java.exe *\Java\jre6\bin  DEP SEHOP NullPage EAF MandatoryASLR BottomUpASLR LoadLib MemProt Caller SimExecFlow StackPivot javaw.exe *\Java\jre1.8*\bin  DEP SEHOP NullPage EAF MandatoryASLR BottomUpASLR LoadLib MemProt Caller SimExecFlow StackPivot javaw.exe *\Java\jre7\bin  DEP SEHOP NullPage EAF MandatoryASLR BottomUpASLR LoadLib MemProt Caller SimExecFlow StackPivot javaw.exe *\Java\jre6\bin  DEP SEHOP NullPage EAF MandatoryASLR BottomUpASLR LoadLib MemProt Caller SimExecFlow StackPivot javaws.exe *\Java\jre1.8*\bin  DEP SEHOP NullPage EAF MandatoryASLR BottomUpASLR LoadLib MemProt Caller SimExecFlow StackPivot javaws.exe *\Java\jre7\bin  DEP SEHOP NullPage EAF MandatoryASLR BottomUpASLR LoadLib MemProt Caller SimExecFlow StackPivot javaws.exe *\Java\jre6\bin  DEP SEHOP NullPage EAF MandatoryASLR BottomUpASLR LoadLib MemProt Caller SimExecFlow StackPivot LYNC.EXE *\OFFICE1*  DEP SEHOP NullPage HeapSpray EAF MandatoryASLR BottomUpASLR LoadLib MemProt Caller SimExecFlow StackPivot MSACCESS.EXE *\OFFICE1*  DEP SEHOP NullPage HeapSpray EAF MandatoryASLR BottomUpASLR LoadLib MemProt Caller SimExecFlow StackPivot MSPUB.EXE *\OFFICE1*  DEP SEHOP NullPage HeapSpray EAF MandatoryASLR BottomUpASLR LoadLib MemProt Caller SimExecFlow StackPivot OIS.EXE *\OFFICE1*  DEP SEHOP NullPage HeapSpray EAF MandatoryASLR BottomUpASLR LoadLib MemProt Caller SimExecFlow StackPivot OUTLOOK.EXE *\OFFICE1*  DEP SEHOP NullPage HeapSpray EAF MandatoryASLR BottomUpASLR LoadLib MemProt Caller SimExecFlow StackPivot POWERPNT.EXE *\OFFICE1*  DEP SEHOP NullPage HeapSpray EAF MandatoryASLR BottomUpASLR LoadLib MemProt Caller SimExecFlow StackPivot ASR PPTVIEW.EXE *\OFFICE1*  DEP SEHOP NullPage HeapSpray EAF MandatoryASLR BottomUpASLR LoadLib MemProt Caller SimExecFlow StackPivot VISIO.EXE *\OFFICE1*  DEP SEHOP NullPage HeapSpray EAF MandatoryASLR BottomUpASLR LoadLib MemProt Caller SimExecFlow StackPivot VPREVIEW.EXE *\OFFICE1*  DEP SEHOP NullPage HeapSpray EAF MandatoryASLR BottomUpASLR LoadLib MemProt Caller SimExecFlow StackPivot WINWORD.EXE *\OFFICE1*  DEP SEHOP NullPage HeapSpray EAF MandatoryASLR BottomUpASLR LoadLib MemProt Caller SimExecFlow StackPivot ASR wordpad.exe *\Windows NT\Accessories  DEP SEHOP NullPage HeapSpray EAF MandatoryASLR BottomUpASLR LoadLib MemProt Caller SimExecFlow StackPivot &lt;/ConfigAppmitREG&gt;  EMET configuration for Application mitigations (GPO) is: &lt;ConfigAppmitGPO&gt; &lt;/ConfigAppmitGPO&gt;  </t>
  </si>
  <si>
    <t xml:space="preserve">Service started  </t>
  </si>
  <si>
    <t>Intel(R) Capability Licensing Service Interface</t>
  </si>
  <si>
    <t xml:space="preserve">Intel(R) Dynamic Application Loader Host Interface Service started.  </t>
  </si>
  <si>
    <t>IntelDalJhi</t>
  </si>
  <si>
    <t xml:space="preserve">Service started.  </t>
  </si>
  <si>
    <t>SkypeUpdate</t>
  </si>
  <si>
    <t xml:space="preserve">Message text not available. </t>
  </si>
  <si>
    <t>WinMgmt</t>
  </si>
  <si>
    <t xml:space="preserve">Service started successfully.  </t>
  </si>
  <si>
    <t>Service1</t>
  </si>
  <si>
    <t xml:space="preserve">SkypeUpdate service is shutting down due to idle timeout.  </t>
  </si>
  <si>
    <t xml:space="preserve">Service stopped.  </t>
  </si>
  <si>
    <t xml:space="preserve">LMS started  </t>
  </si>
  <si>
    <t>LMS</t>
  </si>
  <si>
    <t xml:space="preserve">The Windows Security Center Service has started.  </t>
  </si>
  <si>
    <t>SecurityCenter</t>
  </si>
  <si>
    <t xml:space="preserve">Windows (2836) Windows: The database engine (6.01.7601.0000) started a new instance (0).  </t>
  </si>
  <si>
    <t>ESENT</t>
  </si>
  <si>
    <t xml:space="preserve">Windows (2836) Windows: The database engine is initiating recovery steps.  </t>
  </si>
  <si>
    <t xml:space="preserve">Windows (2836) Windows: The database engine has begun replaying logfile C:\Windows\System32\wbem\Repository\Search\Data\Applications\Windows\MSS00C81.log.  </t>
  </si>
  <si>
    <t xml:space="preserve">Windows (2836) Windows: The database engine has begun replaying logfile C:\Windows\System32\wbem\Repository\Search\Data\Applications\Windows\MSS.log.  </t>
  </si>
  <si>
    <t xml:space="preserve">Windows (2836) Windows: The database engine has successfully completed recovery steps.  </t>
  </si>
  <si>
    <t xml:space="preserve">The Windows Search Service started.   </t>
  </si>
  <si>
    <t>Windows Search Service</t>
  </si>
  <si>
    <t xml:space="preserve">User Notification Service started.   </t>
  </si>
  <si>
    <t>UNS</t>
  </si>
  <si>
    <t xml:space="preserve">Windows license validated.  </t>
  </si>
  <si>
    <t>Winlogon</t>
  </si>
  <si>
    <t xml:space="preserve">The Desktop Window Manager was unable to start because a composited theme is not in use  </t>
  </si>
  <si>
    <t xml:space="preserve">Initialization status for service objects.  C:\Program Files\Common Files\Microsoft Shared\OfficeSoftwareProtectionPlatform\OSPPOBJS.DLL, msft:rm/algorithm/phone/1.0, 0x00000000, 0x00000000 C:\Program Files\Common Files\Microsoft Shared\OfficeSoftwareProtectionPlatform\OSPPOBJS.DLL, msft:rm/algorithm/pkey/2005, 0x00000000, 0x00000000 C:\Program Files\Common Files\Microsoft Shared\OfficeSoftwareProtectionPlatform\OSPPOBJS.DLL, msft:spp/TaskScheduler/1.0, 0x00000000, 0x00000000 C:\Program Files\Common Files\Microsoft Shared\OfficeSoftwareProtectionPlatform\OSPPOBJS.DLL, msft:spp/volume/services/kms/licenserenewal/1.0, 0x00000000, 0x00000000   </t>
  </si>
  <si>
    <t xml:space="preserve">The Software Protection service has started.  14.0.370.400  </t>
  </si>
  <si>
    <t xml:space="preserve">Outlook loaded the following add-in(s):   Name: OneNote Notes about Outlook Items Description: Adds Send to OneNote and Notes about this Item buttons to the command bar ProgID: OneNote.OutlookAddin GUID: {B8DD1F2D-BED0-4298-B0D5-9B08F8FAD6CB} Load Behavior: 03 HKLM: 1 Location: C:\Program Files (x86)\Microsoft Office\Office14\ONBttnOL.dll Boot Time (Milliseconds): 546   </t>
  </si>
  <si>
    <t>Message</t>
  </si>
  <si>
    <t>Category</t>
  </si>
  <si>
    <t>Event</t>
  </si>
  <si>
    <t>Time</t>
  </si>
  <si>
    <t>Machine</t>
  </si>
  <si>
    <t>Type</t>
  </si>
  <si>
    <t>Event Source</t>
  </si>
  <si>
    <t>Event Log</t>
  </si>
  <si>
    <t>Sequence</t>
  </si>
  <si>
    <t>Util.cs</t>
  </si>
  <si>
    <t>TimeDisplayFormatter.cs</t>
  </si>
  <si>
    <t>SysDateFormatters.cs</t>
  </si>
  <si>
    <t>StateManager.cs</t>
  </si>
  <si>
    <t>SpecialCharacters.cs</t>
  </si>
  <si>
    <t>RegistryValues.cs</t>
  </si>
  <si>
    <t>PropertyDefaults.cs</t>
  </si>
  <si>
    <t>PathPositions.cs</t>
  </si>
  <si>
    <t>MessageInColor.cs</t>
  </si>
  <si>
    <t>Logic.cs</t>
  </si>
  <si>
    <t>ListInfo.cs</t>
  </si>
  <si>
    <t>IP6CUtilLib1.cs</t>
  </si>
  <si>
    <t>FileIOFlags.cs</t>
  </si>
  <si>
    <t>ExceptionLogger.cs</t>
  </si>
  <si>
    <t>IniFileReader.cs</t>
  </si>
  <si>
    <t>ErrorMessagesInColor.cs</t>
  </si>
  <si>
    <t>DisplayFormats.cs</t>
  </si>
  <si>
    <t>CSVFileInfo.cs</t>
  </si>
  <si>
    <t>AssemblyLocatorBase.cs</t>
  </si>
  <si>
    <t>CmdLneArgsBasic.cs</t>
  </si>
  <si>
    <t>ArrayInfo.cs</t>
  </si>
  <si>
    <t>Shell Command to Install</t>
  </si>
  <si>
    <t>Older</t>
  </si>
  <si>
    <t>Modified</t>
  </si>
  <si>
    <t>File Name</t>
  </si>
  <si>
    <t>Newer</t>
  </si>
  <si>
    <t>C:\Users\DAVE\Documents\Visual Studio 2013\Projects\WizardWrx_Libs\DLLServices2\DLLServices2\</t>
  </si>
  <si>
    <t>DLLServices2</t>
  </si>
  <si>
    <t>C:\Users\DAVE\Documents\Visual Studio 2013\Projects\WizardWrx_Libs\ApplicationHelpers2\ApplicationHelpers2\</t>
  </si>
  <si>
    <t>ApplicationHelpers2</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</si>
  <si>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DLLServices2TestStand.Program.PauseForPictures() in c:\Users\DAVE\Documents\Visual Studio 2013\Projects\WizardWrx_Libs\DLLServices2\DLLServices2TestStand\Program.cs:line 331     at DLLServices2TestStand.Program.Main(String[] args) in c:\Users\DAVE\Documents\Visual Studio 2013\Projects\WizardWrx_Libs\DLLServices2\DLLServices2TestStand\Program.cs:line 153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</si>
  <si>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202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</si>
  <si>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175  End of Stack Trace    There are no further exceptions to report.    </t>
  </si>
  <si>
    <t>Windows Error Reporting</t>
  </si>
  <si>
    <t xml:space="preserve">Fault bucket 16186338, type 17  Event Name: APPCRASH  Response: Not available  Cab Id: 0    Problem signature:  P1: FilmnSrv.exe  P2: 2014.1.0.0  P3: 52d5a59e  P4: WBDNA44I.DLL  P5: 6.14.1.0  P6: 52d5bf81  P7: c0000005  P8: 0003d18f  P9:   P10:     Attached files:  C:\Users\DAVE\AppData\Local\Temp\WEREC70.tmp.appcompat.txt  C:\Users\DAVE\AppData\Local\Temp\WER915.tmp.WERInternalMetadata.xml  C:\Users\DAVE\AppData\Local\Temp\WER926.tmp.hdmp  C:\Users\DAVE\AppData\Local\Temp\WERC04.tmp.mdmp    These files may be available here:  C:\Users\DAVE\AppData\Local\Microsoft\Windows\WER\ReportArchive\AppCrash_FilmnSrv.exe_94a255d14e88b6397f64eaafeb1a8168b1a6454_0e477eef    Analysis symbol:   Rechecking for solution: 0  Report Id: 75b1ed24-1647-11e5-b788-446d579f3509  Report Status: 0  </t>
  </si>
  <si>
    <t xml:space="preserve">Fault bucket , type 0  Event Name: APPCRASH  Response: Not available  Cab Id: 0    Problem signature:  P1: FilmnSrv.exe  P2: 2014.1.0.0  P3: 52d5a59e  P4: WBDNA44I.DLL  P5: 6.14.1.0  P6: 52d5bf81  P7: c0000005  P8: 0003d18f  P9:   P10:     Attached files:  C:\Users\DAVE\AppData\Local\Temp\WEREC70.tmp.appcompat.txt  C:\Users\DAVE\AppData\Local\Temp\WER915.tmp.WERInternalMetadata.xml  C:\Users\DAVE\AppData\Local\Temp\WER926.tmp.hdmp  C:\Users\DAVE\AppData\Local\Temp\WERC04.tmp.mdmp    These files may be available here:  C:\Users\DAVE\AppData\Local\Microsoft\Windows\WER\ReportQueue\AppCrash_FilmnSrv.exe_94a255d14e88b6397f64eaafeb1a8168b1a6454_cab_0c230c20    Analysis symbol:   Rechecking for solution: 0  Report Id: 75b1ed24-1647-11e5-b788-446d579f3509  Report Status: 4  </t>
  </si>
  <si>
    <t>Application Error</t>
  </si>
  <si>
    <t xml:space="preserve">Faulting application name: FilmnSrv.exe, version: 2014.1.0.0, time stamp: 0x52d5a59e  Faulting module name: WBDNA44I.DLL, version: 6.14.1.0, time stamp: 0x52d5bf81  Exception code: 0xc0000005  Fault offset: 0x0003d18f  Faulting process id: 0x120c  Faulting application start time: 0x01d0aa54366bf594  Faulting application path: C:\Program Files (x86)\WinBatch\system\FilmnSrv.exe  Faulting module path: C:\Program Files (x86)\WinBatch\system\WBDNA44I.DLL  Report Id: 75b1ed24-1647-11e5-b788-446d579f3509  </t>
  </si>
  <si>
    <t xml:space="preserve">Windows (4048) Windows: The database engine has successfully completed recovery steps.  </t>
  </si>
  <si>
    <t xml:space="preserve">Windows (4048) Windows: The database engine has begun replaying logfile C:\Windows\System32\wbem\Repository\Search\Data\Applications\Windows\MSS.log.  </t>
  </si>
  <si>
    <t xml:space="preserve">Windows (4048) Windows: The database engine has begun replaying logfile C:\Windows\System32\wbem\Repository\Search\Data\Applications\Windows\MSS00CA3.log.  </t>
  </si>
  <si>
    <t xml:space="preserve">Windows (4048) Windows: The database engine is initiating recovery steps.  </t>
  </si>
  <si>
    <t xml:space="preserve">Windows (4048) Windows: The database engine (6.01.7601.0000) started a new instance (0).  </t>
  </si>
  <si>
    <t xml:space="preserve">Windows (3604) Windows: The database engine has successfully completed recovery steps.  </t>
  </si>
  <si>
    <t xml:space="preserve">Windows (3604) Windows: The database engine has begun replaying logfile C:\Windows\System32\wbem\Repository\Search\Data\Applications\Windows\MSS.log.  </t>
  </si>
  <si>
    <t xml:space="preserve">Windows (3604) Windows: The database engine is initiating recovery steps.  </t>
  </si>
  <si>
    <t xml:space="preserve">Windows (3604) Windows: The database engine (6.01.7601.0000) started a new instance (0).  </t>
  </si>
  <si>
    <t xml:space="preserve">The Windows logon process has failed to terminate the currently logged on user's processes.  </t>
  </si>
  <si>
    <t xml:space="preserve">An System.Runtime.InteropServices.COMException exception was caught in routine Main:                 Message          = The remote file could not be opened by the FTP server.                   Exception Method = System.Object GetFolderContents(System.String, XceedFtpLib.EXFContentsFormat)  Exception Source = XceedSoftware.XceedFtp.1    Stack Trace Begin:     at XceedFtpLib.IXceedFtp.GetFolderContents(String sFolderMask, EXFContentsFormat eFormat)     at EZXFER_Cloud_Manager.Program.xftp_ListDirectories()     at EZXFER_Cloud_Manager.Program.Main(String[] args)  End of Stack Trace    There are no further exceptions to report.    </t>
  </si>
  <si>
    <t>System Restore</t>
  </si>
  <si>
    <t xml:space="preserve">Successfully created restore point (Process = C:\Windows\system32\svchost.exe -k netsvcs; Description = Windows Update).  </t>
  </si>
  <si>
    <t xml:space="preserve">The Software Protection service has completed licensing status check.  Application Id=55c92734-d682-4d71-983e-d6ec3f16059f  Licensing Status= 1: e838d943-63ed-4a0b-9fb1-47152908acc9, 1, 1 [(0 [0x00000000, 1, 0], [(?)(?)( 1 0x00000000 3 0 msft:rm/algorithm/hwid/4.0 0x00000000 0)(?)(?)(?)])(1 )(2 )]    </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</si>
  <si>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DLLServices2TestStand.Program.PauseForPictures() in c:\Users\DAVE\Documents\Visual Studio 2013\Projects\WizardWrx_Libs\DLLServices2\DLLServices2TestStand\Program.cs:line 347     at DLLServices2TestStand.Program.Main(String[] args) in c:\Users\DAVE\Documents\Visual Studio 2013\Projects\WizardWrx_Libs\DLLServices2\DLLServices2TestStand\Program.cs:line 169  End of Stack Trace    There are no further exceptions to report.    </t>
  </si>
  <si>
    <t>ENIGMA Application Events 1</t>
  </si>
  <si>
    <t>ENIGMA Application Events 2</t>
  </si>
  <si>
    <t>Windows Event Log IMPORT</t>
  </si>
  <si>
    <t>Test # 6 - Exercising class PathPositions:</t>
  </si>
  <si>
    <t xml:space="preserve">    Public  Constant PathPositions.FQFN_PREFIX_START_POS   = 1</t>
  </si>
  <si>
    <t xml:space="preserve">    Public  Constant PathPositions.FQFN_PREFIX_START_LEN   = 2</t>
  </si>
  <si>
    <t xml:space="preserve">    Public  Constant PathPositions.MAX_PATH                = 260</t>
  </si>
  <si>
    <t xml:space="preserve">    Public  Constant PathPositions.UNC_HOSTNAME_PREFIX_POS = 0</t>
  </si>
  <si>
    <t xml:space="preserve">    Public  Constant PathPositions.UNC_HOSTNAME_START_POS  = 2</t>
  </si>
  <si>
    <t>Test # 6 Done - Final Status Code = 0</t>
  </si>
  <si>
    <t>Press ENTER to resume the program.</t>
  </si>
  <si>
    <t>Test # 7 - Exercising class SpecialCharacters:</t>
  </si>
  <si>
    <t xml:space="preserve">    Public  Constant SpecialCharacters.COLON        = : (ASCII code = 58 (0x3A)</t>
  </si>
  <si>
    <t xml:space="preserve">    Public  Constant SpecialCharacters.COMMA        = , (ASCII code = 44 (0x2C)</t>
  </si>
  <si>
    <t xml:space="preserve">    Public  Constant SpecialCharacters.DOUBLE_QUOTE = " (ASCII code = 34 (0x22)</t>
  </si>
  <si>
    <t xml:space="preserve">    Public  Constant SpecialCharacters.NUL          =   (ASCII code =  0 (0x00)</t>
  </si>
  <si>
    <t xml:space="preserve">    Public  Constant SpecialCharacters.SEMICOLON    = ; (ASCII code = 59 (0x3B)</t>
  </si>
  <si>
    <t xml:space="preserve">    Public  Constant SpecialCharacters.SPACE        =   (ASCII code = 32 (0x20)</t>
  </si>
  <si>
    <t xml:space="preserve">    Public  Constant SpecialCharacters.TAB          =    (ASCII code =  9 (0x09)</t>
  </si>
  <si>
    <t>Test # 7 Done - Final Status Code = 0</t>
  </si>
  <si>
    <t>Line #</t>
  </si>
  <si>
    <t>Test 6 Output</t>
  </si>
  <si>
    <t>Test 7 Output</t>
  </si>
  <si>
    <t>Last Line:</t>
  </si>
  <si>
    <t>Pause Message</t>
  </si>
  <si>
    <t>Total</t>
  </si>
  <si>
    <t>Test # 1 - Exercising class ArrayInfo:</t>
  </si>
  <si>
    <t xml:space="preserve">    Public  Constant ArrayInfo.ARRAY_FIRST_ELEMENT  = 0</t>
  </si>
  <si>
    <t xml:space="preserve">    Public  Constant ArrayInfo.ARRAY_IS_EMPTY       = 0</t>
  </si>
  <si>
    <t xml:space="preserve">    Public  Constant ArrayInfo.ARRAY_INVALID_INDEX  = -1</t>
  </si>
  <si>
    <t xml:space="preserve">    Public  Constant ArrayInfo.INDEX_FROM_ORDINAL   = -1</t>
  </si>
  <si>
    <t xml:space="preserve">    Public  Constant ArrayInfo.ARRAY_SECOND_ELEMENT = 1</t>
  </si>
  <si>
    <t xml:space="preserve">    Public  Constant ArrayInfo.NEXT_INDEX           = 1</t>
  </si>
  <si>
    <t xml:space="preserve">    Public  Constant ArrayInfo.ORDINAL_FROM_INDEX   = 1</t>
  </si>
  <si>
    <t xml:space="preserve">    Public method ArrayInfo.IndexFromOrdinal       =  9 , for pintOrdinal = 10</t>
  </si>
  <si>
    <t xml:space="preserve">    Public method ArrayInfo.OrdinalFromIndex       = 11 , for pintIndex   = 10</t>
  </si>
  <si>
    <t>Test # 1 Done - Final Status Code = 0</t>
  </si>
  <si>
    <t>Test # 2 - Exercising class CSVFileInfo:</t>
  </si>
  <si>
    <t xml:space="preserve">    Public  Constant CSVFileInfo.EMPTY_FILE     = 0</t>
  </si>
  <si>
    <t xml:space="preserve">    Public  Constant CSVFileInfo.LABEL_ROW      = 0</t>
  </si>
  <si>
    <t xml:space="preserve">    Public  Constant CSVFileInfo.FIRST_RECORD   = 1</t>
  </si>
  <si>
    <t xml:space="preserve">    Public method CSVFileInfo.IndexFromOrdinal = 5 , for pastrWholeFile = 6</t>
  </si>
  <si>
    <t>Test # 2 Done - Final Status Code = 0</t>
  </si>
  <si>
    <t>Test 1 Output</t>
  </si>
  <si>
    <t>Test 2 Output</t>
  </si>
  <si>
    <t>Test # 3 - Exercising class DisplayFormats:</t>
  </si>
  <si>
    <t>Integral format strings - sample = 65533</t>
  </si>
  <si>
    <t xml:space="preserve">    Public Constant DisplayFormats.HEXADECIMAL                       = X (Sample</t>
  </si>
  <si>
    <t xml:space="preserve"> = FFFD)</t>
  </si>
  <si>
    <t xml:space="preserve">    Public Constant DisplayFormats.HEXADECIMAL_2                     = X2 (Sampl</t>
  </si>
  <si>
    <t>e = FFFD)</t>
  </si>
  <si>
    <t xml:space="preserve">    Public Constant DisplayFormats.HEXADECIMAL_4                     = X4 (Sampl</t>
  </si>
  <si>
    <t xml:space="preserve">    Public Constant DisplayFormats.HEXADECIMAL_8                     = X8 (Sampl</t>
  </si>
  <si>
    <t>e = 0000FFFD)</t>
  </si>
  <si>
    <t xml:space="preserve">    Public Constant DisplayFormats.HEXADECIMAL_PREFIX_0H_LC          = 0h (Sampl</t>
  </si>
  <si>
    <t>e = 0hFFFD)</t>
  </si>
  <si>
    <t xml:space="preserve">    Public Constant DisplayFormats.HEXADECIMAL_PREFIX_0X_LC          = 0x (Sampl</t>
  </si>
  <si>
    <t>e = 0xFFFD)</t>
  </si>
  <si>
    <t xml:space="preserve">    Public Constant DisplayFormats.HEXADECIMAL_PREFIX_0X_UC          = 0X (Sampl</t>
  </si>
  <si>
    <t>e = 0XFFFD)</t>
  </si>
  <si>
    <t xml:space="preserve">    Public Constant DisplayFormats.NUMBER_PER_REG_SETTINGS           = N (Sample</t>
  </si>
  <si>
    <t xml:space="preserve"> = 65,533.00)</t>
  </si>
  <si>
    <t xml:space="preserve">    Public Constant DisplayFormats.NUMBER_PER_REG_SETTINGS_0D        = N0 (Sampl</t>
  </si>
  <si>
    <t>e = 65,533)</t>
  </si>
  <si>
    <t xml:space="preserve">    Public Constant DisplayFormats.NUMBER_PER_REG_SETTINGS_2D        = N2 (Sampl</t>
  </si>
  <si>
    <t>e = 65,533.00)</t>
  </si>
  <si>
    <t xml:space="preserve">    Public Constant DisplayFormats.NUMBER_PER_REG_SETTINGS_3D        = N3 (Sampl</t>
  </si>
  <si>
    <t>e = 65,533.000)</t>
  </si>
  <si>
    <t>Output</t>
  </si>
  <si>
    <t>Test # 8 - Exercising class Util:</t>
  </si>
  <si>
    <t xml:space="preserve">    Public method Util.FileMatchesRegExpMask = True , for filename = WEBPMTS.TXT</t>
  </si>
  <si>
    <t xml:space="preserve"> and mask = WEBPMTS\.*</t>
  </si>
  <si>
    <t xml:space="preserve"> and mask = WEBPMTS.TXT</t>
  </si>
  <si>
    <t xml:space="preserve">    Public method Util.FileMatchesRegExpMask = True , for filename = WEBPMTS.PSV</t>
  </si>
  <si>
    <t xml:space="preserve">    Public method Util.FileMatchesRegExpMask = False, for filename = WEBPMTS.PSV</t>
  </si>
  <si>
    <t xml:space="preserve">    Public method RegistryValues.RegQueryValue: Key Name   = HKEY_CURRENT_USER\C</t>
  </si>
  <si>
    <t>ontrol Panel\Desktop\WindowMetrics</t>
  </si>
  <si>
    <t xml:space="preserve">                                                Value Name = AppliedDPI</t>
  </si>
  <si>
    <t xml:space="preserve">                                                Value Type = REG_DWORD</t>
  </si>
  <si>
    <t xml:space="preserve">                                                Value Data = 96</t>
  </si>
  <si>
    <t>ontrol Panel\International</t>
  </si>
  <si>
    <t xml:space="preserve">                                                Value Name = iDigits</t>
  </si>
  <si>
    <t xml:space="preserve">                                                Value Data = 0</t>
  </si>
  <si>
    <t xml:space="preserve">    Public method RegistryValues.RegQueryValue: Key Name   = HKEY_CURRENT_USER\S</t>
  </si>
  <si>
    <t>oftware\Microsoft\Office\14.0\Excel\Security\Trusted Locations\Location2</t>
  </si>
  <si>
    <t xml:space="preserve">                                                Value Name = Path</t>
  </si>
  <si>
    <t xml:space="preserve">                                                Value Type = REG_EXPAND_SZ</t>
  </si>
  <si>
    <t xml:space="preserve">                                                Value Data = C:\Users\DAVE\AppDa</t>
  </si>
  <si>
    <t>ta\Roaming\Microsoft\Templates</t>
  </si>
  <si>
    <t xml:space="preserve">    Public method RegistryValues.RegQueryValue: Key Name   = HKEY_LOCAL_MACHINE\</t>
  </si>
  <si>
    <t>SYSTEM\CurrentControlSet\Control\Session Manager</t>
  </si>
  <si>
    <t xml:space="preserve">                                                Value Name = ObjectDirectories</t>
  </si>
  <si>
    <t xml:space="preserve">                                                Value Type = REG_MULTI_SZ</t>
  </si>
  <si>
    <t xml:space="preserve">                                                Value Data = 2 substrings, as fo</t>
  </si>
  <si>
    <t>llows:</t>
  </si>
  <si>
    <t xml:space="preserve">        Value # 1 = \Windows</t>
  </si>
  <si>
    <t xml:space="preserve">        Value # 2 = \RPC Control</t>
  </si>
  <si>
    <t xml:space="preserve">                                                Value Name = SetupExecute</t>
  </si>
  <si>
    <t xml:space="preserve">                                                Value Data = 0 substrings</t>
  </si>
  <si>
    <t xml:space="preserve">                                                Value Name = SetupExecute2</t>
  </si>
  <si>
    <t>SOFTWARE\Microsoft\Windows\CurrentVersion\StructuredQuery</t>
  </si>
  <si>
    <t xml:space="preserve">                                                Value Name = SchemaChangedLast</t>
  </si>
  <si>
    <t xml:space="preserve">                                                Value Type = REG_QWORD</t>
  </si>
  <si>
    <t xml:space="preserve">                                                Value Data = 130381824135218837</t>
  </si>
  <si>
    <t>SOFTWARE\Microsoft\Windows NT\CurrentVersion\Time Zones\Central Standard Time</t>
  </si>
  <si>
    <t xml:space="preserve">                                                Value Name = TZI</t>
  </si>
  <si>
    <t xml:space="preserve">                                                Value Type = REG_BINARY</t>
  </si>
  <si>
    <t xml:space="preserve">                                                Value Data = 68010000 00000000 c</t>
  </si>
  <si>
    <t>4ffffff 00000b00 00000100 02000000 00000000 00000300 00000200 02000000 00000000</t>
  </si>
  <si>
    <t>Unless Idiom Tests Begin:</t>
  </si>
  <si>
    <t xml:space="preserve">    Boolean Expression = True, Unless = False</t>
  </si>
  <si>
    <t xml:space="preserve">    Boolean Expression = False, Unless = True</t>
  </si>
  <si>
    <t>Unless Idiom Tests Done!</t>
  </si>
  <si>
    <t>Evaluate loop state with a Less Than or Equal To Limit:</t>
  </si>
  <si>
    <t>Loop Limit Values: Start = 1</t>
  </si>
  <si>
    <t xml:space="preserve">                   Stop  = 10</t>
  </si>
  <si>
    <t>Index   First   Next    More    Last</t>
  </si>
  <si>
    <t>-----   -----   -----   -----   -----</t>
  </si>
  <si>
    <t>1       True    False   True    False</t>
  </si>
  <si>
    <t>2       False   True    True    False</t>
  </si>
  <si>
    <t>3       False   True    True    False</t>
  </si>
  <si>
    <t>4       False   True    True    False</t>
  </si>
  <si>
    <t>5       False   True    True    False</t>
  </si>
  <si>
    <t>6       False   True    True    False</t>
  </si>
  <si>
    <t>7       False   True    True    False</t>
  </si>
  <si>
    <t>8       False   True    True    False</t>
  </si>
  <si>
    <t>9       False   True    True    False</t>
  </si>
  <si>
    <t>10      False   True    False   True</t>
  </si>
  <si>
    <t>Loop Limit Values: Start = 0</t>
  </si>
  <si>
    <t xml:space="preserve">                   Stop  = 12</t>
  </si>
  <si>
    <t>0       True    False   True    False</t>
  </si>
  <si>
    <t>1       False   True    True    False</t>
  </si>
  <si>
    <t>10      False   True    True    False</t>
  </si>
  <si>
    <t>11      False   True    True    False</t>
  </si>
  <si>
    <t>12      False   True    False   True</t>
  </si>
  <si>
    <t>Loop Limit Values: Start = -10</t>
  </si>
  <si>
    <t xml:space="preserve">                   Stop  = 5</t>
  </si>
  <si>
    <t>-10     True    False   True    False</t>
  </si>
  <si>
    <t>-9      False   True    True    False</t>
  </si>
  <si>
    <t>-8      False   True    True    False</t>
  </si>
  <si>
    <t>-7      False   True    True    False</t>
  </si>
  <si>
    <t>-6      False   True    True    False</t>
  </si>
  <si>
    <t>-5      False   True    True    False</t>
  </si>
  <si>
    <t>-4      False   True    True    False</t>
  </si>
  <si>
    <t>-3      False   True    True    False</t>
  </si>
  <si>
    <t>-2      False   True    True    False</t>
  </si>
  <si>
    <t>-1      False   True    True    False</t>
  </si>
  <si>
    <t>0       False   True    True    False</t>
  </si>
  <si>
    <t>5       False   True    False   True</t>
  </si>
  <si>
    <t>Evaluate loop state with a Less Than Limit:</t>
  </si>
  <si>
    <t>9       False   True    False   True</t>
  </si>
  <si>
    <t>11      False   True    False   True</t>
  </si>
  <si>
    <t>4       False   True    False   True</t>
  </si>
  <si>
    <t>Evaluate loop state with a Greater Than Limit:</t>
  </si>
  <si>
    <t>Loop Limit Values: Start = 10</t>
  </si>
  <si>
    <t xml:space="preserve">                   Stop  = 1</t>
  </si>
  <si>
    <t>10      True    False   True    False</t>
  </si>
  <si>
    <t>2       False   True    False   True</t>
  </si>
  <si>
    <t>Loop Limit Values: Start = 12</t>
  </si>
  <si>
    <t xml:space="preserve">                   Stop  = 0</t>
  </si>
  <si>
    <t>12      True    False   True    False</t>
  </si>
  <si>
    <t>1       False   True    False   True</t>
  </si>
  <si>
    <t>Loop Limit Values: Start = 5</t>
  </si>
  <si>
    <t xml:space="preserve">                   Stop  = -10</t>
  </si>
  <si>
    <t>5       True    False   True    False</t>
  </si>
  <si>
    <t>-9      False   True    False   True</t>
  </si>
  <si>
    <t>Evaluate loop state with a Greater Than or Equal To Limit:</t>
  </si>
  <si>
    <t>0       False   True    False   True</t>
  </si>
  <si>
    <t>-10     False   True    False   True</t>
  </si>
  <si>
    <t>Evaluate loop state with a Equal To Limit:</t>
  </si>
  <si>
    <t>Test # 8 Done - Final Status Code = 0</t>
  </si>
  <si>
    <t>DLLServices2TestStand, version 5.5.313.18617 BOJ</t>
  </si>
  <si>
    <t>2015-06-21 11:22:15.087 (2015-06-21 16:22:15.087 UTC)</t>
  </si>
  <si>
    <t>Executable Subsystem = 3: Image runs in the Windows character subsystem.</t>
  </si>
  <si>
    <t>This text should appear as White letters on a DarkGray background.</t>
  </si>
  <si>
    <t>Selected properties of the library under test:</t>
  </si>
  <si>
    <t xml:space="preserve">    AssemblyFileBaseName = WizardWrx.DLLServices2</t>
  </si>
  <si>
    <t xml:space="preserve">    VersionString        = 5.5.249.1755</t>
  </si>
  <si>
    <t xml:space="preserve">    Culture              = Invariant Language (Invariant Country)</t>
  </si>
  <si>
    <t xml:space="preserve">    PublicKeyToken       =</t>
  </si>
  <si>
    <t xml:space="preserve">    AssemblyGuidString   = c1190387-03c3-430a-8ec4-d22173620201</t>
  </si>
  <si>
    <t xml:space="preserve">    ProductName          = DLLServices</t>
  </si>
  <si>
    <t xml:space="preserve">    LegalCopyright       = Copyright c 2013-2015, David A. Gray</t>
  </si>
  <si>
    <t xml:space="preserve">    LegalTrademarks      =</t>
  </si>
  <si>
    <t xml:space="preserve">    CompanyName          = David A. Gray</t>
  </si>
  <si>
    <t xml:space="preserve">    Description          = WizardWrx.DLLServices2</t>
  </si>
  <si>
    <t xml:space="preserve">    Comments             =</t>
  </si>
  <si>
    <t xml:space="preserve">    AssembyDirName       = C:\Users\DAVE\Documents\Visual Studio 2013\Projects\W</t>
  </si>
  <si>
    <t>izardWrx_Libs\DLLServices2\DLLServices2TestStand\bin\Debug</t>
  </si>
  <si>
    <t xml:space="preserve">    AssemblyFileName     = WizardWrx.DLLServices2.dll</t>
  </si>
  <si>
    <t xml:space="preserve">    File CreatION Date   = 2015-06-04 21:43:02 (2015-06-05 02:43:02 UTC)</t>
  </si>
  <si>
    <t xml:space="preserve">    File Modified Date   = 2015-06-21 01:58:30 (2015-06-21 06:58:30 UTC)</t>
  </si>
  <si>
    <t>End of selected properties</t>
  </si>
  <si>
    <t>The colors shown below were read from WizardWrx.DllServices2.dll.config.</t>
  </si>
  <si>
    <t>The default colors of a fatal exception, as seen through</t>
  </si>
  <si>
    <t>individdual properties, are White text on a DarkRed background.</t>
  </si>
  <si>
    <t>the GetDefaultErrorMessageColors method, are White text on a DarkRed background.</t>
  </si>
  <si>
    <t>the GetDefaultMessageColors method, are White text on a DarkRed background.</t>
  </si>
  <si>
    <t>The default colors of a recoverable exception, as seen through</t>
  </si>
  <si>
    <t>individdual properties, are Yellow text on a Black background.</t>
  </si>
  <si>
    <t>the GetDefaultErrorMessageColors method, are Yellow text on a Black background.</t>
  </si>
  <si>
    <t>the GetDefaultMessageColors method, are Yellow text on a Black background.</t>
  </si>
  <si>
    <t>Exception Test Case 1</t>
  </si>
  <si>
    <t>An System.Exception exception was caught in routine Main:</t>
  </si>
  <si>
    <t xml:space="preserve">               Message          = Test Exception Message Number 1</t>
  </si>
  <si>
    <t>Exception Method = Void Main(System.String[])</t>
  </si>
  <si>
    <t>Exception Source = DLLServices2TestStand</t>
  </si>
  <si>
    <t>Stack Trace Begin:</t>
  </si>
  <si>
    <t xml:space="preserve">   at DLLServices2TestStand.Program.Main(String[] args) in c:\Users\DAVE\Documen</t>
  </si>
  <si>
    <t>ts\Visual Studio 2013\Projects\WizardWrx_Libs\DLLServices2\DLLServices2TestStand</t>
  </si>
  <si>
    <t>\Program.cs:line 231</t>
  </si>
  <si>
    <t>End of Stack Trace</t>
  </si>
  <si>
    <t>There are no further exceptions to report.</t>
  </si>
  <si>
    <t>The colors shown below were supplied by the test stand program.</t>
  </si>
  <si>
    <t>individdual properties, are Red text on a White background.</t>
  </si>
  <si>
    <t>the GetDefaultErrorMessageColors method, are Red text on a White background.</t>
  </si>
  <si>
    <t>the GetDefaultMessageColors method, are Red text on a White background.</t>
  </si>
  <si>
    <t>individdual properties, are Yellow text on a DarkMagenta background.</t>
  </si>
  <si>
    <t>the GetDefaultErrorMessageColors method, are Yellow text on a DarkMagenta backgr</t>
  </si>
  <si>
    <t>ound.</t>
  </si>
  <si>
    <t>the GetDefaultMessageColors method, are Yellow text on a DarkMagenta background.</t>
  </si>
  <si>
    <t>Exception Test Case 2</t>
  </si>
  <si>
    <t xml:space="preserve">               Message          = Test Exception Message Number 2</t>
  </si>
  <si>
    <t>\Program.cs:line 258</t>
  </si>
  <si>
    <t>More Integral format strings - sample = 65533</t>
  </si>
  <si>
    <t>Floating point format strings - sample = 0.997</t>
  </si>
  <si>
    <t xml:space="preserve">    Public Constant DisplayFormats.PERCENT                           = P (Sample</t>
  </si>
  <si>
    <t xml:space="preserve"> = 99.70 %)</t>
  </si>
  <si>
    <t xml:space="preserve">    Public Constant DisplayFormats.PERCENT_DIGITS_2                  = P2 (Sampl</t>
  </si>
  <si>
    <t>e = 99.70 %)</t>
  </si>
  <si>
    <t>Date and Time format strings - sample = 2015-06-21 11:24:07</t>
  </si>
  <si>
    <t xml:space="preserve">    Public Constant DisplayFormats.STANDARD_DISPLAY_DATE_FORMAT      = ^YYYY/^MM</t>
  </si>
  <si>
    <t>/^DD (Sample = 2015/06/21)</t>
  </si>
  <si>
    <t xml:space="preserve">    Public Constant DisplayFormats.STANDARD_DISPLAY_DATE_TIME_FORMAT = ^YYYY/^MM</t>
  </si>
  <si>
    <t>/^DD ^hh:^mm:^ss (Sample = 2015/06/21 11:24:07)</t>
  </si>
  <si>
    <t xml:space="preserve">    Public Constant DisplayFormats.STANDARD_DISPLAY_TIME_FORMAT      = ^hh:^mm:^</t>
  </si>
  <si>
    <t>ss (Sample = 11:24:07)</t>
  </si>
  <si>
    <t xml:space="preserve">    Public Method DisplayFormats.FormatDateForShow                   = 2015/06/2</t>
  </si>
  <si>
    <t xml:space="preserve">    Public Method DisplayFormats.FormatDateTimeForShow               = 2015/06/2</t>
  </si>
  <si>
    <t>1 11:24:07</t>
  </si>
  <si>
    <t xml:space="preserve">    Public Method DisplayFormats.FormatTimeForShow                   = 11:24:07</t>
  </si>
  <si>
    <t>Test # 3 Done - Final Status Code = 0</t>
  </si>
  <si>
    <t>Test # 4 - Exercising class FileIOFlags:</t>
  </si>
  <si>
    <t xml:space="preserve">    Public Constant FileIOFlags.FILE_COPY_OVERWRITE_FORBIDDEN = False</t>
  </si>
  <si>
    <t xml:space="preserve">    Public Constant FileIOFlags.FILE_COPY_OVERWRITE_PERMITTED = True</t>
  </si>
  <si>
    <t xml:space="preserve">    Public Constant FileIOFlags.FILE_OUT_APPEND               = True</t>
  </si>
  <si>
    <t xml:space="preserve">    Public Constant FileIOFlags.FILE_OUT_CREATE               = False</t>
  </si>
  <si>
    <t xml:space="preserve">    Public Constant FileIOFlags.MAKE_STREAM_IO_ASYNCHRONOUS   = True</t>
  </si>
  <si>
    <t xml:space="preserve">    Public Constant FileIOFlags.MAKE_STREAM_IO_SYNCHRONOUS    = False</t>
  </si>
  <si>
    <t>Test # 4 Done - Final Status Code = 0</t>
  </si>
  <si>
    <t>Test # 5 - Exercising class ListInfo:</t>
  </si>
  <si>
    <t xml:space="preserve">    Public Constant ListInfo.BEGINNING_OF_BUFFER       = 0</t>
  </si>
  <si>
    <t xml:space="preserve">    Public Constant ListInfo.BINARY_SEARCH_NOT_FOUND   = -1</t>
  </si>
  <si>
    <t xml:space="preserve">    Public Constant ListInfo.EMPTY_STRING_LENGTH       = 0</t>
  </si>
  <si>
    <t xml:space="preserve">    Public Constant ListInfo.INDEXOF_NOT_FOUND         = -1</t>
  </si>
  <si>
    <t xml:space="preserve">    Public Constant ListInfo.LIST_IS_EMPTY             = 0</t>
  </si>
  <si>
    <t xml:space="preserve">    Public Constant ListInfo.SUBSTR_BEGINNING          = 0</t>
  </si>
  <si>
    <t xml:space="preserve">    Public Constant ListInfo.SUBSTR_SECOND_CHAR        = 1</t>
  </si>
  <si>
    <t>Input Sample for the following Public Method tests = The quick brown fox jumped</t>
  </si>
  <si>
    <t>over the lazy dog.</t>
  </si>
  <si>
    <t xml:space="preserve">    Public Method ListInfo.FirstCharOfString           = T</t>
  </si>
  <si>
    <t xml:space="preserve">    Public Method ListInfo.LastCharacterOfString       = .</t>
  </si>
  <si>
    <t xml:space="preserve">    Public Method ListInfo.NthCharacterOfString        = q, where N = 5</t>
  </si>
  <si>
    <t xml:space="preserve">    Public Method ListInfo.NthCharacterOfString        =  , where N = 100</t>
  </si>
  <si>
    <t xml:space="preserve">    Public Method ListInfo.PenultimateCharactrOfString = g</t>
  </si>
  <si>
    <t xml:space="preserve">    Public Method ListInfo.PenultimateCharactrOfString = NUL</t>
  </si>
  <si>
    <t xml:space="preserve">    Public Method ListInfo.SecondCharacterOfString     = h</t>
  </si>
  <si>
    <t xml:space="preserve">    Public Method ListInfo.SecondCharacterOfString     = NUL</t>
  </si>
  <si>
    <t>Test # 5 Done - Final Status Code = 0</t>
  </si>
  <si>
    <t>================================================================================</t>
  </si>
  <si>
    <t>DLLServices2TestStand, version 5.5.315.20176 BOJ</t>
  </si>
  <si>
    <t>2015-06-21 12:14:28.132 (2015-06-21 17:14:28.132 UTC)</t>
  </si>
  <si>
    <t>Fully qualified program name, per StateManager GetAssemblyFQFN method = C:\Users</t>
  </si>
  <si>
    <t>\DAVE\Documents\Visual Studio 2013\Projects\WizardWrx_Libs\DLLServices2\DLLServi</t>
  </si>
  <si>
    <t>ces2TestStand\bin\Debug\DLLServices2TestStand.exe</t>
  </si>
  <si>
    <t>The next screen displays selected properties of the library that is about to be</t>
  </si>
  <si>
    <t>exercised.</t>
  </si>
  <si>
    <t>Date and Time format strings - sample = 2015-06-21 12:59:15</t>
  </si>
  <si>
    <t>/^DD ^hh:^mm:^ss (Sample = 2015/06/21 12:59:15)</t>
  </si>
  <si>
    <t>ss (Sample = 12:59:15)</t>
  </si>
  <si>
    <t>1 12:59:15</t>
  </si>
  <si>
    <t xml:space="preserve">    Public Method DisplayFormats.FormatTimeForShow                   = 12:59:15</t>
  </si>
  <si>
    <t>Press ENTER to resume the program.DLLServices2TestStand EOJ</t>
  </si>
  <si>
    <t>Running time = 00:48:12.7591779</t>
  </si>
  <si>
    <t>Press ENTER to exit the program.</t>
  </si>
  <si>
    <t>Page</t>
  </si>
  <si>
    <t>Line</t>
  </si>
  <si>
    <t>Length</t>
  </si>
  <si>
    <t>Tests 6 and 7, 1 and 2</t>
  </si>
  <si>
    <t>Test 3</t>
  </si>
  <si>
    <t>Test 8</t>
  </si>
  <si>
    <t>Complete Run, Paged</t>
  </si>
  <si>
    <t xml:space="preserve">Fault bucket 10921004, type 30  Event Name: CLR20r3  Response: Not available  Cab Id: 0    Problem signature:  P1: dllservices2teststand.exe  P2: 5.5.326.30074  P3: 55873dd4  P4: mscorlib  P5: 2.0.0.0  P6: 53a12268  P7: 3457  P8: 26d  P9: System.IO.IOException  P10:     Attached files:  C:\Users\DAVE\AppData\Local\Temp\WER498E.tmp.WERInternalMetadata.xml  C:\Users\DAVE\AppData\Local\Temp\WER890E.tmp.mdmp    These files may be available here:  C:\Users\DAVE\AppData\Local\Microsoft\Windows\WER\ReportArchive\AppCrash_dllservices2test_27a2bef19b1bc917fc8f3b46c91cf18d46f31c3_cab_11bc9a4c    Analysis symbol:   Rechecking for solution: 0  Report Id: 932efe23-1867-11e5-8641-446d579f3509  Report Status: 137  </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</si>
  <si>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DLLServices2TestStand.Program.PauseForPictures(Boolean pfAppendLineFeed) in c:\Users\DAVE\Documents\Visual Studio 2013\Projects\WizardWrx_Libs\DLLServices2\DLLServices2TestStand\Program.cs:line 420     at DLLServices2TestStand.Program.Main(String[] args) in c:\Users\DAVE\Documents\Visual Studio 2013\Projects\WizardWrx_Libs\DLLServices2\DLLServices2TestStand\Program.cs:line 205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</si>
  <si>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258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</si>
  <si>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231  End of Stack Trace    There are no further exceptions to report.    </t>
  </si>
  <si>
    <t xml:space="preserve">An System.InvalidOperationException exception was caught in routine Main:                 Message          = StandardOut has not been redirected or the process hasn't started yet.  Exception Method = System.IO.StreamReader get_StandardOutput()  Exception Source = System    Stack Trace Begin:     at System.Diagnostics.Process.get_StandardOutput()     at WizardWrx.DLLServices2.MessageInColor.IsStdOutRedirected() in c:\Users\DAVE\Documents\Visual Studio 2013\Projects\WizardWrx_Libs\DLLServices2\DLLServices2\MessageInColor.cs:line 2061     at DLLServices2TestStand.Program.PauseForPictures(Boolean pfAppendLineFeed) in c:\Users\DAVE\Documents\Visual Studio 2013\Projects\WizardWrx_Libs\DLLServices2\DLLServices2TestStand\Program.cs:line 410     at DLLServices2TestStand.Program.Main(String[] args) in c:\Users\DAVE\Documents\Visual Studio 2013\Projects\WizardWrx_Libs\DLLServices2\DLLServices2TestStand\Program.cs:line 205  End of Stack Trace    There are no further exceptions to report.    </t>
  </si>
  <si>
    <t xml:space="preserve">An System.InvalidOperationException exception was caught in routine Main:                 Message          = StandardOut has not been redirected or the process hasn't started yet.  Exception Method = System.IO.StreamReader get_StandardOutput()  Exception Source = System    Stack Trace Begin:     at System.Diagnostics.Process.get_StandardOutput()     at WizardWrx.DLLServices2.MessageInColor.IsStdOutRedirected() in c:\Users\DAVE\Documents\Visual Studio 2013\Projects\WizardWrx_Libs\DLLServices2\DLLServices2\MessageInColor.cs:line 2060     at DLLServices2TestStand.Program.PauseForPictures(Boolean pfAppendLineFeed) in c:\Users\DAVE\Documents\Visual Studio 2013\Projects\WizardWrx_Libs\DLLServices2\DLLServices2TestStand\Program.cs:line 410     at DLLServices2TestStand.Program.Main(String[] args) in c:\Users\DAVE\Documents\Visual Studio 2013\Projects\WizardWrx_Libs\DLLServices2\DLLServices2TestStand\Program.cs:line 205  End of Stack Trace    There are no further exceptions to report.    </t>
  </si>
  <si>
    <t xml:space="preserve">An System.InvalidOperationException exception was caught in routine Main:                 Message          = StandardOut has not been redirected or the process hasn't started yet.  Exception Method = System.IO.StreamReader get_StandardOutput()  Exception Source = System    Stack Trace Begin:     at System.Diagnostics.Process.get_StandardOutput()     at WizardWrx.DLLServices2.MessageInColor.IsStdOutRedirected() in c:\Users\DAVE\Documents\Visual Studio 2013\Projects\WizardWrx_Libs\DLLServices2\DLLServices2\MessageInColor.cs:line 2062     at DLLServices2TestStand.Program.PauseForPictures(Boolean pfAppendLineFeed) in c:\Users\DAVE\Documents\Visual Studio 2013\Projects\WizardWrx_Libs\DLLServices2\DLLServices2TestStand\Program.cs:line 410     at DLLServices2TestStand.Program.Main(String[] args) in c:\Users\DAVE\Documents\Visual Studio 2013\Projects\WizardWrx_Libs\DLLServices2\DLLServices2TestStand\Program.cs:line 205  End of Stack Trace    There are no further exceptions to report.    </t>
  </si>
  <si>
    <t xml:space="preserve">An System.InvalidOperationException exception was caught in routine Main:                 Message          = StandardOut has not been redirected or the process hasn't started yet.  Exception Method = System.IO.StreamReader get_StandardOutput()  Exception Source = System    Stack Trace Begin:     at System.Diagnostics.Process.get_StandardOutput()     at DLLServices2TestStand.Program.PauseForPictures(Boolean pfAppendLineFeed) in c:\Users\DAVE\Documents\Visual Studio 2013\Projects\WizardWrx_Libs\DLLServices2\DLLServices2TestStand\Program.cs:line 411     at DLLServices2TestStand.Program.Main(String[] args) in c:\Users\DAVE\Documents\Visual Studio 2013\Projects\WizardWrx_Libs\DLLServices2\DLLServices2TestStand\Program.cs:line 205  End of Stack Trace    There are no further exceptions to report.    </t>
  </si>
  <si>
    <t xml:space="preserve">Windows (2772) Windows: The database engine has successfully completed recovery steps.  </t>
  </si>
  <si>
    <t xml:space="preserve">Windows (2772) Windows: The database engine has begun replaying logfile C:\Windows\System32\wbem\Repository\Search\Data\Applications\Windows\MSS.log.  </t>
  </si>
  <si>
    <t xml:space="preserve">Windows (2772) Windows: The database engine has begun replaying logfile C:\Windows\System32\wbem\Repository\Search\Data\Applications\Windows\MSS00CD9.log.  </t>
  </si>
  <si>
    <t xml:space="preserve">Windows (2772) Windows: The database engine is initiating recovery steps.  </t>
  </si>
  <si>
    <t xml:space="preserve">Windows (2772) Windows: The database engine (6.01.7601.0000) started a new instance (0).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</si>
  <si>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255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</si>
  <si>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228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</si>
  <si>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254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</si>
  <si>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227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</si>
  <si>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251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</si>
  <si>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224  End of Stack Trace    There are no further exceptions to report.    </t>
  </si>
  <si>
    <t>ENIGMA Application Events 3</t>
  </si>
  <si>
    <t>RedirectedStreamTester Strings</t>
  </si>
  <si>
    <t>Name</t>
  </si>
  <si>
    <t>EOJ_MSG_TPL</t>
  </si>
  <si>
    <t>Value</t>
  </si>
  <si>
    <t>{0} EOJ{2}Running time = {1}{2}Press ENTER to exit the program.</t>
  </si>
  <si>
    <t>Comment</t>
  </si>
  <si>
    <t>ERRMSG_RUNTIME</t>
  </si>
  <si>
    <t>A run-time exception was caught and reported.</t>
  </si>
  <si>
    <t>Exit code 1 is reserved for reporting runtime errors.</t>
  </si>
  <si>
    <t>ERRMSG_SUCCESS</t>
  </si>
  <si>
    <t>Processing completed without errors.</t>
  </si>
  <si>
    <t>This message is never displayed; it holds the spot in the array that is reserved for exit code zero.</t>
  </si>
  <si>
    <t>MSG_STREAM_REDIRECTED</t>
  </si>
  <si>
    <t>MSG_STREAM_STDERR</t>
  </si>
  <si>
    <t>STDERR (Standard Error), represented by Console.Error</t>
  </si>
  <si>
    <t>MSG__STREAM_STDIN</t>
  </si>
  <si>
    <t>STDIN (Standard Input), represented by Console.In</t>
  </si>
  <si>
    <t>MSG_STREAM_STDOUT</t>
  </si>
  <si>
    <t>STDOUT (Standard Output), represented by Console.Out</t>
  </si>
  <si>
    <t>ARGNAME_STDERR</t>
  </si>
  <si>
    <t>ARGNAME_STDIN</t>
  </si>
  <si>
    <t>ARGNAME_STDOUT</t>
  </si>
  <si>
    <t>ARGVALUE_DEFAULT</t>
  </si>
  <si>
    <t>Default</t>
  </si>
  <si>
    <t>ARGVALUE_REDIRECTED</t>
  </si>
  <si>
    <t>Redirected</t>
  </si>
  <si>
    <t>Stream Name and Description                           State</t>
  </si>
  <si>
    <t>MSG_STREAM_STATE_RULE1</t>
  </si>
  <si>
    <t>MSG_STREAM_STATE_RULE2</t>
  </si>
  <si>
    <t>-------------------------------------------------------------------------------</t>
  </si>
  <si>
    <t>---------------------------------------------------- --------------------------</t>
  </si>
  <si>
    <t>{0,-52} {1}</t>
  </si>
  <si>
    <t>MSG_STREAM_STATE_LABELS</t>
  </si>
  <si>
    <t>MSG_STREAM_STATE_VALUES</t>
  </si>
  <si>
    <t>This ruler appears above and below the table.</t>
  </si>
  <si>
    <t>This string underlines the labels.</t>
  </si>
  <si>
    <t>This string labels the columns of the display.</t>
  </si>
  <si>
    <t>The table details are fed through this format string.</t>
  </si>
  <si>
    <t>This string is the Stream Name and Description for the Standard Error stream.</t>
  </si>
  <si>
    <t>This string is the Stream Name and Description for the Standard Input stream.</t>
  </si>
  <si>
    <t>This string is the Stream Name and Description for the Standard Output stream.</t>
  </si>
  <si>
    <t>Redirected to {0}</t>
  </si>
  <si>
    <t>This message appears, as is, in the State comumn.</t>
  </si>
  <si>
    <t>This string names the argument that names the file to which the Standard Error stream is redirected.</t>
  </si>
  <si>
    <t>This string names the argument that names the file to which the Standard Input stream is redirected.</t>
  </si>
  <si>
    <t>This string names the argument that names the file to which the Standard Output stream is redirected.</t>
  </si>
  <si>
    <t>Use this string to explicitly declare that the stream is NOT redirected. This argument may be abbreviated to its first letter.</t>
  </si>
  <si>
    <t>Use this string to explicitly declare that the stream is redirected. This argument may be abbreviated to its first letter. Regardless, the target file name must follow it, separated by a comma.</t>
  </si>
  <si>
    <t>ERRMSG_STREAMSTATE_CTOR</t>
  </si>
  <si>
    <t>A {0} exception was caught in routine {1}, while processing its {2} argument. Details follow.{4}{3}</t>
  </si>
  <si>
    <t>The StreamState constructor uses this template to construct exception reports about an error encountered while processing its inputs.</t>
  </si>
  <si>
    <t>ERRMSG_STREAMSTATE_FORMAT</t>
  </si>
  <si>
    <t>The state value of argument {0} is invalid.{2}Its value, {1}, contains too many commas.</t>
  </si>
  <si>
    <t>The StreamState argument must contain exactly zero (degenerate case) or 1 comma.</t>
  </si>
  <si>
    <t>BOJ_MSG_TPL</t>
  </si>
  <si>
    <t>{0}, version {1} BOJ{4}{2} ({3} UTC)</t>
  </si>
  <si>
    <t>Unlike its sibling, ERRMSG_SUCCESS, this message is displayed as the program is ending.</t>
  </si>
  <si>
    <t>This message is always displayed once, as the program starts.</t>
  </si>
  <si>
    <t>stderr</t>
  </si>
  <si>
    <t>stdin</t>
  </si>
  <si>
    <t>stdout</t>
  </si>
  <si>
    <t>LOGMSG_CWD</t>
  </si>
  <si>
    <t>LOGMSG_ACTUAL_STDERR_STATE</t>
  </si>
  <si>
    <t>LOGMSG_ACTUAL_STDIN_STATE</t>
  </si>
  <si>
    <t>LOGMSG_ACTUAL_STDOUT_STATE</t>
  </si>
  <si>
    <t>LOGMSG_REPORTED_STDERR_STATE</t>
  </si>
  <si>
    <t>LOGMSG_REPORTED_STDIN_STATE</t>
  </si>
  <si>
    <t>LOGMSG_REPORTED_STDOUT_STATE</t>
  </si>
  <si>
    <t>LOGMSG_STATE_OF_AFFAIRS</t>
  </si>
  <si>
    <t>LOGMSG_RUN_PARAMETERS</t>
  </si>
  <si>
    <t>Run Parameters:{0}</t>
  </si>
  <si>
    <t>{1}State of the file system at {0}{1}</t>
  </si>
  <si>
    <t>Format Item 0 gets a linefeed.</t>
  </si>
  <si>
    <t>Format Item 1 gets a linefeed.</t>
  </si>
  <si>
    <t>LOGMSG_STREAM_FILE_STATE</t>
  </si>
  <si>
    <t xml:space="preserve">    {0,-6} File: Unqualified Name  = {1}</t>
  </si>
  <si>
    <t xml:space="preserve">                 File Exists       = {0}</t>
  </si>
  <si>
    <t xml:space="preserve">                 Created Time      = {0}</t>
  </si>
  <si>
    <t xml:space="preserve">                 Last Write Time   = {0}</t>
  </si>
  <si>
    <t xml:space="preserve">                 Last Access Time  = {0}</t>
  </si>
  <si>
    <t>LOGMSG_STREAM_FILE_PRESENT</t>
  </si>
  <si>
    <t>LOGMSG_STREAM_FILE_SIZE</t>
  </si>
  <si>
    <t>LOGMSG_STREAM_FILE_CREATED</t>
  </si>
  <si>
    <t>LOGMSG_STREAM_FILE_MODIFIED</t>
  </si>
  <si>
    <t>LOGMSG_STREAM_FILE_ACCESSED</t>
  </si>
  <si>
    <t>LOGMSG_TASK_STAGE_BOJ</t>
  </si>
  <si>
    <t>at startup</t>
  </si>
  <si>
    <t>LOGMSG_TASK_STAGE_EOJ</t>
  </si>
  <si>
    <t>at shutdown</t>
  </si>
  <si>
    <t>This message appears in the initial report on the state of the file system.</t>
  </si>
  <si>
    <t>This message appears in the final report on the state of the file system.</t>
  </si>
  <si>
    <t>MSG_PROMPT_TO_RESUME</t>
  </si>
  <si>
    <t>This prompt displays after the initial state of affairs has been recorded, to inform you that it's time to take stock of your file system, and perform whatever other tests you deem appropriate.</t>
  </si>
  <si>
    <t>{0} has completed its initial reports.{1}Do whatever you need to verify how things stand.{1}Press RETURN to record the final state of affairs.</t>
  </si>
  <si>
    <t xml:space="preserve">  State of the file system at at shutdown  STDIN  File: Unqualified Name  = C:\Users\DAVE\Documents\Visual Studio 2013\Projects\WizardWrx_Libs\DLLServices2\Redirected_Streams\STDIN.TXT                 File Exists       = True                 Reportd Size      = 189                 Created Time      = 2015/06/23 12:59:09                 Last Write Time   = 2015/06/23 12:59:09                 Last Access Time  = 2015/06/23 12:59:09  </t>
  </si>
  <si>
    <t xml:space="preserve">  State of the file system at at startup  STDIN  File: Unqualified Name  = C:\Users\DAVE\Documents\Visual Studio 2013\Projects\WizardWrx_Libs\DLLServices2\Redirected_Streams\STDIN.TXT                 File Exists       = True                 Reportd Size      = 189                 Created Time      = 2015/06/23 12:59:09                 Last Write Time   = 2015/06/23 12:59:09                 Last Access Time  = 2015/06/23 12:59:09  </t>
  </si>
  <si>
    <t xml:space="preserve">Run Parameters:      STDOUT State, per Command Line = D    STDIN State, per Command Line  = Redirected to STDIN.TXT    STDERR State, per Command Line = D  </t>
  </si>
  <si>
    <t xml:space="preserve">RedirectedStreamTester, version 5.5.0.0 BOJ  2015-06-23 17:19:14.122 (2015-06-23 22:19:14.122 UTC)  </t>
  </si>
  <si>
    <t xml:space="preserve">RedirectedStreamTester, version 5.5.0.0 BOJ  2015-06-23 17:13:01.677 (2015-06-23 22:13:01.677 UTC)  </t>
  </si>
  <si>
    <t xml:space="preserve">An System.Exception exception was caught in routine ReportConstructionAccident:                 Message          = A System.ArgumentException exception was caught in routine SetFailure, while processing its pstrStreamState argument. Details follow.                 Requested value 'stderr' was not found.  Exception Method = Void ReportConstructionAccident(System.Exception, System.String)  Exception Source = RedirectedStreamTester    Stack Trace Begin:     at RedirectedStreamTester.StreamStateInfo.ReportConstructionAccident(Exception errAnyKind, String pstrCurrentArgName) in c:\Users\DAVE\Documents\Visual Studio 2013\Projects\WizardWrx_Libs\DLLServices2\RedirectedStreamTester\StreamStateInfo.cs:line 219     at RedirectedStreamTester.StreamStateInfo..ctor(String pstrStreamID, String pstrStreamState) in c:\Users\DAVE\Documents\Visual Studio 2013\Projects\WizardWrx_Libs\DLLServices2\RedirectedStreamTester\StreamStateInfo.cs:line 196     at RedirectedStreamTester.Program.GetStreamStateInfo() in c:\Users\DAVE\Documents\Visual Studio 2013\Projects\WizardWrx_Libs\DLLServices2\RedirectedStreamTester\Program.cs:line 161     at RedirectedStreamTester.Program.Main(String[] args) in c:\Users\DAVE\Documents\Visual Studio 2013\Projects\WizardWrx_Libs\DLLServices2\RedirectedStreamTester\Program.cs:line 112  End of Stack Trace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RedirectedStreamTester.StreamStateInfo..ctor(String pstrStreamID, String pstrStreamState) in c:\Users\DAVE\Documents\Visual Studio 2013\Projects\WizardWrx_Libs\DLLServices2\RedirectedStreamTester\StreamStateInfo.cs:line 160  End of Stack Trace    There are no further exceptions to report.    </t>
  </si>
  <si>
    <t xml:space="preserve">An System.Exception exception was caught in routine ReportConstructionAccident:                 Message          = A System.NullReferenceException exception was caught in routine .ctor, while processing its pstrStreamState argument. Details follow.                 Object reference not set to an instance of an object.  Exception Method = Void ReportConstructionAccident(System.Exception, System.String)  Exception Source = RedirectedStreamTester    Stack Trace Begin:     at RedirectedStreamTester.StreamStateInfo.ReportConstructionAccident(Exception errAnyKind, String pstrCurrentArgName) in c:\Users\DAVE\Documents\Visual Studio 2013\Projects\WizardWrx_Libs\DLLServices2\RedirectedStreamTester\StreamStateInfo.cs:line 219     at RedirectedStreamTester.StreamStateInfo..ctor(String pstrStreamID, String pstrStreamState) in c:\Users\DAVE\Documents\Visual Studio 2013\Projects\WizardWrx_Libs\DLLServices2\RedirectedStreamTester\StreamStateInfo.cs:line 208     at RedirectedStreamTester.Program.GetStreamStateInfo() in c:\Users\DAVE\Documents\Visual Studio 2013\Projects\WizardWrx_Libs\DLLServices2\RedirectedStreamTester\Program.cs:line 161     at RedirectedStreamTester.Program.Main(String[] args) in c:\Users\DAVE\Documents\Visual Studio 2013\Projects\WizardWrx_Libs\DLLServices2\RedirectedStreamTester\Program.cs:line 112  End of Stack Trace    Exception Method = Void .ctor(System.String, System.String)  Exception Source = RedirectedStreamTester    Stack Trace Begin:     at RedirectedStreamTester.StreamStateInfo..ctor(String pstrStreamID, String pstrStreamState) in c:\Users\DAVE\Documents\Visual Studio 2013\Projects\WizardWrx_Libs\DLLServices2\RedirectedStreamTester\StreamStateInfo.cs:line 158  End of Stack Trace    There are no further exceptions to report.    </t>
  </si>
  <si>
    <t xml:space="preserve">An System.Exception exception was caught in routine ReportConstructionAccident:                 Message          = A System.ArgumentException exception was caught in routine SetFailure, while processing its pstrStreamID argument. Details follow.                 Requested value 'N_stderr' was not found.  Exception Method = Void ReportConstructionAccident(System.Exception, System.String)  Exception Source = RedirectedStreamTester    Stack Trace Begin:     at RedirectedStreamTester.StreamStateInfo.ReportConstructionAccident(Exception errAnyKind, String pstrCurrentArgName) in c:\Users\DAVE\Documents\Visual Studio 2013\Projects\WizardWrx_Libs\DLLServices2\RedirectedStreamTester\StreamStateInfo.cs:line 219     at RedirectedStreamTester.StreamStateInfo..ctor(String pstrStreamID, String pstrStreamState) in c:\Users\DAVE\Documents\Visual Studio 2013\Projects\WizardWrx_Libs\DLLServices2\RedirectedStreamTester\StreamStateInfo.cs:line 196     at RedirectedStreamTester.Program.GetStreamStateInfo() in c:\Users\DAVE\Documents\Visual Studio 2013\Projects\WizardWrx_Libs\DLLServices2\RedirectedStreamTester\Program.cs:line 161     at RedirectedStreamTester.Program.Main(String[] args) in c:\Users\DAVE\Documents\Visual Studio 2013\Projects\WizardWrx_Libs\DLLServices2\RedirectedStreamTester\Program.cs:line 112  End of Stack Trace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RedirectedStreamTester.StreamStateInfo..ctor(String pstrStreamID, String pstrStreamState) in c:\Users\DAVE\Documents\Visual Studio 2013\Projects\WizardWrx_Libs\DLLServices2\RedirectedStreamTester\StreamStateInfo.cs:line 151  End of Stack Trace    There are no further exceptions to report.    </t>
  </si>
  <si>
    <t xml:space="preserve">An System.ArgumentException exception was caught in routine SetFailure:                 Message          = Requested value 'stderr' was not found.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RedirectedStreamTester.Program.GetStreamStateInfo() in c:\Users\DAVE\Documents\Visual Studio 2013\Projects\WizardWrx_Libs\DLLServices2\RedirectedStreamTester\Program.cs:line 156     at RedirectedStreamTester.Program.Main(String[] args) in c:\Users\DAVE\Documents\Visual Studio 2013\Projects\WizardWrx_Libs\DLLServices2\RedirectedStreamTester\Program.cs:line 112  End of Stack Trace    There are no further exceptions to report.    </t>
  </si>
  <si>
    <t xml:space="preserve">An System.ArgumentException exception was caught in routine SetFailure:                 Message          = Requested value 'stderr' was not found.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System.Enum.Parse(Type enumType, String value)     at RedirectedStreamTester.Program.GetStreamStateInfo() in c:\Users\DAVE\Documents\Visual Studio 2013\Projects\WizardWrx_Libs\DLLServices2\RedirectedStreamTester\Program.cs:line 154     at RedirectedStreamTester.Program.Main(String[] args) in c:\Users\DAVE\Documents\Visual Studio 2013\Projects\WizardWrx_Libs\DLLServices2\RedirectedStreamTester\Program.cs:line 112  End of Stack Trace    There are no further exceptions to report.    </t>
  </si>
  <si>
    <t xml:space="preserve">An System.ArgumentException exception was caught in routine SetFailure:                 Message          = Requested value 'stderr' was not found.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System.Enum.Parse(Type enumType, String value)     at RedirectedStreamTester.Program.GetStreamStateInfo() in c:\Users\DAVE\Documents\Visual Studio 2013\Projects\WizardWrx_Libs\DLLServices2\RedirectedStreamTester\Program.cs:line 155     at RedirectedStreamTester.Program.Main(String[] args) in c:\Users\DAVE\Documents\Visual Studio 2013\Projects\WizardWrx_Libs\DLLServices2\RedirectedStreamTester\Program.cs:line 112  End of Stack Trace    There are no further exceptions to report.    </t>
  </si>
  <si>
    <t xml:space="preserve">An System.ArgumentException exception was caught in routine SetFailure:                 Message          = Requested value 'stderr' was not found.  Exception Method = Void SetFailure(ParseFailureKind, System.String, System.Object)  Exception Source = mscorlib    Stack Trace Begin:     at System.Enum.EnumResult.SetFailure(ParseFailureKind failure, String failureMessageID, Object failureMessageFormatArgument)     at System.Enum.TryParseEnum(Type enumType, String value, Boolean ignoreCase, EnumResult&amp; parseResult)     at System.Enum.Parse(Type enumType, String value, Boolean ignoreCase)     at System.Enum.Parse(Type enumType, String value)     at RedirectedStreamTester.Program.GetStreamStateInfo() in c:\Users\DAVE\Documents\Visual Studio 2013\Projects\WizardWrx_Libs\DLLServices2\RedirectedStreamTester\Program.cs:line 151     at RedirectedStreamTester.Program.Main(String[] args) in c:\Users\DAVE\Documents\Visual Studio 2013\Projects\WizardWrx_Libs\DLLServices2\RedirectedStreamTester\Program.cs:line 112  End of Stack Trace    There are no further exceptions to report.    </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</si>
  <si>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DLLServices2TestStand.Program.PauseForPictures(Boolean pfAppendLineFeed) in c:\Users\DAVE\Documents\Visual Studio 2013\Projects\WizardWrx_Libs\DLLServices2\DLLServices2TestStand\Program.cs:line 429     at DLLServices2TestStand.Program.Main(String[] args) in c:\Users\DAVE\Documents\Visual Studio 2013\Projects\WizardWrx_Libs\DLLServices2\DLLServices2TestStand\Program.cs:line 206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</si>
  <si>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args) in c:\Users\DAVE\Documents\Visual Studio 2013\Projects\WizardWrx_Libs\DLLServices2\DLLServices2TestStand\Program.cs:line 259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</si>
  <si>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args) in c:\Users\DAVE\Documents\Visual Studio 2013\Projects\WizardWrx_Libs\DLLServices2\DLLServices2TestStand\Program.cs:line 232  End of Stack Trace    There are no further exceptions to report.    </t>
  </si>
  <si>
    <t xml:space="preserve">An System.IO.IOException exception was caught in routine Main:                 Message          = The handle is invalid.                   Exception Method = Void WinIOError(Int32, System.String)  Exception Source = mscorlib    Stack Trace Begin:     at System.IO.__Error.WinIOError(Int32 errorCode, String maybeFullPath)     at System.IO.__Error.WinIOError()     at System.Console.Clear()     at DLLServices2TestStand.Program.PauseForPictures(Boolean pfAppendLineFeed) in c:\Users\DAVE\Documents\Visual Studio 2013\Projects\WizardWrx_Libs\DLLServices2\DLLServices2TestStand\Program.cs:line 428     at DLLServices2TestStand.Program.Main(String[] args) in c:\Users\DAVE\Documents\Visual Studio 2013\Projects\WizardWrx_Libs\DLLServices2\DLLServices2TestStand\Program.cs:line 206  End of Stack Trace    There are no further exceptions to report.    </t>
  </si>
  <si>
    <t>ENIGMA Application Events 4</t>
  </si>
  <si>
    <t>LOGMSG_EOJ</t>
  </si>
  <si>
    <t>{0} EOJ{2}Running time = {1}</t>
  </si>
  <si>
    <t>The event log gets an abbreviate message, without the prompt.</t>
  </si>
  <si>
    <t>LOGMSG_WAIT_FOR_OPERATOR</t>
  </si>
  <si>
    <t>This message goes into the event log when MSG_PROMPT_TO_RESUME hits the console.</t>
  </si>
  <si>
    <t>LOGMSG_RESUMING</t>
  </si>
  <si>
    <t>{0} is resuming.</t>
  </si>
  <si>
    <t>Next  comes the final report on the state of the file system, covering the same files listed before execution suspended.</t>
  </si>
  <si>
    <t>{0} has completed its initial reports.</t>
  </si>
  <si>
    <t xml:space="preserve">RedirectedStreamTester EOJ  Running time = 00:01:13.5693295  </t>
  </si>
  <si>
    <t xml:space="preserve">  State of the file system at at shutdown      STDIN  File: Quualified Name    = C:\Users\DAVE\Documents\Visual Studio 2013\Projects\WizardWrx_Libs\DLLServices2\Redirected_Streams\STDIN.TXT                   File Exists       = True                   Reportd Size      = 189                   Created Time      = 2015/06/23 12:59:09                   Last Write Time   = 2015/06/23 12:59:09                   Last Access Time  = 2015/06/23 12:59:09    </t>
  </si>
  <si>
    <t xml:space="preserve">RedirectedStreamTester is resuming.  </t>
  </si>
  <si>
    <t xml:space="preserve">RedirectedStreamTester has completed its initial reports.  </t>
  </si>
  <si>
    <t xml:space="preserve">  State of the file system at at startup      STDIN  File: Quualified Name    = C:\Users\DAVE\Documents\Visual Studio 2013\Projects\WizardWrx_Libs\DLLServices2\Redirected_Streams\STDIN.TXT                   File Exists       = True                   Reportd Size      = 189                   Created Time      = 2015/06/23 12:59:09                   Last Write Time   = 2015/06/23 12:59:09                   Last Access Time  = 2015/06/23 12:59:09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</si>
  <si>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t>
  </si>
  <si>
    <t xml:space="preserve">RedirectedStreamTester, version 5.5.0.0 BOJ  2015-06-23 22:59:46.952 (2015-06-24 03:59:46.952 UTC)  </t>
  </si>
  <si>
    <t xml:space="preserve">RedirectedStreamTester, version 5.5.0.0 BOJ  2015-06-23 22:32:44.459 (2015-06-24 03:32:44.459 UTC)  </t>
  </si>
  <si>
    <t xml:space="preserve">RedirectedStreamTester EOJ  Running time = 00:00:15.0312274  Press ENTER to exit the program.  </t>
  </si>
  <si>
    <t xml:space="preserve">  State of the file system at at shutdown  STDIN  File: Quualified Name    = C:\Users\DAVE\Documents\Visual Studio 2013\Projects\WizardWrx_Libs\DLLServices2\Redirected_Streams\STDIN.TXT                   File Exists       = True                   Reportd Size      = 189                   Created Time      = 2015/06/23 12:59:09                   Last Write Time   = 2015/06/23 12:59:09                   Last Access Time  = 2015/06/23 12:59:09    </t>
  </si>
  <si>
    <t xml:space="preserve">  State of the file system at at startup  STDIN  File: Quualified Name    = C:\Users\DAVE\Documents\Visual Studio 2013\Projects\WizardWrx_Libs\DLLServices2\Redirected_Streams\STDIN.TXT                   File Exists       = True                   Reportd Size      = 189                   Created Time      = 2015/06/23 12:59:09                   Last Write Time   = 2015/06/23 12:59:09                   Last Access Time  = 2015/06/23 12:59:09    </t>
  </si>
  <si>
    <t xml:space="preserve">Run Parameters:      STDOUT State, per Command Line = D      STDIN State, per Command Line  = Redirected to STDIN.TXT      STDERR State, per Command Line = D    </t>
  </si>
  <si>
    <t xml:space="preserve">RedirectedStreamTester, version 5.5.0.0 BOJ  2015-06-23 21:49:44.838 (2015-06-24 02:49:44.838 UTC)  </t>
  </si>
  <si>
    <t xml:space="preserve">RedirectedStreamTester EOJ  Running time = 00:00:07.1104067  Press ENTER to exit the program.  </t>
  </si>
  <si>
    <t xml:space="preserve">RedirectedStreamTester, version 5.5.0.0 BOJ  2015-06-23 19:15:43.112 (2015-06-24 00:15:43.112 UTC)  </t>
  </si>
  <si>
    <t xml:space="preserve">RedirectedStreamTester EOJ  Running time = 00:00:02.3991373  Press ENTER to exit the program.  </t>
  </si>
  <si>
    <t xml:space="preserve">An System.FormatException exception was caught in routine AppendFormat:                 Message          = Index (zero based) must be greater than or equal to zero and less than the size of the argument list.  Exception Method = System.Text.StringBuilder AppendFormat(System.IFormatProvider, System.String, System.Object[])  Exception Source = mscorlib    Stack Trace Begin:     at System.Text.StringBuilder.AppendFormat(IFormatProvider provider, String format, Object[] args)     at System.Text.StringBuilder.AppendFormat(String format, Object arg0)     at RedirectedStreamTester.Program.RecordInitialStateInLog(Dictionary`2 pdctStreamStates, String pstrBOJMessage) in c:\Users\DAVE\Documents\Visual Studio 2013\Projects\WizardWrx_Libs\DLLServices2\RedirectedStreamTester\Program.cs:line 244     at RedirectedStreamTester.Program.Main(String[] args) in c:\Users\DAVE\Documents\Visual Studio 2013\Projects\WizardWrx_Libs\DLLServices2\RedirectedStreamTester\Program.cs:line 151  End of Stack Trace    There are no further exceptions to report.    </t>
  </si>
  <si>
    <t xml:space="preserve">RedirectedStreamTester, version 5.5.0.0 BOJ  2015-06-23 19:11:50.989 (2015-06-24 00:11:50.989 UTC)  </t>
  </si>
  <si>
    <t xml:space="preserve">RedirectedStreamTester EOJ  Running time = 00:00:03.4892063  Press ENTER to exit the program.  </t>
  </si>
  <si>
    <t xml:space="preserve">RedirectedStreamTester, version 5.5.0.0 BOJ  2015-06-23 19:07:14.238 (2015-06-24 00:07:14.238 UTC)  </t>
  </si>
  <si>
    <t>ENIGMA Application Events 5</t>
  </si>
  <si>
    <t>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t>
  </si>
  <si>
    <t xml:space="preserve">                 Reported Size     = {0}</t>
  </si>
  <si>
    <t>Directed to the default stream (the console).</t>
  </si>
  <si>
    <t>LOGMSG_STREAM_DEFAULT</t>
  </si>
  <si>
    <t>LOGMSG_STREAM_REDIRECTED</t>
  </si>
  <si>
    <t>Redirected to a file</t>
  </si>
  <si>
    <t>This message appears in the State column for a redirected stream. The file name replaces the token.</t>
  </si>
  <si>
    <t>This message appears as is in the event log.</t>
  </si>
  <si>
    <t>Substrings for Shell Scripts</t>
  </si>
  <si>
    <t>call :THE_DRILL NONE "STDERR=D"             "STDIN=D"           "STDOUT=D"</t>
  </si>
  <si>
    <t>call :THE_DRILL IN   "STDERR=D"             "STDIN=R,STDIN.TXT" "STDOUT=D"</t>
  </si>
  <si>
    <t>call :THE_DRILL OUT  "STDERR=D"             "STDIN=D"           "STDOUT=R,STDOUT.TXT"</t>
  </si>
  <si>
    <t>call :THE_DRILL ERR  "STDERR=R,STDERR.TXT"  "STDIN=D"           "STDOUT=D"</t>
  </si>
  <si>
    <t>123456789012345678901234567890123456789012345678901234567890123456789012345678901234567890</t>
  </si>
  <si>
    <t xml:space="preserve">         1         2         3         4         5         6         7         8         9</t>
  </si>
  <si>
    <t>Task</t>
  </si>
  <si>
    <t>Stream 1 (STDERR)</t>
  </si>
  <si>
    <t>Stream 2 (STDIN)</t>
  </si>
  <si>
    <t>Stream 3 (STDOUT)</t>
  </si>
  <si>
    <t>Arguments</t>
  </si>
  <si>
    <t>Ruler</t>
  </si>
  <si>
    <t>Detail</t>
  </si>
  <si>
    <t>Substring</t>
  </si>
  <si>
    <t>Entire Argument</t>
  </si>
  <si>
    <t>Start</t>
  </si>
  <si>
    <t>Time Stamp</t>
  </si>
  <si>
    <t>BOJ C:\Users\DAVE\Documents\Visual Studio 2013\Projects\WizardWrx_Libs\DLLServices2\scripts\RedirectionDrills.CMD, version 1.00</t>
  </si>
  <si>
    <t>Working Directory = C:\Users\DAVE\Documents\Visual Studio 2013\Projects\WizardWrx_Libs\DLLServices2\Redirected_Streams</t>
  </si>
  <si>
    <t>Program File Name = C:\Users\DAVE\Documents\Visual Studio 2013\Projects\WizardWrx_Libs\DLLServices2\RedirectedStreamTester\bin\Debug\RedirectedStreamTester.exe</t>
  </si>
  <si>
    <t>THE_DRILL: NONE STDERR=D STDIN=D STDOUT=D</t>
  </si>
  <si>
    <t>THE_DRILL: Task NONE - everything to console</t>
  </si>
  <si>
    <t>THE_DRILL: Task NONE completed = exit code = 0</t>
  </si>
  <si>
    <t>THE_DRILL: IN STDERR=D STDIN=R,STDIN.TXT STDOUT=D</t>
  </si>
  <si>
    <t>THE_DRILL: Task IN - STDIN redirected, everything else to console</t>
  </si>
  <si>
    <t>THE_DRILL: Task IN - STDIN redirected to STDIN.TXT</t>
  </si>
  <si>
    <t>THE_DRILL: Task IN completed = exit code = 0</t>
  </si>
  <si>
    <t>THE_DRILL: OUT STDERR=D STDIN=D STDOUT=R,STDOUT.TXT</t>
  </si>
  <si>
    <t>THE_DRILL: Task OUT - STDOUT redirected, everything else to console</t>
  </si>
  <si>
    <t>THE_DRILL: Task OUT - STDOUT redirected to STDOUT.TXT</t>
  </si>
  <si>
    <t>THE_DRILL: Task OUT completed = exit code = 0</t>
  </si>
  <si>
    <t>THE_DRILL: ERR STDERR=R,STDERR.TXT STDIN=D STDOUT=D</t>
  </si>
  <si>
    <t>THE_DRILL: Task ERR - STDERR redirected, everything else to console</t>
  </si>
  <si>
    <t>THE_DRILL: Task ERR - STDERR redirected to STDERR.TXT</t>
  </si>
  <si>
    <t>THE_DRILL: Task ERR completed = exit code = 0</t>
  </si>
  <si>
    <t>Executing ExportFromEventLog1Source.CMD via shell call</t>
  </si>
  <si>
    <t>ExportFromEventLog1Source.CMD done</t>
  </si>
  <si>
    <t>EOJ RedirectionDrills.CMD</t>
  </si>
  <si>
    <t xml:space="preserve">RedirectedStreamTester EOJ  Running time = 00:00:09.4012245  </t>
  </si>
  <si>
    <t xml:space="preserve">  State of the file system at at shutdown      STDERR File: Quualified Name   = C:\Users\DAVE\Documents\Visual Studio 2013\Projects\WizardWrx_Libs\DLLServices2\Redirected_Streams\STDERR.TXT                   File Exists       = True                   Reported Size     = 161                   Created Time      = 2015/06/25 03:02:26                   Last Write Time   = 2015/06/25 03:02:26                   Last Access Time  = 2015/06/25 03:02:26    </t>
  </si>
  <si>
    <t xml:space="preserve">  State of the file system at at startup      STDERR File: Quualified Name   = C:\Users\DAVE\Documents\Visual Studio 2013\Projects\WizardWrx_Libs\DLLServices2\Redirected_Streams\STDERR.TXT                   File Exists       = True                   Reported Size     = 0                   Created Time      = 2015/06/25 03:02:26                   Last Write Time   = 2015/06/25 03:02:26                   Last Access Time  = 2015/06/25 03:02:26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</si>
  <si>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D      STDERR State, per Command Line = Redirected to STDERR.TXT      STDOUT State, per .NET BCL     = Directed to the default stream (the console).      STDIN State, per .NET BCL      = Directed to the default stream (the console).      STDERR State, per .NET BCL     = Redirected to a file    </t>
  </si>
  <si>
    <t xml:space="preserve">RedirectedStreamTester, version 5.5.0.0 BOJ  2015-06-24 22:02:26.761 (2015-06-25 03:02:26.761 UTC)  </t>
  </si>
  <si>
    <t xml:space="preserve">RedirectedStreamTester EOJ  Running time = 00:00:29.6598730  </t>
  </si>
  <si>
    <t xml:space="preserve">  State of the file system at at shutdown      STDOUT File: Quualified Name   = C:\Users\DAVE\Documents\Visual Studio 2013\Projects\WizardWrx_Libs\DLLServices2\Redirected_Streams\STDOUT.TXT                   File Exists       = True                   Reported Size     = 599                   Created Time      = 2015/06/25 03:01:52                   Last Write Time   = 2015/06/25 03:01:52                   Last Access Time  = 2015/06/25 03:01:52    </t>
  </si>
  <si>
    <t xml:space="preserve">  State of the file system at at startup      STDOUT File: Quualified Name   = C:\Users\DAVE\Documents\Visual Studio 2013\Projects\WizardWrx_Libs\DLLServices2\Redirected_Streams\STDOUT.TXT                   File Exists       = True                   Reported Size     = 599                   Created Time      = 2015/06/25 03:01:52                   Last Write Time   = 2015/06/25 03:01:52                   Last Access Time  = 2015/06/25 03:01:52    </t>
  </si>
  <si>
    <t xml:space="preserve">Run Parameters:      Working Directory              = C:\Users\DAVE\Documents\Visual Studio 2013\Projects\WizardWrx_Libs\DLLServices2\Redirected_StreamsC:\Users\DAVE\Documents\Visual Studio 2013\Projects\WizardWrx_Libs\DLLServices2\Redirected_Streams      STDOUT State, per Command Line = Redirected to STDOUT.TXT      STDIN State, per Command Line  = D      STDERR State, per Command Line = D      STDOUT State, per .NET BCL     = Redirected to a file      STDIN State, per .NET BCL      = Directed to the default stream (the console).      STDERR State, per .NET BCL     = Directed to the default stream (the console).    </t>
  </si>
  <si>
    <t xml:space="preserve">RedirectedStreamTester, version 5.5.0.0 BOJ  2015-06-24 22:01:52.307 (2015-06-25 03:01:52.307 UTC)  </t>
  </si>
  <si>
    <t xml:space="preserve">RedirectedStreamTester EOJ  Running time = 00:00:00.2780006  </t>
  </si>
  <si>
    <t xml:space="preserve">  State of the file system at at shutdown      STDIN  File: Quualified Name   = C:\Users\DAVE\Documents\Visual Studio 2013\Projects\WizardWrx_Libs\DLLServices2\Redirected_Streams\STDIN.TXT                   File Exists       = True                   Reported Size     = 189                   Created Time      = 2015/06/23 12:59:09                   Last Write Time   = 2015/06/23 12:59:09                   Last Access Time  = 2015/06/23 12:59:09    </t>
  </si>
  <si>
    <t xml:space="preserve">  State of the file system at at startup      STDIN  File: Quualified Name   = C:\Users\DAVE\Documents\Visual Studio 2013\Projects\WizardWrx_Libs\DLLServices2\Redirected_Streams\STDIN.TXT                   File Exists       = True                   Reported Size     = 189                   Created Time      = 2015/06/23 12:59:09                   Last Write Time   = 2015/06/23 12:59:09                   Last Access Time  = 2015/06/23 12:59:09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</si>
  <si>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STDOUT State, per .NET BCL     = Directed to the default stream (the console).      STDIN State, per .NET BCL      = Redirected to a file      STDERR State, per .NET BCL     = Directed to the default stream (the console).    </t>
  </si>
  <si>
    <t xml:space="preserve">RedirectedStreamTester, version 5.5.0.0 BOJ  2015-06-24 22:01:51.648 (2015-06-25 03:01:51.648 UTC)  </t>
  </si>
  <si>
    <t xml:space="preserve">RedirectedStreamTester EOJ  Running time = 00:00:39.5467003  </t>
  </si>
  <si>
    <t xml:space="preserve">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</si>
  <si>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D      STDERR State, per Command Line = D      STDOUT State, per .NET BCL     = Directed to the default stream (the console).      STDIN State, per .NET BCL      = Directed to the default stream (the console).      STDERR State, per .NET BCL     = Directed to the default stream (the console).    </t>
  </si>
  <si>
    <t xml:space="preserve">RedirectedStreamTester, version 5.5.0.0 BOJ  2015-06-24 22:01:06.970 (2015-06-25 03:01:06.970 UTC)  </t>
  </si>
  <si>
    <t xml:space="preserve">RedirectedStreamTester EOJ  Running time = 00:00:04.6170108  </t>
  </si>
  <si>
    <t xml:space="preserve">  State of the file system at at shutdown      STDERR File: Quualified Name   = C:\Users\DAVE\Documents\Visual Studio 2013\Projects\WizardWrx_Libs\DLLServices2\Redirected_Streams\STDERR.TXT                   File Exists       = True                   Reported Size     = 161                   Created Time      = 2015/06/25 02:44:16                   Last Write Time   = 2015/06/25 02:44:16                   Last Access Time  = 2015/06/25 02:44:16    </t>
  </si>
  <si>
    <t xml:space="preserve">  State of the file system at at startup      STDERR File: Quualified Name   = C:\Users\DAVE\Documents\Visual Studio 2013\Projects\WizardWrx_Libs\DLLServices2\Redirected_Streams\STDERR.TXT                   File Exists       = True                   Reported Size     = 0                   Created Time      = 2015/06/25 02:44:16                   Last Write Time   = 2015/06/25 02:44:16                   Last Access Time  = 2015/06/25 02:44:16    </t>
  </si>
  <si>
    <t xml:space="preserve">RedirectedStreamTester, version 5.5.0.0 BOJ  2015-06-24 21:44:16.875 (2015-06-25 02:44:16.875 UTC)  </t>
  </si>
  <si>
    <t xml:space="preserve">RedirectedStreamTester EOJ  Running time = 00:00:07.0994196  </t>
  </si>
  <si>
    <t xml:space="preserve">  State of the file system at at shutdown      STDOUT File: Quualified Name   = C:\Users\DAVE\Documents\Visual Studio 2013\Projects\WizardWrx_Libs\DLLServices2\Redirected_Streams\STDOUT.TXT                   File Exists       = True                   Reported Size     = 599                   Created Time      = 2015/06/25 02:44:06                   Last Write Time   = 2015/06/25 02:44:06                   Last Access Time  = 2015/06/25 02:44:06    </t>
  </si>
  <si>
    <t xml:space="preserve">  State of the file system at at startup      STDOUT File: Quualified Name   = C:\Users\DAVE\Documents\Visual Studio 2013\Projects\WizardWrx_Libs\DLLServices2\Redirected_Streams\STDOUT.TXT                   File Exists       = True                   Reported Size     = 599                   Created Time      = 2015/06/25 02:44:06                   Last Write Time   = 2015/06/25 02:44:06                   Last Access Time  = 2015/06/25 02:44:06    </t>
  </si>
  <si>
    <t xml:space="preserve">RedirectedStreamTester, version 5.5.0.0 BOJ  2015-06-24 21:44:06.153 (2015-06-25 02:44:06.153 UTC)  </t>
  </si>
  <si>
    <t xml:space="preserve">RedirectedStreamTester EOJ  Running time = 00:00:00.2846012  </t>
  </si>
  <si>
    <t xml:space="preserve">RedirectedStreamTester, version 5.5.0.0 BOJ  2015-06-24 21:44:01.219 (2015-06-25 02:44:01.219 UTC)  </t>
  </si>
  <si>
    <t xml:space="preserve">RedirectedStreamTester EOJ  Running time = 00:00:14.1654352  </t>
  </si>
  <si>
    <t xml:space="preserve">RedirectedStreamTester, version 5.5.0.0 BOJ  2015-06-24 21:43:24.225 (2015-06-25 02:43:24.225 UTC)  </t>
  </si>
  <si>
    <t xml:space="preserve">RedirectedStreamTester EOJ  Running time = 00:00:00.4730031  </t>
  </si>
  <si>
    <t xml:space="preserve">  State of the file system at at shutdown      STDOUT File: Quualified Name   = C:\Users\DAVE\Documents\Visual Studio 2013\Projects\WizardWrx_Libs\DLLServices2\Redirected_Streams\STDOUT.TXT                   File Exists       = True                   Reported Size     = 599                   Created Time      = 2015/06/24 23:02:45                   Last Write Time   = 2015/06/24 23:02:45                   Last Access Time  = 2015/06/24 23:02:45    </t>
  </si>
  <si>
    <t xml:space="preserve">  State of the file system at at startup      STDOUT File: Quualified Name   = C:\Users\DAVE\Documents\Visual Studio 2013\Projects\WizardWrx_Libs\DLLServices2\Redirected_Streams\STDOUT.TXT                   File Exists       = True                   Reported Size     = 599                   Created Time      = 2015/06/24 23:02:45                   Last Write Time   = 2015/06/24 23:02:45                   Last Access Time  = 2015/06/24 23:02:45    </t>
  </si>
  <si>
    <t xml:space="preserve">RedirectedStreamTester, version 5.5.0.0 BOJ  2015-06-24 18:02:45.996 (2015-06-24 23:02:45.996 UTC)  </t>
  </si>
  <si>
    <t xml:space="preserve">RedirectedStreamTester EOJ  Running time = 00:00:00.2916010  </t>
  </si>
  <si>
    <t xml:space="preserve">RedirectedStreamTester, version 5.5.0.0 BOJ  2015-06-24 18:01:37.732 (2015-06-24 23:01:37.732 UTC)  </t>
  </si>
  <si>
    <t xml:space="preserve">RedirectedStreamTester EOJ  Running time = 00:00:00.6062025  </t>
  </si>
  <si>
    <t xml:space="preserve">RedirectedStreamTester, version 5.5.0.0 BOJ  2015-06-24 18:01:02.832 (2015-06-24 23:01:02.832 UTC)  </t>
  </si>
  <si>
    <t xml:space="preserve">RedirectedStreamTester EOJ  Running time = 00:00:00.5528018  </t>
  </si>
  <si>
    <t xml:space="preserve">RedirectedStreamTester, version 5.5.0.0 BOJ  2015-06-24 17:58:51.262 (2015-06-24 22:58:51.262 UTC)  </t>
  </si>
  <si>
    <t xml:space="preserve">RedirectedStreamTester EOJ  Running time = 00:00:00.9462025  </t>
  </si>
  <si>
    <t xml:space="preserve">RedirectedStreamTester, version 5.5.0.0 BOJ  2015-06-24 17:57:00.538 (2015-06-24 22:57:00.538 UTC)  </t>
  </si>
  <si>
    <t xml:space="preserve">RedirectedStreamTester EOJ  Running time = 00:00:02.3226059  </t>
  </si>
  <si>
    <t xml:space="preserve">RedirectedStreamTester, version 5.5.0.0 BOJ  2015-06-24 17:53:05.333 (2015-06-24 22:53:05.333 UTC)  </t>
  </si>
  <si>
    <t xml:space="preserve">RedirectedStreamTester EOJ  Running time = 00:00:00.7554028  </t>
  </si>
  <si>
    <t xml:space="preserve">RedirectedStreamTester, version 5.5.0.0 BOJ  2015-06-24 17:04:48.077 (2015-06-24 22:04:48.077 UTC)  </t>
  </si>
  <si>
    <t xml:space="preserve">RedirectedStreamTester EOJ  Running time = 00:00:00.4494026  </t>
  </si>
  <si>
    <t xml:space="preserve">RedirectedStreamTester, version 5.5.0.0 BOJ  2015-06-24 16:59:42.461 (2015-06-24 21:59:42.461 UTC)  </t>
  </si>
  <si>
    <t xml:space="preserve">RedirectedStreamTester EOJ  Running time = 00:00:03.6866093  </t>
  </si>
  <si>
    <t xml:space="preserve">RedirectedStreamTester, version 5.5.0.0 BOJ  2015-06-24 16:53:34.141 (2015-06-24 21:53:34.141 UTC)  </t>
  </si>
  <si>
    <t xml:space="preserve">RedirectedStreamTester EOJ  Running time = 00:00:13.9180250  </t>
  </si>
  <si>
    <t xml:space="preserve">RedirectedStreamTester, version 5.5.0.0 BOJ  2015-06-24 15:27:55.025 (2015-06-24 20:27:55.025 UTC)  </t>
  </si>
  <si>
    <t xml:space="preserve">RedirectedStreamTester, version 5.5.0.0 BOJ  2015-06-24 15:04:23.539 (2015-06-24 20:04:23.539 UTC)  </t>
  </si>
  <si>
    <t xml:space="preserve">RedirectedStreamTester EOJ  Running time = 00:00:00.0780001  </t>
  </si>
  <si>
    <t xml:space="preserve">An System.ArgumentException exception was caught in routine ThrowArgumentException:                 Message          = An item with the same key has already been added.  Exception Method = Void ThrowArgumentException(System.ExceptionResource)  Exception Source = mscorlib    Stack Trace Begin:     at System.ThrowHelper.ThrowArgumentException(ExceptionResource resource)     at System.Collections.Generic.Dictionary`2.Insert(TKey key, TValue value, Boolean add)     at System.Collections.Generic.Dictionary`2.Add(TKey key, TValue value)     at RedirectedStreamTester.Program.GetStreamStateInfo() in c:\Users\DAVE\Documents\Visual Studio 2013\Projects\WizardWrx_Libs\DLLServices2\RedirectedStreamTester\Program.cs:line 237     at RedirectedStreamTester.Program.Main(String[] args) in c:\Users\DAVE\Documents\Visual Studio 2013\Projects\WizardWrx_Libs\DLLServices2\RedirectedStreamTester\Program.cs:line 116  End of Stack Trace    There are no further exceptions to report.    </t>
  </si>
  <si>
    <t xml:space="preserve">RedirectedStreamTester EOJ  Running time = 00:00:00.0790045  </t>
  </si>
  <si>
    <t xml:space="preserve">RedirectedStreamTester EOJ  Running time = 00:00:00.0890051  </t>
  </si>
  <si>
    <t xml:space="preserve">RedirectedStreamTester EOJ  Running time = 00:00:00.0530030  </t>
  </si>
  <si>
    <t xml:space="preserve">RedirectedStreamTester EOJ  Running time = 00:00:00.0864015  </t>
  </si>
  <si>
    <t xml:space="preserve">RedirectedStreamTester EOJ  Running time = 00:00:00.0986047  </t>
  </si>
  <si>
    <t xml:space="preserve">RedirectedStreamTester EOJ  Running time = 00:00:00.0468000  </t>
  </si>
  <si>
    <t xml:space="preserve">RedirectedStreamTester EOJ  Running time = 00:00:00.0718016  </t>
  </si>
  <si>
    <t xml:space="preserve">RedirectedStreamTester EOJ  Running time = 00:00:00.0468001  </t>
  </si>
  <si>
    <t xml:space="preserve">RedirectedStreamTester EOJ  Running time = 00:00:00.0780002  </t>
  </si>
  <si>
    <t xml:space="preserve">RedirectedStreamTester EOJ  Running time = 00:00:00.0422007  </t>
  </si>
  <si>
    <t xml:space="preserve">RedirectedStreamTester EOJ  Running time = 00:00:00.2146027  </t>
  </si>
  <si>
    <t xml:space="preserve">RedirectedStreamTester EOJ  Running time = 00:00:01.5416034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</si>
  <si>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STDOUT State, per .NET BCL     = Directed to the default stream (the console).      STDIN State, per .NET BCL      = Directed to the default stream (the console).      STDERR State, per .NET BCL     = Directed to the default stream (the console).    </t>
  </si>
  <si>
    <t xml:space="preserve">RedirectedStreamTester, version 5.5.0.0 BOJ  2015-06-23 23:45:02.861 (2015-06-24 04:45:02.861 UTC)  </t>
  </si>
  <si>
    <t xml:space="preserve">RedirectedStreamTester EOJ  Running time = 00:00:05.7280107  </t>
  </si>
  <si>
    <t xml:space="preserve">RedirectedStreamTester, version 5.5.0.0 BOJ  2015-06-23 23:21:52.361 (2015-06-24 04:21:52.361 UTC)  </t>
  </si>
  <si>
    <t>ENIGMA Application Events 6</t>
  </si>
  <si>
    <t>WWLogger SxS Event Log 6</t>
  </si>
  <si>
    <t>WWLogger IMPORT</t>
  </si>
  <si>
    <t xml:space="preserve">    Working Directory              = {0}{1}</t>
  </si>
  <si>
    <t xml:space="preserve">    STDERR State, per Command Line = {0}{1}</t>
  </si>
  <si>
    <t xml:space="preserve">    STDIN State, per Command Line  = {0}{1}</t>
  </si>
  <si>
    <t xml:space="preserve">    STDOUT State, per Command Line = {0}{1}</t>
  </si>
  <si>
    <t xml:space="preserve">    STDERR State, per .NET BCL     = {0}{1}</t>
  </si>
  <si>
    <t xml:space="preserve">    STDIN State, per .NET BCL      = {0}{1}</t>
  </si>
  <si>
    <t xml:space="preserve">    STDOUT State, per .NET BCL     = {0}{1}</t>
  </si>
  <si>
    <t>LOGMSG_ASSEMBLY_RUNTIME_VER</t>
  </si>
  <si>
    <t>This message identifies the assembly runtime version, and is displayed on the console and recorded in the event log.</t>
  </si>
  <si>
    <t>{0}    Assembly ImageRuntimeVersion   = {1}{2}</t>
  </si>
  <si>
    <t>LOGMSG_STREAM_STATE_UNKNOWN</t>
  </si>
  <si>
    <t>UNKNOWN</t>
  </si>
  <si>
    <t>This is a place holder for testing the .NET Framework 4 Client Profile.</t>
  </si>
  <si>
    <t>[0] = 4294967286</t>
  </si>
  <si>
    <t>[1] = 4294967285</t>
  </si>
  <si>
    <t>[2] = 4294967284</t>
  </si>
  <si>
    <t xml:space="preserve">    static DWORD dwStdConsoleHandleIDs [ ] =</t>
  </si>
  <si>
    <t xml:space="preserve">    {</t>
  </si>
  <si>
    <t xml:space="preserve">    };  // static DWORD dwStdConsoleHandleIDs [ ]</t>
  </si>
  <si>
    <t>#define STD_INPUT_HANDLE    ((DWORD)-10)</t>
  </si>
  <si>
    <t>#define STD_OUTPUT_HANDLE   ((DWORD)-11)</t>
  </si>
  <si>
    <t>#define STD_ERROR_HANDLE    ((DWORD)-12)</t>
  </si>
  <si>
    <t>SHS_StandardHandleState.C</t>
  </si>
  <si>
    <t>WinBase.h</t>
  </si>
  <si>
    <t>Debugger</t>
  </si>
  <si>
    <t>Raw Code</t>
  </si>
  <si>
    <t>Raw Value</t>
  </si>
  <si>
    <t>Subscript</t>
  </si>
  <si>
    <t>Decimal</t>
  </si>
  <si>
    <t>Hexadecimal</t>
  </si>
  <si>
    <t>Valaue</t>
  </si>
  <si>
    <t>DWORD</t>
  </si>
  <si>
    <t>Match</t>
  </si>
  <si>
    <t>Computed Value</t>
  </si>
  <si>
    <t>0x00000003</t>
  </si>
  <si>
    <t>Actual Handle</t>
  </si>
  <si>
    <t>0x00000007</t>
  </si>
  <si>
    <t>0x0000000b</t>
  </si>
  <si>
    <t>Short Label</t>
  </si>
  <si>
    <t>Long Label</t>
  </si>
  <si>
    <t>STDIN</t>
  </si>
  <si>
    <t>STDOUT</t>
  </si>
  <si>
    <t>STDERR</t>
  </si>
  <si>
    <t>Standard Input</t>
  </si>
  <si>
    <t>Standard Output</t>
  </si>
  <si>
    <t>Standard Error</t>
  </si>
  <si>
    <t xml:space="preserve">        STD_INPUT_HANDLE ,                                          // SHS_STDIN</t>
  </si>
  <si>
    <t xml:space="preserve">        STD_OUTPUT_HANDLE ,                                         // SHS_STDOUT</t>
  </si>
  <si>
    <t xml:space="preserve">        STD_ERROR_HANDLE                                            // SHS_STERR</t>
  </si>
  <si>
    <t>typedef enum _SHS_HANDLE_STATE</t>
  </si>
  <si>
    <t>{</t>
  </si>
  <si>
    <t xml:space="preserve">    SHS_UNDETERMINABLE ,                // Value = 0, indicating that SHS_STANDARD_HANDLE is either SHS_UNDEFINED or out of range</t>
  </si>
  <si>
    <t xml:space="preserve">    SHS_ATTACHED ,                      // Value = 1, indicating that the handle corresponding to the value of SHS_STANDARD_HANDLE is attached to its console</t>
  </si>
  <si>
    <t xml:space="preserve">    SHS_REDIRECTED ,                    // Value = 2, indicating that the handle corresponding to the value of SHS_STANDARD_HANDLE is redirected</t>
  </si>
  <si>
    <t xml:space="preserve">    SHS_SYSTEM_ERROR                    // Value = 3, indicating that an internal error occurred. Call GetLastError to learn why.</t>
  </si>
  <si>
    <t>} SHS_HANDLE_STATE ;</t>
  </si>
  <si>
    <t>Standard Handle Constant Name</t>
  </si>
  <si>
    <t>String ID Name</t>
  </si>
  <si>
    <t>ID</t>
  </si>
  <si>
    <t>SHS_HANDLE_SHORT_LABEL</t>
  </si>
  <si>
    <t>SHS_HANDLE_LONG_LABEL</t>
  </si>
  <si>
    <t>SHS_HANDLE_CONSTANT_NAME</t>
  </si>
  <si>
    <t>Description</t>
  </si>
  <si>
    <t>Symbol Name</t>
  </si>
  <si>
    <t>typedef enum _SHS_HANDLE_LABELS</t>
  </si>
  <si>
    <t>} SHS_HANDLE_LABELS ;</t>
  </si>
  <si>
    <t>Name Len</t>
  </si>
  <si>
    <t>Longest Label Symbol</t>
  </si>
  <si>
    <t>#define IDS_STANDARD_HANDLE_CONSTANT_NAME_STDOUT 10</t>
  </si>
  <si>
    <t>#define IDS_STANDARD_HANDLE_CONSTANT_NAME_STDERR 11</t>
  </si>
  <si>
    <t>#define IDS_STANDARD_HANDLE_CONSTANT_NAME_STDIN   9</t>
  </si>
  <si>
    <t>#define IDS_LONG_LABEL_STDERR                     8</t>
  </si>
  <si>
    <t>#define IDS_LONG_LABEL_STDOUT                     7</t>
  </si>
  <si>
    <t>#define IDS_LONG_LABEL_STDIN                      6</t>
  </si>
  <si>
    <t>#define IDS_SHORT_LABEL_STDERR                    5</t>
  </si>
  <si>
    <t>#define IDS_SHORT_LABEL_STDOUT                    4</t>
  </si>
  <si>
    <t>#define IDS_SHORT_LABEL_STDIN                     3</t>
  </si>
  <si>
    <t>#define IDS_BELL_PROMPT_TEMPLATE_WW               3</t>
  </si>
  <si>
    <t>#define IDS_PROMPT_TEMPLATE_WW                    2</t>
  </si>
  <si>
    <t>#define IDS_DEFAULT_PROMPT_WW                     1</t>
  </si>
  <si>
    <t>IDS_DEFAULT_PROMPT_WW</t>
  </si>
  <si>
    <t>IDS_PROMPT_TEMPLATE_WW</t>
  </si>
  <si>
    <t>IDS_BELL_PROMPT_TEMPLATE_WW</t>
  </si>
  <si>
    <t>IDS_SHORT_LABEL_STDIN</t>
  </si>
  <si>
    <t>IDS_SHORT_LABEL_STDOUT</t>
  </si>
  <si>
    <t>IDS_SHORT_LABEL_STDERR</t>
  </si>
  <si>
    <t>IDS_LONG_LABEL_STDIN</t>
  </si>
  <si>
    <t>IDS_LONG_LABEL_STDOUT</t>
  </si>
  <si>
    <t>IDS_LONG_LABEL_STDERR</t>
  </si>
  <si>
    <t>IDS_STANDARD_HANDLE_CONSTANT_NAME_STDIN</t>
  </si>
  <si>
    <t>IDS_STANDARD_HANDLE_CONSTANT_NAME_STDOUT</t>
  </si>
  <si>
    <t>IDS_STANDARD_HANDLE_CONSTANT_NAME_STDERR</t>
  </si>
  <si>
    <t>resource.h</t>
  </si>
  <si>
    <t>Syumbolic Name</t>
  </si>
  <si>
    <t>WWConAid.RC</t>
  </si>
  <si>
    <t xml:space="preserve">    IDS_STANDARD_HANDLE_CONSTANT_NAME_STDIN "SHS_STDIN (1)"</t>
  </si>
  <si>
    <t xml:space="preserve">    IDS_STANDARD_HANDLE_CONSTANT_NAME_STDOUT "SHS_STDOUT (2)"</t>
  </si>
  <si>
    <t xml:space="preserve">    IDS_STANDARD_HANDLE_CONSTANT_NAME_STDERR "SHS_STERR (3)"</t>
  </si>
  <si>
    <t xml:space="preserve">    IDS_LONG_LABEL_STDERR                   "Standard Error"</t>
  </si>
  <si>
    <t xml:space="preserve">    IDS_LONG_LABEL_STDOUT                   "Standard Output"</t>
  </si>
  <si>
    <t xml:space="preserve">    IDS_LONG_LABEL_STDIN                    "Standard Input"</t>
  </si>
  <si>
    <t xml:space="preserve">    IDS_SHORT_LABEL_STDERR                  "STDERR"</t>
  </si>
  <si>
    <t xml:space="preserve">    IDS_SHORT_LABEL_STDOUT                  "STDOUT"</t>
  </si>
  <si>
    <t xml:space="preserve">    IDS_SHORT_LABEL_STDIN                   "STDIN"</t>
  </si>
  <si>
    <t xml:space="preserve">    IDS_PROMPT_TEMPLATE_WW                  "\n%s\n"</t>
  </si>
  <si>
    <t xml:space="preserve">    IDS_DEFAULT_PROMPT_WW                   "Please press RETURN when ready."</t>
  </si>
  <si>
    <t>"Please press RETURN when ready."</t>
  </si>
  <si>
    <t>"\n%s\n"</t>
  </si>
  <si>
    <t>"STDIN"</t>
  </si>
  <si>
    <t>"STDOUT"</t>
  </si>
  <si>
    <t>"STDERR"</t>
  </si>
  <si>
    <t>"Standard Input"</t>
  </si>
  <si>
    <t>"Standard Output"</t>
  </si>
  <si>
    <t>"Standard Error"</t>
  </si>
  <si>
    <t>"SHS_STDIN (1)"</t>
  </si>
  <si>
    <t>"SHS_STDOUT (2)"</t>
  </si>
  <si>
    <t>"SHS_STERR (3)"</t>
  </si>
  <si>
    <t>Resource ID</t>
  </si>
  <si>
    <t>String Value, Quotes &amp; All</t>
  </si>
  <si>
    <t>Absolute Values</t>
  </si>
  <si>
    <t>Source Code</t>
  </si>
  <si>
    <t>Formula</t>
  </si>
  <si>
    <t>SHS_ENUMERATION_LABEL_BASE</t>
  </si>
  <si>
    <t>SHS_LONG_LABEL_BASE</t>
  </si>
  <si>
    <t>SHS_SHORT_LABEL_BASE</t>
  </si>
  <si>
    <t>Constant Name</t>
  </si>
  <si>
    <t>Constant Definition</t>
  </si>
  <si>
    <t>WWConAid Standard Handles</t>
  </si>
  <si>
    <t>WWConAid Strings</t>
  </si>
  <si>
    <t>Column D</t>
  </si>
  <si>
    <t>ShSStdIn</t>
  </si>
  <si>
    <t>ShsStdOut</t>
  </si>
  <si>
    <t>ShsStdEror</t>
  </si>
  <si>
    <t>Tentative</t>
  </si>
  <si>
    <t>Final</t>
  </si>
  <si>
    <t xml:space="preserve">An System.IO.IOException exception was caught in routine Main:                 Message          = The process cannot access the file because it is being used by another process.                 Exception Method = Void WinIOError(Int32, System.String)                 Exception Source = mscorlib    Stack Trace Begin:     at System.IO.__Error.WinIOError(Int32 errorCode, String maybeFullPath)     at System.IO.__Error.WinIOError()     at System.IO.File.Move(String sourceFileName, String destFileName)     at Date2FN.FileNameSuffixEngine.Rename()     at Date2FN.FileNameSuffixEngine.Rename(Boolean pfApplyReadOnlyFlag)     at Date2FN.Program.Main(String[] args)  End of Stack Trace         There are no further exceptions to report.    </t>
  </si>
  <si>
    <t xml:space="preserve">RedirectedStreamTester EOJ  Running time = 00:00:00.8084020  </t>
  </si>
  <si>
    <t xml:space="preserve">  State of the file system at at shutdown      STDOUT File: Quualified Name   = C:\Users\DAVE\Documents\Visual Studio 2013\Projects\WizardWrx_Libs\DLLServices2\Redirected_Streams\STDOUT.TXT                   File Exists       = True                   Reported Size     = 649                   Created Time      = 2015/07/08 21:03:32                   Last Write Time   = 2015/07/14 00:21:40                   Last Access Time  = 2015/07/14 00:21:40    </t>
  </si>
  <si>
    <t xml:space="preserve">  State of the file system at at startup      STDOUT File: Quualified Name   = C:\Users\DAVE\Documents\Visual Studio 2013\Projects\WizardWrx_Libs\DLLServices2\Redirected_Streams\STDOUT.TXT                   File Exists       = True                   Reported Size     = 649                   Created Time      = 2015/07/08 21:03:32                   Last Write Time   = 2015/07/14 00:21:40                   Last Access Time  = 2015/07/14 00:21:40    </t>
  </si>
  <si>
    <t xml:space="preserve">Run Parameters:      Working Directory              = C:\Users\DAVE\Documents\Visual Studio 2013\Projects\WizardWrx_Libs\DLLServices2\Redirected_StreamsC:\Users\DAVE\Documents\Visual Studio 2013\Projects\WizardWrx_Libs\DLLServices2\Redirected_Streams      STDOUT State, per Command Line = Redirected to STDOUT.TXT      STDIN State, per Command Line  = D      STDERR State, per Command Line = D      STDOUT State, per .NET BCL     = Directed to the default stream (the console).      STDIN State, per .NET BCL      = Redirected to a file      STDERR State, per .NET BCL     = Directed to the default stream (the console).    </t>
  </si>
  <si>
    <t xml:space="preserve">    Assembly ImageRuntimeVersion   = v4.0.30319    </t>
  </si>
  <si>
    <t xml:space="preserve">RedirectedStreamTester, version 5.5.0.0 BOJ  2015-07-13 19:21:40.822 (2015-07-14 00:21:40.822 UTC)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</si>
  <si>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STDOUT State, per .NET BCL     = Redirected to a file      STDIN State, per .NET BCL      = Directed to the default stream (the console).      STDERR State, per .NET BCL     = Directed to the default stream (the console).    </t>
  </si>
  <si>
    <t xml:space="preserve">RedirectedStreamTester, version 5.5.0.0 BOJ  2015-07-13 19:20:25.490 (2015-07-14 00:20:25.490 UTC)  </t>
  </si>
  <si>
    <t xml:space="preserve">RedirectedStreamTester, version 5.5.0.0 BOJ  2015-07-13 19:20:22.101 (2015-07-14 00:20:22.101 UTC)  </t>
  </si>
  <si>
    <t xml:space="preserve">RedirectedStreamTester EOJ  Running time = 00:00:01.7532037  </t>
  </si>
  <si>
    <t xml:space="preserve">  State of the file system at at shutdown      STDERR File: Quualified Name   = C:\Users\DAVE\Documents\Visual Studio 2013\Projects\WizardWrx_Libs\DLLServices2\Redirected_Streams\STDERR.TXT                   File Exists       = True                   Reported Size     = 161                   Created Time      = 2015/07/08 21:03:32                   Last Write Time   = 2015/07/14 00:18:46                   Last Access Time  = 2015/07/14 00:18:46    </t>
  </si>
  <si>
    <t xml:space="preserve">  State of the file system at at startup      STDERR File: Quualified Name   = C:\Users\DAVE\Documents\Visual Studio 2013\Projects\WizardWrx_Libs\DLLServices2\Redirected_Streams\STDERR.TXT                   File Exists       = True                   Reported Size     = 0                   Created Time      = 2015/07/08 21:03:32                   Last Write Time   = 2015/07/14 00:18:46                   Last Access Time  = 2015/07/14 00:18:46    </t>
  </si>
  <si>
    <t xml:space="preserve">RedirectedStreamTester, version 5.5.0.0 BOJ  2015-07-13 19:18:46.650 (2015-07-14 00:18:46.650 UTC)  </t>
  </si>
  <si>
    <t xml:space="preserve">RedirectedStreamTester EOJ  Running time = 00:00:15.8312285  </t>
  </si>
  <si>
    <t xml:space="preserve">RedirectedStreamTester, version 5.5.0.0 BOJ  2015-07-13 19:15:50.586 (2015-07-14 00:15:50.586 UTC)  </t>
  </si>
  <si>
    <t xml:space="preserve">RedirectedStreamTester EOJ  Running time = 00:00:25.3164480  </t>
  </si>
  <si>
    <t xml:space="preserve">RedirectedStreamTester, version 5.5.0.0 BOJ  2015-07-13 19:13:09.498 (2015-07-14 00:13:09.498 UTC)  </t>
  </si>
  <si>
    <t xml:space="preserve">RedirectedStreamTester, version 5.5.0.0 BOJ  2015-07-13 19:12:15.470 (2015-07-14 00:12:15.470 UTC)  </t>
  </si>
  <si>
    <t xml:space="preserve">RedirectedStreamTester, version 5.5.0.0 BOJ  2015-07-13 19:10:17.289 (2015-07-14 00:10:17.289 UTC)  </t>
  </si>
  <si>
    <t xml:space="preserve">RedirectedStreamTester, version 5.5.0.0 BOJ  2015-07-13 19:09:18.186 (2015-07-14 00:09:18.186 UTC)  </t>
  </si>
  <si>
    <t xml:space="preserve">RedirectedStreamTester, version 5.5.0.0 BOJ  2015-07-13 19:03:50.177 (2015-07-14 00:03:50.177 UTC)  </t>
  </si>
  <si>
    <t xml:space="preserve">RedirectedStreamTester, version 5.5.0.0 BOJ  2015-07-13 19:03:17.601 (2015-07-14 00:03:17.601 UTC)  </t>
  </si>
  <si>
    <t xml:space="preserve">RedirectedStreamTester, version 5.5.0.0 BOJ  2015-07-13 18:59:56.222 (2015-07-13 23:59:56.222 UTC)  </t>
  </si>
  <si>
    <t xml:space="preserve">RedirectedStreamTester EOJ  Running time = 00:00:19.5101159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</si>
  <si>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STDOUT State, per .NET BCL     = UNKNOWNDirected to the default stream (the console).    STDIN State, per .NET BCL      = UNKNOWNDirected to the default stream (the console).    STDERR State, per .NET BCL     = UNKNOWNDirected to the default stream (the console).  </t>
  </si>
  <si>
    <t xml:space="preserve">RedirectedStreamTester, version 5.5.0.0 BOJ  2015-07-13 18:59:24.152 (2015-07-13 23:59:24.152 UTC)  </t>
  </si>
  <si>
    <t xml:space="preserve">RedirectedStreamTester EOJ  Running time = 00:00:07.3424200  </t>
  </si>
  <si>
    <t xml:space="preserve">RedirectedStreamTester, version 5.5.0.0 BOJ  2015-07-13 18:54:56.800 (2015-07-13 23:54:56.800 UTC)  </t>
  </si>
  <si>
    <t xml:space="preserve">RedirectedStreamTester EOJ  Running time = 00:00:36.7020993  </t>
  </si>
  <si>
    <t xml:space="preserve">Run Parameters:      Working Directory              = C:\Users\DAVE\Documents\Visual Studio 2013\Projects\WizardWrx_Libs\DLLServices2\Redirected_StreamsC:\Users\DAVE\Documents\Visual Studio 2013\Projects\WizardWrx_Libs\DLLServices2\Redirected_Streams      STDOUT State, per Command Line = D      STDIN State, per Command Line  = Redirected to STDIN.TXT      STDERR State, per Command Line = D      STDOUT State, per .NET BCL     = UNKNOWN      STDIN State, per .NET BCL      = UNKNOWN      STDERR State, per .NET BCL     = UNKNOWN    </t>
  </si>
  <si>
    <t xml:space="preserve">RedirectedStreamTester, version 5.5.0.0 BOJ  2015-07-13 17:27:36.711 (2015-07-13 22:27:36.711 UTC)  </t>
  </si>
  <si>
    <t xml:space="preserve">RedirectedStreamTester EOJ  Running time = 00:11:40.9331774  </t>
  </si>
  <si>
    <t xml:space="preserve">RedirectedStreamTester, version 5.5.0.0 BOJ  2015-07-13 17:10:24.905 (2015-07-13 22:10:24.905 UTC)  </t>
  </si>
  <si>
    <t xml:space="preserve">RedirectedStreamTester EOJ  Running time = 00:00:22.4972403  </t>
  </si>
  <si>
    <t xml:space="preserve">RedirectedStreamTester, version 5.5.0.0 BOJ  2015-07-13 17:05:12.643 (2015-07-13 22:05:12.643 UTC)  </t>
  </si>
  <si>
    <t>PE Name</t>
  </si>
  <si>
    <t>Date2FN.exe</t>
  </si>
  <si>
    <t>RedirectedStreamTester.exe</t>
  </si>
  <si>
    <t>Const SW_AR_SHORTCUTFILE    =  0</t>
  </si>
  <si>
    <t>Const SW_AR_SHORTCUTTARG    =  1</t>
  </si>
  <si>
    <t>Const SW_AR_SHORTCUTWDIR    =  2</t>
  </si>
  <si>
    <t>Const SW_AR_SHORTCUTARGS    =  3</t>
  </si>
  <si>
    <t>asArgInfo Row Index Constant</t>
  </si>
  <si>
    <t>VBScript Definition</t>
  </si>
  <si>
    <t>Dec.</t>
  </si>
  <si>
    <t>Hex.</t>
  </si>
  <si>
    <t>Binary</t>
  </si>
  <si>
    <t>Value State Flag</t>
  </si>
  <si>
    <t>HAVE_ARG_REQUIRED_ALL</t>
  </si>
  <si>
    <t>HAVE_ARG_ALL_PERIOD</t>
  </si>
  <si>
    <t>ENIGMA Application Events 7</t>
  </si>
  <si>
    <t>WWLogger SxS Event Log 7</t>
  </si>
  <si>
    <t>asArgInfo</t>
  </si>
  <si>
    <t>Scripts Directory name</t>
  </si>
  <si>
    <t>C:\Users\DAVE\Documents\Visual Studio 2013\Projects\WizardWrx_Libs\DLLServices2\scripts</t>
  </si>
  <si>
    <t>RedirectionDrills_NONE.lnk</t>
  </si>
  <si>
    <t>RedirectionDrills_STDERR.lnk</t>
  </si>
  <si>
    <t>RedirectionDrills_STDIN.lnk</t>
  </si>
  <si>
    <t>RedirectionDrills_STDOUT.lnk</t>
  </si>
  <si>
    <t>Local Name</t>
  </si>
  <si>
    <t>Absolute Name</t>
  </si>
  <si>
    <t>OUT</t>
  </si>
  <si>
    <t>IN</t>
  </si>
  <si>
    <t>ERR</t>
  </si>
  <si>
    <t>NONE</t>
  </si>
  <si>
    <t>-f</t>
  </si>
  <si>
    <t>Shortcut</t>
  </si>
  <si>
    <t>Target</t>
  </si>
  <si>
    <t>-t</t>
  </si>
  <si>
    <t>WorkindDir</t>
  </si>
  <si>
    <t>-w</t>
  </si>
  <si>
    <t>-a</t>
  </si>
  <si>
    <t>C:\Users\DAVE\Documents\Visual Studio 2013\Projects\WizardWrx_Libs\DLLServices2\scripts\StandardHandlesLabDrills.CMD</t>
  </si>
  <si>
    <t>Argument</t>
  </si>
  <si>
    <t>Current Desktop Shortcuts</t>
  </si>
  <si>
    <t>New Desktop Shortcuts</t>
  </si>
  <si>
    <t>cscript C:\bin\MakeShortcut.vbs</t>
  </si>
  <si>
    <t>Shortcut Maker Command</t>
  </si>
  <si>
    <t>-</t>
  </si>
  <si>
    <t>Me</t>
  </si>
  <si>
    <t>{...}</t>
  </si>
  <si>
    <t>Object</t>
  </si>
  <si>
    <t>+</t>
  </si>
  <si>
    <t>[Methods]</t>
  </si>
  <si>
    <t>ARGS_NONE</t>
  </si>
  <si>
    <t>&amp;H0</t>
  </si>
  <si>
    <t>Integer</t>
  </si>
  <si>
    <t>ARRAY_FIRST_ELEMENT</t>
  </si>
  <si>
    <t>ARRAY_INDEX_FROM_ORD</t>
  </si>
  <si>
    <t>&amp;HFFFF</t>
  </si>
  <si>
    <t>ARRAY_INVALID_ELEMENT</t>
  </si>
  <si>
    <t>ARRAY_NEXT_ELEMENT</t>
  </si>
  <si>
    <t>&amp;H1</t>
  </si>
  <si>
    <t>ARRAY_ORD_FROM_INDEX</t>
  </si>
  <si>
    <t>Array of Variant</t>
  </si>
  <si>
    <t>f</t>
  </si>
  <si>
    <t>String</t>
  </si>
  <si>
    <t>Shortcut File Name</t>
  </si>
  <si>
    <t>t</t>
  </si>
  <si>
    <t xml:space="preserve">Shortcut Target   </t>
  </si>
  <si>
    <t>&amp;H2</t>
  </si>
  <si>
    <t>w</t>
  </si>
  <si>
    <t xml:space="preserve">Working Directory </t>
  </si>
  <si>
    <t>&amp;H4</t>
  </si>
  <si>
    <t>a</t>
  </si>
  <si>
    <t xml:space="preserve">Program Arguments </t>
  </si>
  <si>
    <t>&amp;H8</t>
  </si>
  <si>
    <t>COPYRIGHT_MSG</t>
  </si>
  <si>
    <t>Copyright (C) 2015, David A. Gray. All rights reserved world wide.</t>
  </si>
  <si>
    <t>DEBUG_MODE</t>
  </si>
  <si>
    <t>Boolean</t>
  </si>
  <si>
    <t>EMPTY_STRING_LENGTH</t>
  </si>
  <si>
    <t>ERROR_NEEDS_CSCRIPT</t>
  </si>
  <si>
    <t>ERROR_NO_ARGS</t>
  </si>
  <si>
    <t>ERROR_SUCCESS</t>
  </si>
  <si>
    <t>&amp;HF</t>
  </si>
  <si>
    <t>HAVE_ARG_NONE</t>
  </si>
  <si>
    <t>&amp;H3</t>
  </si>
  <si>
    <t>HAVE_ARG_SHORTCUTARGS</t>
  </si>
  <si>
    <t>HAVE_ARG_SHORTCUTFILE</t>
  </si>
  <si>
    <t>HAVE_ARG_SHORTCUTTARG</t>
  </si>
  <si>
    <t>HAVE_ARG_SHORTCUTWDIR</t>
  </si>
  <si>
    <t>iArgCurrMask</t>
  </si>
  <si>
    <t>iArgIndex</t>
  </si>
  <si>
    <t>Long</t>
  </si>
  <si>
    <t>iArgLast</t>
  </si>
  <si>
    <t>iArgStateFlags</t>
  </si>
  <si>
    <t>iLastADR</t>
  </si>
  <si>
    <t>Empty</t>
  </si>
  <si>
    <t>User-defined Type</t>
  </si>
  <si>
    <t>iNBadArgs</t>
  </si>
  <si>
    <t>INTEGER_ZERO</t>
  </si>
  <si>
    <t>intExitCode</t>
  </si>
  <si>
    <t>MINUS_ONE</t>
  </si>
  <si>
    <t>oArgs</t>
  </si>
  <si>
    <t>oLink</t>
  </si>
  <si>
    <t>oWS</t>
  </si>
  <si>
    <t>PLUS_ONE</t>
  </si>
  <si>
    <t>SCRIPT_VERSION</t>
  </si>
  <si>
    <t>strMsg</t>
  </si>
  <si>
    <t>SW_AC_LABEL</t>
  </si>
  <si>
    <t>SW_AC_NAME</t>
  </si>
  <si>
    <t>SW_AC_PRESENT_BIT</t>
  </si>
  <si>
    <t>SW_AC_VALUE</t>
  </si>
  <si>
    <t>SW_AF_SHORTCUTARGS</t>
  </si>
  <si>
    <t>SW_AF_SHORTCUTFILE</t>
  </si>
  <si>
    <t>SW_AF_SHORTCUTTARG</t>
  </si>
  <si>
    <t>SW_AF_SHORTCUTWDIR</t>
  </si>
  <si>
    <t>SW_AL_SHORTCUTARGS</t>
  </si>
  <si>
    <t>SW_AL_SHORTCUTFILE</t>
  </si>
  <si>
    <t>SW_AL_SHORTCUTTARG</t>
  </si>
  <si>
    <t>SW_AL_SHORTCUTWDIR</t>
  </si>
  <si>
    <t>SW_AR_SHORTCUTARGS</t>
  </si>
  <si>
    <t>SW_AR_SHORTCUTFILE</t>
  </si>
  <si>
    <t>SW_AR_SHORTCUTTARG</t>
  </si>
  <si>
    <t>SW_AR_SHORTCUTWDIR</t>
  </si>
  <si>
    <t>SW_UB_COLUMNS</t>
  </si>
  <si>
    <t>SW_UB_MAX_COLS</t>
  </si>
  <si>
    <t>SW_UB_ROWS</t>
  </si>
  <si>
    <t>WScript</t>
  </si>
  <si>
    <t>length</t>
  </si>
  <si>
    <t>Named</t>
  </si>
  <si>
    <t>Unnamed</t>
  </si>
  <si>
    <t>BuildVersion</t>
  </si>
  <si>
    <t>&amp;H476B</t>
  </si>
  <si>
    <t>FullName</t>
  </si>
  <si>
    <t>C:\\Windows\\system32\\cscript.exe</t>
  </si>
  <si>
    <t>Interactive</t>
  </si>
  <si>
    <t>Windows Script Host</t>
  </si>
  <si>
    <t>Path</t>
  </si>
  <si>
    <t>C:\\Windows\\system32</t>
  </si>
  <si>
    <t>ScriptFullName</t>
  </si>
  <si>
    <t>C:\\Users\\DAVE\\Documents\\Programming\\VBScript\\MakeShortcut.VBS</t>
  </si>
  <si>
    <t>ScriptName</t>
  </si>
  <si>
    <t>MakeShortcut.VBS</t>
  </si>
  <si>
    <t>StdErr</t>
  </si>
  <si>
    <t>ITextStream</t>
  </si>
  <si>
    <t>StdIn</t>
  </si>
  <si>
    <t>StdOut</t>
  </si>
  <si>
    <t>Timeout</t>
  </si>
  <si>
    <t>Version</t>
  </si>
  <si>
    <t>WSCRIPT_EXE_NM_LEN</t>
  </si>
  <si>
    <t>&amp;HB</t>
  </si>
  <si>
    <t>WSH</t>
  </si>
  <si>
    <t>ParseThisArg</t>
  </si>
  <si>
    <t>sArgName</t>
  </si>
  <si>
    <t>iLastAI</t>
  </si>
  <si>
    <t>iCurrAI</t>
  </si>
  <si>
    <t>fIsValid</t>
  </si>
  <si>
    <t>fIsSwitch</t>
  </si>
  <si>
    <t>iArgLen</t>
  </si>
  <si>
    <t>piArgCurrMask</t>
  </si>
  <si>
    <t>pasArgInfo</t>
  </si>
  <si>
    <t>More</t>
  </si>
  <si>
    <t>Level 1</t>
  </si>
  <si>
    <t>Level 2</t>
  </si>
  <si>
    <t>Level 3</t>
  </si>
  <si>
    <t>C:\\Users\\DAVE\\Documents\\Visual Studio 2013\\Projects\\WizardWrx_Libs\\DLLServices2\\scripts\\RedirectionDrills_NONE.lnk</t>
  </si>
  <si>
    <t>Initial</t>
  </si>
  <si>
    <t>Updated</t>
  </si>
  <si>
    <t>C:\\Users\\DAVE\\Documents\\Visual Studio 2013\\Projects\\WizardWrx_Libs\\DLLServices2\\scripts\\StandardHandlesLabDrills.CMD</t>
  </si>
  <si>
    <t>C:\\Users\\DAVE\\Documents\\Visual Studio 2013\\Projects\\WizardWrx_Libs\\DLLServices2\\scripts</t>
  </si>
  <si>
    <t>Complete Command Line</t>
  </si>
  <si>
    <t>Shell Script Shortcuts</t>
  </si>
  <si>
    <t>MakeShortcut Variables</t>
  </si>
  <si>
    <t>#define ERR_NO_PRODUCT_NAME_P6C     ( ERR_INITVERINFO_P6C           + 1 )</t>
  </si>
  <si>
    <t>#define ERR_NO_PRODUCT_VERSION_P6C  ( ERR_NO_PRODUCT_NAME_P6C       + 1 )</t>
  </si>
  <si>
    <t>#define ERR_NO_COPYRIGHT_P6C        ( ERR_NO_PRODUCT_VERSION_P6C    + 1 )</t>
  </si>
  <si>
    <t>#define ERR_NO_LEGAL_TRADEMARK_P6C  ( ERR_NO_COPYRIGHT_P6C          + 1 )</t>
  </si>
  <si>
    <t>#define ERR_NO_CMDLINE_ARGS_P6C     ( ERR_NO_LEGAL_TRADEMARK_P6C    + 1 )</t>
  </si>
  <si>
    <t>#define ERR_LOGMSG_MALLOC_ERROR_P6C ( ERR_NO_CMDLINE_ARGS_P6C       + 1 )</t>
  </si>
  <si>
    <t>#define ERR_LOGREC_MALLOC_ERROR_P6C ( ERR_LOGMSG_MALLOC_ERROR_P6C   + 1 )</t>
  </si>
  <si>
    <t>#define ERR_LOGMSG_APPEND_ERROR_P6C ( ERR_LOGREC_MALLOC_ERROR_P6C   + 1 )</t>
  </si>
  <si>
    <t>#define ERR_LOGREC_APPEND_ERROR_P6C ( ERR_LOGMSG_APPEND_ERROR_P6C   + 1 )</t>
  </si>
  <si>
    <t>#define ERR_CTRLKEY_HANDLER_REG_P6C ( ERR_LOGREC_APPEND_ERROR_P6C   + 1 )</t>
  </si>
  <si>
    <t>#define ERR_LOGFILE_OPEN_ERROR_P6C  ( ERR_CTRLKEY_HANDLER_REG_P6C   + 1 )</t>
  </si>
  <si>
    <t>#define ERR_LOGFILE_SIZE_ERROR_P6C  ( ERR_LOGFILE_OPEN_ERROR_P6C    + 1 )</t>
  </si>
  <si>
    <t>#define ERR_LOGFILE_SET_PTR_ERR_P6C ( ERR_LOGFILE_SIZE_ERROR_P6C    + 1 )</t>
  </si>
  <si>
    <t>#define ERR_LOGFILE_WRITE_ERROR_P6C ( ERR_LOGFILE_SET_PTR_ERR_P6C   + 1 )</t>
  </si>
  <si>
    <t>#define ERR_GET_STDIN_HANDLE_P6C    ( ERR_LOGFILE_WRITE_ERROR_P6C   + 1 )</t>
  </si>
  <si>
    <t>#define ERR_GET_STDIN_MODE_P6C      ( ERR_GET_STDIN_HANDLE_P6C      + 1 )</t>
  </si>
  <si>
    <t>#define ERR_SET_STDIN_MODE_P6C      ( ERR_GET_STDIN_MODE_P6C        + 1 )</t>
  </si>
  <si>
    <t>#define ERR_STDIN_MALLOC_ERROR_P6C  ( ERR_SET_STDIN_MODE_P6C        + 1 )</t>
  </si>
  <si>
    <t>#define ERR_HERE_DOC_INIT_P6C       ( ERR_STDIN_MALLOC_ERROR_P6C    + 1 )</t>
  </si>
  <si>
    <t>#define ERR_STDIN_READ_ERROR_P6C    ( ERR_HERE_DOC_INIT_P6C         + 1 )</t>
  </si>
  <si>
    <t>#define ERR_HEAP_CORRUPTED_P6C      ( ERR_STDIN_READ_ERROR_P6C      + 1 )</t>
  </si>
  <si>
    <t>#define ERR_HEREDOC_INTERNAL_1_P6C  ( ERR_HEAP_CORRUPTED_P6C        + 1 )</t>
  </si>
  <si>
    <t>#define ERR_HEREDOC_INTERNAL_2_P6C  ( ERR_HEREDOC_INTERNAL_1_P6C    + 1 )</t>
  </si>
  <si>
    <t>#define ERR_HEREDOC_INTERNAL_3_P6C  ( ERR_HEREDOC_INTERNAL_2_P6C    + 1 )</t>
  </si>
  <si>
    <t>#define ERR_LOGFILE_CLOSE_ERROR_P6C ( ERR_HEREDOC_INTERNAL_3_P6C    + 1 )</t>
  </si>
  <si>
    <t>#define ERR_LOGFILE_TOO_BUSY_P6C    ( ERR_LOGFILE_CLOSE_ERROR_P6C   + 1 )</t>
  </si>
  <si>
    <t>ERR_NO_PRODUCT_NAME_P6C</t>
  </si>
  <si>
    <t>ERR_INITVERINFO_P6C</t>
  </si>
  <si>
    <t>ERR_NO_PRODUCT_VERSION_P6C</t>
  </si>
  <si>
    <t>ERR_NO_COPYRIGHT_P6C</t>
  </si>
  <si>
    <t>ERR_NO_LEGAL_TRADEMARK_P6C</t>
  </si>
  <si>
    <t>ERR_NO_CMDLINE_ARGS_P6C</t>
  </si>
  <si>
    <t>ERR_LOGMSG_MALLOC_ERROR_P6C</t>
  </si>
  <si>
    <t>ERR_LOGREC_MALLOC_ERROR_P6C</t>
  </si>
  <si>
    <t>ERR_LOGMSG_APPEND_ERROR_P6C</t>
  </si>
  <si>
    <t>ERR_LOGREC_APPEND_ERROR_P6C</t>
  </si>
  <si>
    <t>ERR_CTRLKEY_HANDLER_REG_P6C</t>
  </si>
  <si>
    <t>ERR_LOGFILE_OPEN_ERROR_P6C</t>
  </si>
  <si>
    <t>ERR_LOGFILE_SIZE_ERROR_P6C</t>
  </si>
  <si>
    <t>ERR_LOGFILE_SET_PTR_ERR_P6C</t>
  </si>
  <si>
    <t>ERR_LOGFILE_WRITE_ERROR_P6C</t>
  </si>
  <si>
    <t>ERR_GET_STDIN_HANDLE_P6C</t>
  </si>
  <si>
    <t>ERR_GET_STDIN_MODE_P6C</t>
  </si>
  <si>
    <t>ERR_SET_STDIN_MODE_P6C</t>
  </si>
  <si>
    <t>ERR_STDIN_MALLOC_ERROR_P6C</t>
  </si>
  <si>
    <t>ERR_HERE_DOC_INIT_P6C</t>
  </si>
  <si>
    <t>ERR_STDIN_READ_ERROR_P6C</t>
  </si>
  <si>
    <t>ERR_HEAP_CORRUPTED_P6C</t>
  </si>
  <si>
    <t>ERR_HEREDOC_INTERNAL_1_P6C</t>
  </si>
  <si>
    <t>ERR_HEREDOC_INTERNAL_2_P6C</t>
  </si>
  <si>
    <t>ERR_HEREDOC_INTERNAL_3_P6C</t>
  </si>
  <si>
    <t>ERR_LOGFILE_CLOSE_ERROR_P6C</t>
  </si>
  <si>
    <t>ERR_LOGFILE_TOO_BUSY_P6C</t>
  </si>
  <si>
    <t>#define ERR_INITVERINFO_P6C         0x00000001L</t>
  </si>
  <si>
    <t>0x00000001L</t>
  </si>
  <si>
    <t>Definit9ion, per WWLogger.H</t>
  </si>
  <si>
    <t>Symbol</t>
  </si>
  <si>
    <t>Base</t>
  </si>
  <si>
    <t>Add</t>
  </si>
  <si>
    <t>WWLOGGER Status Codes</t>
  </si>
  <si>
    <t>#define WFCU_ERRMSG_MISSING_PROMPT_TEMPLATE _T ( "Error loading default prompt message template." )</t>
  </si>
  <si>
    <t>#define WFCU_ERRMSG_MISSING_DEFAULT_PROMPT  _T ( "Error loading default prompt text." )</t>
  </si>
  <si>
    <t>#define WFCU_ERRMSG_GETSTDHANDLE            _T ( "Error reported by Windows API function GetStdHandle" )</t>
  </si>
  <si>
    <t>#define WFCU_ERRMSG_OUT_OF_MEMORY           _T ( "\nOut of memory\n\a\n" )</t>
  </si>
  <si>
    <t>#define WFCU_ERRMSG_WRITE_CONSOLE           _T ( "Error reported by Windows API function WriteConsole" )</t>
  </si>
  <si>
    <t>#define WFCU_ERRMSG_HEAP_CORRUPTED          _T ( "Error reported by Windows API function HeapFree" )</t>
  </si>
  <si>
    <t>#define WFCU_ERRMSG_BEEP                    _T ( "Error reported by Windows API function Beep" )</t>
  </si>
  <si>
    <t>String literals baked into code via WaitForCarbonUnit_Pvt.H</t>
  </si>
  <si>
    <t>String Resource Symbol Name</t>
  </si>
  <si>
    <t>sprintf</t>
  </si>
  <si>
    <t>lpSprintFWork</t>
  </si>
  <si>
    <t>FB_FIRST_BUFFER_INDEX</t>
  </si>
  <si>
    <t>Data</t>
  </si>
  <si>
    <t>Current Constant</t>
  </si>
  <si>
    <t>LoadString</t>
  </si>
  <si>
    <t>lppromptTpl</t>
  </si>
  <si>
    <t>lpPromptMsg</t>
  </si>
  <si>
    <t>_tprintf, when !lpPromptMsg</t>
  </si>
  <si>
    <t>WFCU_SPRINTF_BUFFER</t>
  </si>
  <si>
    <t>Definition</t>
  </si>
  <si>
    <t>C++ Code</t>
  </si>
  <si>
    <t>WFCU_PROMPT_TEMPLATE_BUFFER</t>
  </si>
  <si>
    <t>WFCU_PROMPT_MESSAGE_BUFFER</t>
  </si>
  <si>
    <t>WFCU_ERROR_MESSAGE_BUFFER</t>
  </si>
  <si>
    <t>Revised Constant, Defined in WaitForCarbonUnit_Pvt.H</t>
  </si>
  <si>
    <t>Fixed</t>
  </si>
  <si>
    <t>#ifndef __HEREDOC_STATUS_CODES_WW__</t>
  </si>
  <si>
    <t>#define __HEREDOC_STATUS_CODES_WW__</t>
  </si>
  <si>
    <t>#define HEREDOC_STRUCTURE_INVALID_WW    ( 0x00000001L | APPLICATION_ERROR_MASK )</t>
  </si>
  <si>
    <t>#define HEREDOC_NULL_INPUT_REC_WW       ( 0x00000002L | APPLICATION_ERROR_MASK )</t>
  </si>
  <si>
    <t>#define HEREDOC_INVALID_STATE_WW        ( 0x00000004L | APPLICATION_ERROR_MASK )</t>
  </si>
  <si>
    <t>#define HEREDOC_NO_BEGIN_SIGNAL_WW      ( 0x00000008L | APPLICATION_ERROR_MASK )</t>
  </si>
  <si>
    <t>#define HEREDOC_ALREADY_OPEN_WW         ( 0x00000010L | APPLICATION_ERROR_MASK )</t>
  </si>
  <si>
    <t>#define HEREDOC_END_OF_DOC_WW           ( 0x00000020L | APPLICATION_ERROR_MASK )</t>
  </si>
  <si>
    <t>#define HEREDOC_NOT_YET_OPEN_WW         ( 0x00000040L | APPLICATION_ERROR_MASK )</t>
  </si>
  <si>
    <t>#define HEREDOC_ALREADY_CLOSED_WW       ( 0x00000080L | APPLICATION_ERROR_MASK )</t>
  </si>
  <si>
    <t>#define HEREDOC_MALLOC_ERROR_WW         ( 0x00000100L | APPLICATION_ERROR_MASK )</t>
  </si>
  <si>
    <t>#endif  /*  #ifndef __HEREDOC_STATUS_CODES_WW__ */</t>
  </si>
  <si>
    <t>HEREDOC_STRUCTURE_INVALID_WW</t>
  </si>
  <si>
    <t>APPLICATION_ERROR_MASK</t>
  </si>
  <si>
    <t>HEREDOC_NULL_INPUT_REC_WW</t>
  </si>
  <si>
    <t>0x00000002L</t>
  </si>
  <si>
    <t>HEREDOC_INVALID_STATE_WW</t>
  </si>
  <si>
    <t>0x00000004L</t>
  </si>
  <si>
    <t>HEREDOC_NO_BEGIN_SIGNAL_WW</t>
  </si>
  <si>
    <t>0x00000008L</t>
  </si>
  <si>
    <t>HEREDOC_ALREADY_OPEN_WW</t>
  </si>
  <si>
    <t>0x00000010L</t>
  </si>
  <si>
    <t>HEREDOC_END_OF_DOC_WW</t>
  </si>
  <si>
    <t>0x00000020L</t>
  </si>
  <si>
    <t>HEREDOC_NOT_YET_OPEN_WW</t>
  </si>
  <si>
    <t>0x00000040L</t>
  </si>
  <si>
    <t>HEREDOC_ALREADY_CLOSED_WW</t>
  </si>
  <si>
    <t>0x00000080L</t>
  </si>
  <si>
    <t>HEREDOC_MALLOC_ERROR_WW</t>
  </si>
  <si>
    <t>0x00000100L</t>
  </si>
  <si>
    <t>0x20000000L</t>
  </si>
  <si>
    <t>Constant Macro Definitions from HereDocs_WW.H</t>
  </si>
  <si>
    <t>Baked Strings to Resources</t>
  </si>
  <si>
    <t>WaitForCarbonUnit Buffer Usage</t>
  </si>
  <si>
    <t>HereDocs Exception Codes</t>
  </si>
  <si>
    <t>typedef enum _WWCA_TS_TESTS</t>
  </si>
  <si>
    <t>} WWCA_TS_TESTS ;</t>
  </si>
  <si>
    <t>WWCA_TS_TESTS, per WWConAid_TestStand.h</t>
  </si>
  <si>
    <t xml:space="preserve">    WWCA_TS_ALL = 0 ,</t>
  </si>
  <si>
    <t xml:space="preserve">    WWCA_TS_BEEPERS = 1 ,</t>
  </si>
  <si>
    <t xml:space="preserve">    WWCA_TS_ENCODINGS = 2 ,</t>
  </si>
  <si>
    <t xml:space="preserve">    WWCA_TS_HEREDOCS = 3 ,</t>
  </si>
  <si>
    <t xml:space="preserve">    WWCA_TS_REDIRECIONS = 4</t>
  </si>
  <si>
    <t xml:space="preserve">WWCA_TS_ALL </t>
  </si>
  <si>
    <t xml:space="preserve">WWCA_TS_BEEPERS </t>
  </si>
  <si>
    <t xml:space="preserve">WWCA_TS_ENCODINGS </t>
  </si>
  <si>
    <t xml:space="preserve">WWCA_TS_HEREDOCS </t>
  </si>
  <si>
    <t xml:space="preserve">WWCA_TS_REDIRECIONS </t>
  </si>
  <si>
    <t>String ID</t>
  </si>
  <si>
    <t>String Value</t>
  </si>
  <si>
    <t>Array Definition</t>
  </si>
  <si>
    <t>RES_STRING_ID anidValidArgs [ ] =</t>
  </si>
  <si>
    <t>} ; // anidValidArgs</t>
  </si>
  <si>
    <t>C:\Users\DAVE\Documents\Visual Studio 2013\Projects\WizardWrx_Libs\DLLServices2\_NOTES\UCResult_SpecialCharacters_Classes_20150608_225721.TXT</t>
  </si>
  <si>
    <t>C:\Users\DAVE\Documents\Visual Studio 2013\Projects\WizardWrx_Libs\DLLServices2\_NOTES\UCResult_ListInfo_Classes_20150608_225348.TXT</t>
  </si>
  <si>
    <t>C:\Users\DAVE\Documents\Visual Studio 2013\Projects\WizardWrx_Libs\DLLServices2\_NOTES\UCResult_DisplayFormats_Classes_20150609_010041.TXT</t>
  </si>
  <si>
    <t>C:\Users\DAVE\Documents\Visual Studio 2013\Projects\WizardWrx_Libs\DLLServices2\_NOTES\UCResult_CSVFileInfo_Classes_20150609_005000.TXT</t>
  </si>
  <si>
    <t>C:\Users\DAVE\Documents\Visual Studio 2013\Projects\WizardWrx_Libs\DLLServices2\_NOTES\UCResult_ArrayInfo_Classes_20150608_212828.TXT</t>
  </si>
  <si>
    <t>C:\Users\DAVE\Documents\Visual Studio 2013\Projects\WizardWrx_Libs\DLLServices2\_NOTES\StructuredQuery_REG_QWORD.REG</t>
  </si>
  <si>
    <t>C:\Users\DAVE\Documents\Visual Studio 2013\Projects\WizardWrx_Libs\DLLServices2\_NOTES\Report_20150621_174825.wer</t>
  </si>
  <si>
    <t>C:\Users\DAVE\Documents\Visual Studio 2013\Projects\WizardWrx_Libs\DLLServices2\_NOTES\Registry_Value_6_EXPAND.REG</t>
  </si>
  <si>
    <t>C:\Users\DAVE\Documents\Visual Studio 2013\Projects\WizardWrx_Libs\DLLServices2\_NOTES\Inventory_WizardWrx_DLLServices2_dll_20141013_201430.CSV</t>
  </si>
  <si>
    <t>C:\Users\DAVE\Documents\Visual Studio 2013\Projects\WizardWrx_Libs\DLLServices2\_NOTES\HotStart_REG_QWORD.REG</t>
  </si>
  <si>
    <t>C:\Users\DAVE\Documents\Visual Studio 2013\Projects\WizardWrx_Libs\DLLServices2\_NOTES\HKCU_Control_Panel_Colors_Current_20150625_070643.REG</t>
  </si>
  <si>
    <t>C:\Users\DAVE\Documents\Visual Studio 2013\Projects\WizardWrx_Libs\DLLServices2\_NOTES\Full_Color_Output_Demonstration_v5.5.DOCX</t>
  </si>
  <si>
    <t>C:\Users\DAVE\Documents\Visual Studio 2013\Projects\WizardWrx_Libs\DLLServices2\_NOTES\Full_Color_Output_Demonstration_v5.4.DOCX</t>
  </si>
  <si>
    <t>C:\Users\DAVE\Documents\Visual Studio 2013\Projects\WizardWrx_Libs\DLLServices2\_NOTES\DLLServices2TestStand_5.5_Trace_20150826_205203.LOG</t>
  </si>
  <si>
    <t>C:\Users\DAVE\Documents\Visual Studio 2013\Projects\WizardWrx_Libs\DLLServices2\_NOTES\DLLServices2TestStand_5.5_Trace.LOG</t>
  </si>
  <si>
    <t>C:\Users\DAVE\Documents\Visual Studio 2013\Projects\WizardWrx_Libs\DLLServices2\_NOTES\Development_Worksheets_5.5.XLSX</t>
  </si>
  <si>
    <t>C:\Users\DAVE\Documents\Visual Studio 2013\Projects\WizardWrx_Libs\DLLServices2\_NOTES\Development_Notes_5.8.TXT.bak</t>
  </si>
  <si>
    <t>C:\Users\DAVE\Documents\Visual Studio 2013\Projects\WizardWrx_Libs\DLLServices2\_NOTES\Development_Notes_5.8.TXT</t>
  </si>
  <si>
    <t>C:\Users\DAVE\Documents\Visual Studio 2013\Projects\WizardWrx_Libs\DLLServices2\_NOTES\Development_Notes_5.8(6).TXT</t>
  </si>
  <si>
    <t>C:\Users\DAVE\Documents\Visual Studio 2013\Projects\WizardWrx_Libs\DLLServices2\_NOTES\Development_Notes_5.8(5).TXT</t>
  </si>
  <si>
    <t>C:\Users\DAVE\Documents\Visual Studio 2013\Projects\WizardWrx_Libs\DLLServices2\_NOTES\Development_Notes_5.8(4).TXT</t>
  </si>
  <si>
    <t>C:\Users\DAVE\Documents\Visual Studio 2013\Projects\WizardWrx_Libs\DLLServices2\_NOTES\Development_Notes_5.8(3).TXT</t>
  </si>
  <si>
    <t>C:\Users\DAVE\Documents\Visual Studio 2013\Projects\WizardWrx_Libs\DLLServices2\_NOTES\Development_Notes_5.8(2).TXT</t>
  </si>
  <si>
    <t>C:\Users\DAVE\Documents\Visual Studio 2013\Projects\WizardWrx_Libs\DLLServices2\_NOTES\Development_Notes_5.8(1).TXT</t>
  </si>
  <si>
    <t>C:\Users\DAVE\Documents\Visual Studio 2013\Projects\WizardWrx_Libs\DLLServices2\_NOTES\Development_Notes_5.8(0).TXT</t>
  </si>
  <si>
    <t>C:\Users\DAVE\Documents\Visual Studio 2013\Projects\WizardWrx_Libs\DLLServices2\_NOTES\Development_Notes_5.7.TXT</t>
  </si>
  <si>
    <t>C:\Users\DAVE\Documents\Visual Studio 2013\Projects\WizardWrx_Libs\DLLServices2\_NOTES\Development_Notes_5.6.TXT</t>
  </si>
  <si>
    <t>C:\Users\DAVE\Documents\Visual Studio 2013\Projects\WizardWrx_Libs\DLLServices2\_NOTES\Development_Notes_5.5.TXT</t>
  </si>
  <si>
    <t>C:\Users\DAVE\Documents\Visual Studio 2013\Projects\WizardWrx_Libs\DLLServices2\_NOTES\Development_Notes_5.4.TXT</t>
  </si>
  <si>
    <t>C:\Users\DAVE\Documents\Visual Studio 2013\Projects\WizardWrx_Libs\DLLServices2\_NOTES\Development_Notes_5.3.TXT</t>
  </si>
  <si>
    <t>C:\Users\DAVE\Documents\Visual Studio 2013\Projects\WizardWrx_Libs\DLLServices2\_NOTES\DefaultProductID.REG</t>
  </si>
  <si>
    <t>C:\Users\DAVE\Documents\Visual Studio 2013\Projects\WizardWrx_Libs\DLLServices2\_NOTES\Central_Standard_Time_REG_BINARY.REG</t>
  </si>
  <si>
    <t>C:\Users\DAVE\Documents\Visual Studio 2013\Projects\WizardWrx_Libs\DLLServices2\_NOTES\BitwiseOperatorsCS.ZIP</t>
  </si>
  <si>
    <t>C:\Users\DAVE\Documents\Visual Studio 2013\Projects\WizardWrx_Libs\DLLServices2\_NOTES\ApplicationHelpers3_Program_20150606_223541.CS</t>
  </si>
  <si>
    <t>C:\Users\DAVE\Documents\Visual Studio 2013\Projects\WizardWrx_Libs\DLLServices2\_NOTES\ApplicationEvents_ENIGMA_20150713_193222.TXT</t>
  </si>
  <si>
    <t>C:\Users\DAVE\Documents\Visual Studio 2013\Projects\WizardWrx_Libs\DLLServices2\_NOTES\ApplicationEvents_ENIGMA_20150713_192241.TXT</t>
  </si>
  <si>
    <t>C:\Users\DAVE\Documents\Visual Studio 2013\Projects\WizardWrx_Libs\DLLServices2\_NOTES\ApplicationEvents_ENIGMA_20150708_215653.TXT</t>
  </si>
  <si>
    <t>C:\Users\DAVE\Documents\Visual Studio 2013\Projects\WizardWrx_Libs\DLLServices2\_NOTES\ApplicationEvents_ENIGMA_20150708_160335.TXT</t>
  </si>
  <si>
    <t>C:\Users\DAVE\Documents\Visual Studio 2013\Projects\WizardWrx_Libs\DLLServices2\_archive\WizardWrx.DLLServices2_5_4_174_18276.ZIPX.lnk</t>
  </si>
  <si>
    <t>C:\Users\DAVE\Documents\Visual Studio 2013\Projects\WizardWrx_Libs\DLLServices2\_archive\WizardWrx.DLLServices2_5_3_162_1712.7z.lnk</t>
  </si>
  <si>
    <t>C:\Users\DAVE\Documents\Visual Studio 2013\Projects\WizardWrx_Libs\DLLServices2\_archive\WizardWrx.DLLServices2.dll.config_ENIGMA_20150615_175944.ZIPX</t>
  </si>
  <si>
    <t>C:\Users\DAVE\Documents\Visual Studio 2013\Projects\WizardWrx_Libs\DLLServices2\_archive\WizardWrx.DLLServices2.dll.config_20140622_170304.ZIPX</t>
  </si>
  <si>
    <t>C:\Users\DAVE\Documents\Visual Studio 2013\Projects\WizardWrx_Libs\DLLServices2\_archive\Visual_Studio_2010_Source_Backups.lnk</t>
  </si>
  <si>
    <t>C:\Users\DAVE\Documents\Visual Studio 2013\Projects\WizardWrx_Libs\DLLServices2\_archive\TestStand_Debug_Trace_Logs_20150623_075606.ZIPX</t>
  </si>
  <si>
    <t>C:\Users\DAVE\Documents\Visual Studio 2013\Projects\WizardWrx_Libs\DLLServices2\_archive\TestStand_Debug_STDOUTs_20150623_074756.ZIPX</t>
  </si>
  <si>
    <t>C:\Users\DAVE\Documents\Visual Studio 2013\Projects\WizardWrx_Libs\DLLServices2\_archive\Old_Notes_20150608_213026.ZIPX</t>
  </si>
  <si>
    <t>C:\Users\DAVE\Documents\Visual Studio 2013\Projects\WizardWrx_Libs\DLLServices2\_archive\MassUpdate_20141014_020654.ZIPX</t>
  </si>
  <si>
    <t>C:\Users\DAVE\Documents\Visual Studio 2013\Projects\WizardWrx_Libs\DLLServices2\_archive\Archive_WizardWrx.DLLServices_5.3.162.1712.LOG</t>
  </si>
  <si>
    <t>C:\Users\DAVE\Documents\Visual Studio 2013\Projects\WizardWrx_Libs\DLLServices2\_archive\Archive_WizardWrx.DLLServices_5.1.159.35985.LOG</t>
  </si>
  <si>
    <t>C:\Users\DAVE\Documents\Visual Studio 2013\Projects\WizardWrx_Libs\DLLServices2\_archive\Archive_WizardWrx.DLLServices_5.1.153.41364.LOG</t>
  </si>
  <si>
    <t>C:\Users\DAVE\Documents\Visual Studio 2013\Projects\WizardWrx_Libs\DLLServices2\_archive\Archive_WizardWrx.DLLServices_5.1.141.35301.LOG</t>
  </si>
  <si>
    <t>C:\Users\DAVE\Documents\Visual Studio 2013\Projects\WizardWrx_Libs\DLLServices2\_archive\Archive_WizardWrx.DLLServices_5.0.77.1176.LOG</t>
  </si>
  <si>
    <t>C:\Users\DAVE\Documents\Visual Studio 2013\Projects\WizardWrx_Libs\DLLServices2\_archive\Archive_WizardWrx.DLLServices2_5.5.225.35562.LOG</t>
  </si>
  <si>
    <t>C:\Users\DAVE\Documents\Visual Studio 2013\Projects\WizardWrx_Libs\DLLServices2\_archive\Archive_DLLServices2.CMD</t>
  </si>
  <si>
    <t>C:\Users\DAVE\Documents\Visual Studio 2013\Projects\WizardWrx_Libs\DLLServices2\_archive\Application_Event_Logs_ENIGMA_20150623_074541.ZIPX</t>
  </si>
  <si>
    <t>C:\Users\DAVE\Documents\Visual Studio 2013\Projects\WizardWrx_Libs\DLLServices2\StandardHandlesLab\StandardHandlesLab\Debug\Standard.8E1919AC.tlog\StandardHandlesLab.lastbuildstate</t>
  </si>
  <si>
    <t>C:\Users\DAVE\Documents\Visual Studio 2013\Projects\WizardWrx_Libs\DLLServices2\StandardHandlesLab\StandardHandlesLab\Debug\Standard.8E1919AC.tlog\rc.write.1.tlog</t>
  </si>
  <si>
    <t>C:\Users\DAVE\Documents\Visual Studio 2013\Projects\WizardWrx_Libs\DLLServices2\StandardHandlesLab\StandardHandlesLab\Debug\Standard.8E1919AC.tlog\rc.read.1.tlog</t>
  </si>
  <si>
    <t>C:\Users\DAVE\Documents\Visual Studio 2013\Projects\WizardWrx_Libs\DLLServices2\StandardHandlesLab\StandardHandlesLab\Debug\Standard.8E1919AC.tlog\rc.command.1.tlog</t>
  </si>
  <si>
    <t>C:\Users\DAVE\Documents\Visual Studio 2013\Projects\WizardWrx_Libs\DLLServices2\StandardHandlesLab\StandardHandlesLab\Debug\Standard.8E1919AC.tlog\link.write.1.tlog</t>
  </si>
  <si>
    <t>C:\Users\DAVE\Documents\Visual Studio 2013\Projects\WizardWrx_Libs\DLLServices2\StandardHandlesLab\StandardHandlesLab\Debug\Standard.8E1919AC.tlog\link.read.1.tlog</t>
  </si>
  <si>
    <t>C:\Users\DAVE\Documents\Visual Studio 2013\Projects\WizardWrx_Libs\DLLServices2\StandardHandlesLab\StandardHandlesLab\Debug\Standard.8E1919AC.tlog\link.command.1.tlog</t>
  </si>
  <si>
    <t>C:\Users\DAVE\Documents\Visual Studio 2013\Projects\WizardWrx_Libs\DLLServices2\StandardHandlesLab\StandardHandlesLab\Debug\Standard.8E1919AC.tlog\CL.write.1.tlog</t>
  </si>
  <si>
    <t>C:\Users\DAVE\Documents\Visual Studio 2013\Projects\WizardWrx_Libs\DLLServices2\StandardHandlesLab\StandardHandlesLab\Debug\Standard.8E1919AC.tlog\CL.read.3.tlog</t>
  </si>
  <si>
    <t>C:\Users\DAVE\Documents\Visual Studio 2013\Projects\WizardWrx_Libs\DLLServices2\StandardHandlesLab\StandardHandlesLab\Debug\Standard.8E1919AC.tlog\CL.read.2.tlog</t>
  </si>
  <si>
    <t>C:\Users\DAVE\Documents\Visual Studio 2013\Projects\WizardWrx_Libs\DLLServices2\StandardHandlesLab\StandardHandlesLab\Debug\Standard.8E1919AC.tlog\CL.read.1.tlog</t>
  </si>
  <si>
    <t>C:\Users\DAVE\Documents\Visual Studio 2013\Projects\WizardWrx_Libs\DLLServices2\StandardHandlesLab\StandardHandlesLab\Debug\Standard.8E1919AC.tlog\cl.command.1.tlog</t>
  </si>
  <si>
    <t>C:\Users\DAVE\Documents\Visual Studio 2013\Projects\WizardWrx_Libs\DLLServices2\StandardHandlesLab\StandardHandlesLab\Debug\vc120.pdb</t>
  </si>
  <si>
    <t>C:\Users\DAVE\Documents\Visual Studio 2013\Projects\WizardWrx_Libs\DLLServices2\StandardHandlesLab\StandardHandlesLab\Debug\vc120.idb</t>
  </si>
  <si>
    <t>C:\Users\DAVE\Documents\Visual Studio 2013\Projects\WizardWrx_Libs\DLLServices2\StandardHandlesLab\StandardHandlesLab\Debug\StandardHandleState.obj</t>
  </si>
  <si>
    <t>C:\Users\DAVE\Documents\Visual Studio 2013\Projects\WizardWrx_Libs\DLLServices2\StandardHandlesLab\StandardHandlesLab\Debug\StandardHandleState.asm</t>
  </si>
  <si>
    <t>C:\Users\DAVE\Documents\Visual Studio 2013\Projects\WizardWrx_Libs\DLLServices2\StandardHandlesLab\StandardHandlesLab\Debug\StandardHandlesLab.res</t>
  </si>
  <si>
    <t>C:\Users\DAVE\Documents\Visual Studio 2013\Projects\WizardWrx_Libs\DLLServices2\StandardHandlesLab\StandardHandlesLab\Debug\StandardHandlesLab.obj</t>
  </si>
  <si>
    <t>C:\Users\DAVE\Documents\Visual Studio 2013\Projects\WizardWrx_Libs\DLLServices2\StandardHandlesLab\StandardHandlesLab\Debug\StandardHandlesLab.log</t>
  </si>
  <si>
    <t>C:\Users\DAVE\Documents\Visual Studio 2013\Projects\WizardWrx_Libs\DLLServices2\StandardHandlesLab\StandardHandlesLab\Debug\StandardHandlesLab.Build.CppClean.log</t>
  </si>
  <si>
    <t>C:\Users\DAVE\Documents\Visual Studio 2013\Projects\WizardWrx_Libs\DLLServices2\StandardHandlesLab\StandardHandlesLab\Debug\StandardHandlesLab.asm</t>
  </si>
  <si>
    <t>C:\Users\DAVE\Documents\Visual Studio 2013\Projects\WizardWrx_Libs\DLLServices2\StandardHandlesLab\StandardHandlesLab\Debug\ProgramIDFromArgV.obj</t>
  </si>
  <si>
    <t>C:\Users\DAVE\Documents\Visual Studio 2013\Projects\WizardWrx_Libs\DLLServices2\StandardHandlesLab\StandardHandlesLab\Debug\ProgramIDFromArgV.asm</t>
  </si>
  <si>
    <t>C:\Users\DAVE\Documents\Visual Studio 2013\Projects\WizardWrx_Libs\DLLServices2\StandardHandlesLab\StandardHandlesLab\targetver.h</t>
  </si>
  <si>
    <t>C:\Users\DAVE\Documents\Visual Studio 2013\Projects\WizardWrx_Libs\DLLServices2\StandardHandlesLab\StandardHandlesLab\StandardHandleState.H</t>
  </si>
  <si>
    <t>C:\Users\DAVE\Documents\Visual Studio 2013\Projects\WizardWrx_Libs\DLLServices2\StandardHandlesLab\StandardHandlesLab\StandardHandleState.C</t>
  </si>
  <si>
    <t>C:\Users\DAVE\Documents\Visual Studio 2013\Projects\WizardWrx_Libs\DLLServices2\StandardHandlesLab\StandardHandlesLab\StandardHandlesLab.vcxproj.filters</t>
  </si>
  <si>
    <t>C:\Users\DAVE\Documents\Visual Studio 2013\Projects\WizardWrx_Libs\DLLServices2\StandardHandlesLab\StandardHandlesLab\StandardHandlesLab.vcxproj</t>
  </si>
  <si>
    <t>C:\Users\DAVE\Documents\Visual Studio 2013\Projects\WizardWrx_Libs\DLLServices2\StandardHandlesLab\StandardHandlesLab\StandardHandlesLab.rc</t>
  </si>
  <si>
    <t>C:\Users\DAVE\Documents\Visual Studio 2013\Projects\WizardWrx_Libs\DLLServices2\StandardHandlesLab\StandardHandlesLab\StandardHandlesLab.H</t>
  </si>
  <si>
    <t>C:\Users\DAVE\Documents\Visual Studio 2013\Projects\WizardWrx_Libs\DLLServices2\StandardHandlesLab\StandardHandlesLab\StandardHandlesLab.cpp</t>
  </si>
  <si>
    <t>C:\Users\DAVE\Documents\Visual Studio 2013\Projects\WizardWrx_Libs\DLLServices2\StandardHandlesLab\StandardHandlesLab\StandardHandlesLab.aps</t>
  </si>
  <si>
    <t>C:\Users\DAVE\Documents\Visual Studio 2013\Projects\WizardWrx_Libs\DLLServices2\StandardHandlesLab\StandardHandlesLab\resource.h</t>
  </si>
  <si>
    <t>C:\Users\DAVE\Documents\Visual Studio 2013\Projects\WizardWrx_Libs\DLLServices2\StandardHandlesLab\StandardHandlesLab\ReadMe.txt</t>
  </si>
  <si>
    <t>C:\Users\DAVE\Documents\Visual Studio 2013\Projects\WizardWrx_Libs\DLLServices2\StandardHandlesLab\StandardHandlesLab\ProgramIDFromArgV.C</t>
  </si>
  <si>
    <t>C:\Users\DAVE\Documents\Visual Studio 2013\Projects\WizardWrx_Libs\DLLServices2\StandardHandlesLab\Debug\StandardHandlesLab.v12.suo</t>
  </si>
  <si>
    <t>C:\Users\DAVE\Documents\Visual Studio 2013\Projects\WizardWrx_Libs\DLLServices2\StandardHandlesLab\Debug\StandardHandlesLab.pdb</t>
  </si>
  <si>
    <t>C:\Users\DAVE\Documents\Visual Studio 2013\Projects\WizardWrx_Libs\DLLServices2\StandardHandlesLab\Debug\StandardHandlesLab.map</t>
  </si>
  <si>
    <t>C:\Users\DAVE\Documents\Visual Studio 2013\Projects\WizardWrx_Libs\DLLServices2\StandardHandlesLab\Debug\StandardHandlesLab.ilk</t>
  </si>
  <si>
    <t>C:\Users\DAVE\Documents\Visual Studio 2013\Projects\WizardWrx_Libs\DLLServices2\StandardHandlesLab\Debug\StandardHandlesLab.exe</t>
  </si>
  <si>
    <t>C:\Users\DAVE\Documents\Visual Studio 2013\Projects\WizardWrx_Libs\DLLServices2\StandardHandlesLab\StandardHandlesLab.sln</t>
  </si>
  <si>
    <t>C:\Users\DAVE\Documents\Visual Studio 2013\Projects\WizardWrx_Libs\DLLServices2\StandardHandlesLab\StandardHandlesLab.sdf</t>
  </si>
  <si>
    <t>C:\Users\DAVE\Documents\Visual Studio 2013\Projects\WizardWrx_Libs\DLLServices2\scripts\WWLogger_Debug.reg.lnk</t>
  </si>
  <si>
    <t>C:\Users\DAVE\Documents\Visual Studio 2013\Projects\WizardWrx_Libs\DLLServices2\scripts\StandardHandlesLabDrills_STDOUT.lnk</t>
  </si>
  <si>
    <t>C:\Users\DAVE\Documents\Visual Studio 2013\Projects\WizardWrx_Libs\DLLServices2\scripts\StandardHandlesLabDrills_STDIN.lnk</t>
  </si>
  <si>
    <t>C:\Users\DAVE\Documents\Visual Studio 2013\Projects\WizardWrx_Libs\DLLServices2\scripts\StandardHandlesLabDrills_STDERR.lnk</t>
  </si>
  <si>
    <t>C:\Users\DAVE\Documents\Visual Studio 2013\Projects\WizardWrx_Libs\DLLServices2\scripts\StandardHandlesLabDrills_NONE.lnk</t>
  </si>
  <si>
    <t>C:\Users\DAVE\Documents\Visual Studio 2013\Projects\WizardWrx_Libs\DLLServices2\scripts\RedirectionDrills_STDOUT.lnk</t>
  </si>
  <si>
    <t>C:\Users\DAVE\Documents\Visual Studio 2013\Projects\WizardWrx_Libs\DLLServices2\scripts\RedirectionDrills_STDIN.lnk</t>
  </si>
  <si>
    <t>C:\Users\DAVE\Documents\Visual Studio 2013\Projects\WizardWrx_Libs\DLLServices2\scripts\RedirectionDrills_STDERR.lnk</t>
  </si>
  <si>
    <t>C:\Users\DAVE\Documents\Visual Studio 2013\Projects\WizardWrx_Libs\DLLServices2\scripts\RedirectionDrills_NONE.lnk</t>
  </si>
  <si>
    <t>C:\Users\DAVE\Documents\Visual Studio 2013\Projects\WizardWrx_Libs\DLLServices2\scripts\RedirectionDrills.CMD</t>
  </si>
  <si>
    <t>C:\Users\DAVE\Documents\Visual Studio 2013\Projects\WizardWrx_Libs\DLLServices2\scripts\ExportFromEventLog1Source.CMD</t>
  </si>
  <si>
    <t>C:\Users\DAVE\Documents\Visual Studio 2013\Projects\WizardWrx_Libs\DLLServices2\scripts\DocumentTestStandRun.CMD</t>
  </si>
  <si>
    <t>C:\Users\DAVE\Documents\Visual Studio 2013\Projects\WizardWrx_Libs\DLLServices2\scripts\CaptureTestStandOutput.CMD</t>
  </si>
  <si>
    <t>C:\Users\DAVE\Documents\Visual Studio 2013\Projects\WizardWrx_Libs\DLLServices2\REFERENCE\VS_Native_INCLUDE.lnk</t>
  </si>
  <si>
    <t>C:\Users\DAVE\Documents\Visual Studio 2013\Projects\WizardWrx_Libs\DLLServices2\REFERENCE\UTIL Directory.lnk</t>
  </si>
  <si>
    <t>C:\Users\DAVE\Documents\Visual Studio 2013\Projects\WizardWrx_Libs\DLLServices2\REFERENCE\INCLUDE Directory (DAG).lnk</t>
  </si>
  <si>
    <t>C:\Users\DAVE\Documents\Visual Studio 2013\Projects\WizardWrx_Libs\DLLServices2\REFERENCE\EZMAILER_Retry.CMD.lnk</t>
  </si>
  <si>
    <t>C:\Users\DAVE\Documents\Visual Studio 2013\Projects\WizardWrx_Libs\DLLServices2\REFERENCE\DelTempFiles.CMD.lnk</t>
  </si>
  <si>
    <t>C:\Users\DAVE\Documents\Visual Studio 2013\Projects\WizardWrx_Libs\DLLServices2\REFERENCE\bin Directory.lnk</t>
  </si>
  <si>
    <t>C:\Users\DAVE\Documents\Visual Studio 2013\Projects\WizardWrx_Libs\DLLServices2\Redirected_Streams\STDOUT_20150922_103944.TXT</t>
  </si>
  <si>
    <t>C:\Users\DAVE\Documents\Visual Studio 2013\Projects\WizardWrx_Libs\DLLServices2\Redirected_Streams\STDOUT_20150922_102715.TXT</t>
  </si>
  <si>
    <t>C:\Users\DAVE\Documents\Visual Studio 2013\Projects\WizardWrx_Libs\DLLServices2\Redirected_Streams\STDOUT_20150922_100938.TXT</t>
  </si>
  <si>
    <t>C:\Users\DAVE\Documents\Visual Studio 2013\Projects\WizardWrx_Libs\DLLServices2\Redirected_Streams\STDOUT_20150922_095718.TXT</t>
  </si>
  <si>
    <t>C:\Users\DAVE\Documents\Visual Studio 2013\Projects\WizardWrx_Libs\DLLServices2\Redirected_Streams\STDOUT_20150922_094754.TXT</t>
  </si>
  <si>
    <t>C:\Users\DAVE\Documents\Visual Studio 2013\Projects\WizardWrx_Libs\DLLServices2\Redirected_Streams\STDOUT_20150921_190004.TXT</t>
  </si>
  <si>
    <t>C:\Users\DAVE\Documents\Visual Studio 2013\Projects\WizardWrx_Libs\DLLServices2\Redirected_Streams\STDOUT_20150921_185945.TXT</t>
  </si>
  <si>
    <t>C:\Users\DAVE\Documents\Visual Studio 2013\Projects\WizardWrx_Libs\DLLServices2\Redirected_Streams\STDOUT_20150921_010645.TXT</t>
  </si>
  <si>
    <t>C:\Users\DAVE\Documents\Visual Studio 2013\Projects\WizardWrx_Libs\DLLServices2\Redirected_Streams\STDOUT_20150713_194517.TXT</t>
  </si>
  <si>
    <t>C:\Users\DAVE\Documents\Visual Studio 2013\Projects\WizardWrx_Libs\DLLServices2\Redirected_Streams\STDOUT_20150708_215651.TXT</t>
  </si>
  <si>
    <t>C:\Users\DAVE\Documents\Visual Studio 2013\Projects\WizardWrx_Libs\DLLServices2\Redirected_Streams\STDOUT_20150708_160332.TXT</t>
  </si>
  <si>
    <t>C:\Users\DAVE\Documents\Visual Studio 2013\Projects\WizardWrx_Libs\DLLServices2\Redirected_Streams\STDOUT_20150626_181109.TXT</t>
  </si>
  <si>
    <t>C:\Users\DAVE\Documents\Visual Studio 2013\Projects\WizardWrx_Libs\DLLServices2\Redirected_Streams\STDOUT_20150625_174654.TXT</t>
  </si>
  <si>
    <t>C:\Users\DAVE\Documents\Visual Studio 2013\Projects\WizardWrx_Libs\DLLServices2\Redirected_Streams\STDOUT_20150625_174518.TXT</t>
  </si>
  <si>
    <t>C:\Users\DAVE\Documents\Visual Studio 2013\Projects\WizardWrx_Libs\DLLServices2\Redirected_Streams\STDOUT_20150624_232947.TXT</t>
  </si>
  <si>
    <t>C:\Users\DAVE\Documents\Visual Studio 2013\Projects\WizardWrx_Libs\DLLServices2\Redirected_Streams\STDOUT.TXT</t>
  </si>
  <si>
    <t>C:\Users\DAVE\Documents\Visual Studio 2013\Projects\WizardWrx_Libs\DLLServices2\Redirected_Streams\STDIN.TXT</t>
  </si>
  <si>
    <t>C:\Users\DAVE\Documents\Visual Studio 2013\Projects\WizardWrx_Libs\DLLServices2\Redirected_Streams\STDERR_20150713_191848.TXT</t>
  </si>
  <si>
    <t>C:\Users\DAVE\Documents\Visual Studio 2013\Projects\WizardWrx_Libs\DLLServices2\Redirected_Streams\STDERR_20150708_215651.TXT</t>
  </si>
  <si>
    <t>C:\Users\DAVE\Documents\Visual Studio 2013\Projects\WizardWrx_Libs\DLLServices2\Redirected_Streams\STDERR_20150708_160332.TXT</t>
  </si>
  <si>
    <t>C:\Users\DAVE\Documents\Visual Studio 2013\Projects\WizardWrx_Libs\DLLServices2\Redirected_Streams\STDERR_20150626_181446.TXT</t>
  </si>
  <si>
    <t>C:\Users\DAVE\Documents\Visual Studio 2013\Projects\WizardWrx_Libs\DLLServices2\Redirected_Streams\STDERR_20150624_233437.TXT</t>
  </si>
  <si>
    <t>C:\Users\DAVE\Documents\Visual Studio 2013\Projects\WizardWrx_Libs\DLLServices2\Redirected_Streams\STDERR.TXT</t>
  </si>
  <si>
    <t>C:\Users\DAVE\Documents\Visual Studio 2013\Projects\WizardWrx_Libs\DLLServices2\Redirected_Streams\StandardHandlesLabDrills_20150708_215657.LOG</t>
  </si>
  <si>
    <t>C:\Users\DAVE\Documents\Visual Studio 2013\Projects\WizardWrx_Libs\DLLServices2\Redirected_Streams\StandardHandlesLabDrills_20150626_181446.LOG</t>
  </si>
  <si>
    <t>C:\Users\DAVE\Documents\Visual Studio 2013\Projects\WizardWrx_Libs\DLLServices2\Redirected_Streams\StandardHandlesLabDrills.LOG</t>
  </si>
  <si>
    <t>C:\Users\DAVE\Documents\Visual Studio 2013\Projects\WizardWrx_Libs\DLLServices2\Redirected_Streams\RedirectionDrills_OUT_20150624_232947.LOG</t>
  </si>
  <si>
    <t>C:\Users\DAVE\Documents\Visual Studio 2013\Projects\WizardWrx_Libs\DLLServices2\Redirected_Streams\RedirectionDrills_NONE_20150624_231144.LOG</t>
  </si>
  <si>
    <t>C:\Users\DAVE\Documents\Visual Studio 2013\Projects\WizardWrx_Libs\DLLServices2\Redirected_Streams\RedirectionDrills_IN_20150624_232103.LOG</t>
  </si>
  <si>
    <t>C:\Users\DAVE\Documents\Visual Studio 2013\Projects\WizardWrx_Libs\DLLServices2\Redirected_Streams\RedirectionDrills_ERR_20150624_233437.LOG</t>
  </si>
  <si>
    <t>C:\Users\DAVE\Documents\Visual Studio 2013\Projects\WizardWrx_Libs\DLLServices2\Redirected_Streams\RedirectionDrills_20150713_194517.LOG</t>
  </si>
  <si>
    <t>C:\Users\DAVE\Documents\Visual Studio 2013\Projects\WizardWrx_Libs\DLLServices2\Redirected_Streams\RedirectionDrills_20150625_174654.LOG</t>
  </si>
  <si>
    <t>C:\Users\DAVE\Documents\Visual Studio 2013\Projects\WizardWrx_Libs\DLLServices2\Redirected_Streams\RedirectionDrills.LOG</t>
  </si>
  <si>
    <t>C:\Users\DAVE\Documents\Visual Studio 2013\Projects\WizardWrx_Libs\DLLServices2\Redirected_Streams\Redirected_Streams_20150624_234312.ZIPX</t>
  </si>
  <si>
    <t>C:\Users\DAVE\Documents\Visual Studio 2013\Projects\WizardWrx_Libs\DLLServices2\Redirected_Streams\Redirected_Streams_20150624_221114.ZIPX</t>
  </si>
  <si>
    <t>C:\Users\DAVE\Documents\Visual Studio 2013\Projects\WizardWrx_Libs\DLLServices2\Redirected_Streams\Redirected_Streams_20150624_215603.ZIPX</t>
  </si>
  <si>
    <t>C:\Users\DAVE\Documents\Visual Studio 2013\Projects\WizardWrx_Libs\DLLServices2\Redirected_Streams\Redirected_Streams_20150624_181116.ZIPX</t>
  </si>
  <si>
    <t>C:\Users\DAVE\Documents\Visual Studio 2013\Projects\WizardWrx_Libs\DLLServices2\Redirected_Streams\Redirected_Streams_20150624_180448.ZIPX</t>
  </si>
  <si>
    <t>C:\Users\DAVE\Documents\Visual Studio 2013\Projects\WizardWrx_Libs\DLLServices2\Redirected_Streams\Redirected_Streams_20150624_151400.ZIPX</t>
  </si>
  <si>
    <t>C:\Users\DAVE\Documents\Visual Studio 2013\Projects\WizardWrx_Libs\DLLServices2\Redirected_Streams\Redirected_Streams_20150624_141541.ZIPX</t>
  </si>
  <si>
    <t>C:\Users\DAVE\Documents\Visual Studio 2013\Projects\WizardWrx_Libs\DLLServices2\RedirectedStreamTester\Properties\Resources.resx</t>
  </si>
  <si>
    <t>C:\Users\DAVE\Documents\Visual Studio 2013\Projects\WizardWrx_Libs\DLLServices2\RedirectedStreamTester\Properties\Resources.Designer.cs</t>
  </si>
  <si>
    <t>C:\Users\DAVE\Documents\Visual Studio 2013\Projects\WizardWrx_Libs\DLLServices2\RedirectedStreamTester\Properties\AssemblyInfo.cs</t>
  </si>
  <si>
    <t>C:\Users\DAVE\Documents\Visual Studio 2013\Projects\WizardWrx_Libs\DLLServices2\RedirectedStreamTester\obj\Release\TempPE\Properties.Resources.Designer.cs.dll</t>
  </si>
  <si>
    <t>C:\Users\DAVE\Documents\Visual Studio 2013\Projects\WizardWrx_Libs\DLLServices2\RedirectedStreamTester\obj\Release\RedirectedStreamTester.Properties.Resources.resources</t>
  </si>
  <si>
    <t>C:\Users\DAVE\Documents\Visual Studio 2013\Projects\WizardWrx_Libs\DLLServices2\RedirectedStreamTester\obj\Release\RedirectedStreamTester.pdb</t>
  </si>
  <si>
    <t>C:\Users\DAVE\Documents\Visual Studio 2013\Projects\WizardWrx_Libs\DLLServices2\RedirectedStreamTester\obj\Release\RedirectedStreamTester.exe</t>
  </si>
  <si>
    <t>C:\Users\DAVE\Documents\Visual Studio 2013\Projects\WizardWrx_Libs\DLLServices2\RedirectedStreamTester\obj\Release\RedirectedStreamTester.csprojResolveAssemblyReference.cache</t>
  </si>
  <si>
    <t>C:\Users\DAVE\Documents\Visual Studio 2013\Projects\WizardWrx_Libs\DLLServices2\RedirectedStreamTester\obj\Release\RedirectedStreamTester.csproj.GenerateResource.Cache</t>
  </si>
  <si>
    <t>C:\Users\DAVE\Documents\Visual Studio 2013\Projects\WizardWrx_Libs\DLLServices2\RedirectedStreamTester\obj\Release\RedirectedStreamTester.csproj.FileListAbsolute.txt</t>
  </si>
  <si>
    <t>C:\Users\DAVE\Documents\Visual Studio 2013\Projects\WizardWrx_Libs\DLLServices2\RedirectedStreamTester\obj\Release\DesignTimeResolveAssemblyReferencesInput.cache</t>
  </si>
  <si>
    <t>C:\Users\DAVE\Documents\Visual Studio 2013\Projects\WizardWrx_Libs\DLLServices2\RedirectedStreamTester\obj\Debug\TempPE\Properties.Resources.Designer.cs.dll</t>
  </si>
  <si>
    <t>C:\Users\DAVE\Documents\Visual Studio 2013\Projects\WizardWrx_Libs\DLLServices2\RedirectedStreamTester\obj\Debug\TemporaryGeneratedFile_E7A71F73-0F8D-4B9B-B56E-8E70B10BC5D3.cs</t>
  </si>
  <si>
    <t>C:\Users\DAVE\Documents\Visual Studio 2013\Projects\WizardWrx_Libs\DLLServices2\RedirectedStreamTester\obj\Debug\TemporaryGeneratedFile_5937a670-0e60-4077-877b-f7221da3dda1.cs</t>
  </si>
  <si>
    <t>C:\Users\DAVE\Documents\Visual Studio 2013\Projects\WizardWrx_Libs\DLLServices2\RedirectedStreamTester\obj\Debug\TemporaryGeneratedFile_036C0B5B-1481-4323-8D20-8F5ADCB23D92.cs</t>
  </si>
  <si>
    <t>C:\Users\DAVE\Documents\Visual Studio 2013\Projects\WizardWrx_Libs\DLLServices2\RedirectedStreamTester\obj\Debug\RedirectedStreamTester.Properties.Resources.resources</t>
  </si>
  <si>
    <t>C:\Users\DAVE\Documents\Visual Studio 2013\Projects\WizardWrx_Libs\DLLServices2\RedirectedStreamTester\obj\Debug\RedirectedStreamTester.pdb</t>
  </si>
  <si>
    <t>C:\Users\DAVE\Documents\Visual Studio 2013\Projects\WizardWrx_Libs\DLLServices2\RedirectedStreamTester\obj\Debug\RedirectedStreamTester.exe</t>
  </si>
  <si>
    <t>C:\Users\DAVE\Documents\Visual Studio 2013\Projects\WizardWrx_Libs\DLLServices2\RedirectedStreamTester\obj\Debug\RedirectedStreamTester.csprojResolveAssemblyReference.cache</t>
  </si>
  <si>
    <t>C:\Users\DAVE\Documents\Visual Studio 2013\Projects\WizardWrx_Libs\DLLServices2\RedirectedStreamTester\obj\Debug\RedirectedStreamTester.csproj.GenerateResource.Cache</t>
  </si>
  <si>
    <t>C:\Users\DAVE\Documents\Visual Studio 2013\Projects\WizardWrx_Libs\DLLServices2\RedirectedStreamTester\obj\Debug\RedirectedStreamTester.csproj.FileListAbsolute.txt</t>
  </si>
  <si>
    <t>C:\Users\DAVE\Documents\Visual Studio 2013\Projects\WizardWrx_Libs\DLLServices2\RedirectedStreamTester\obj\Debug\DesignTimeResolveAssemblyReferencesInput.cache</t>
  </si>
  <si>
    <t>C:\Users\DAVE\Documents\Visual Studio 2013\Projects\WizardWrx_Libs\DLLServices2\RedirectedStreamTester\obj\Debug\DesignTimeResolveAssemblyReferences.cache</t>
  </si>
  <si>
    <t>C:\Users\DAVE\Documents\Visual Studio 2013\Projects\WizardWrx_Libs\DLLServices2\RedirectedStreamTester\bin\Release\WizardWrx.DLLServices2.xml</t>
  </si>
  <si>
    <t>C:\Users\DAVE\Documents\Visual Studio 2013\Projects\WizardWrx_Libs\DLLServices2\RedirectedStreamTester\bin\Release\WizardWrx.DLLServices2.pdb</t>
  </si>
  <si>
    <t>C:\Users\DAVE\Documents\Visual Studio 2013\Projects\WizardWrx_Libs\DLLServices2\RedirectedStreamTester\bin\Release\WizardWrx.DLLServices2.dll.config</t>
  </si>
  <si>
    <t>C:\Users\DAVE\Documents\Visual Studio 2013\Projects\WizardWrx_Libs\DLLServices2\RedirectedStreamTester\bin\Release\WizardWrx.DLLServices2.dll</t>
  </si>
  <si>
    <t>C:\Users\DAVE\Documents\Visual Studio 2013\Projects\WizardWrx_Libs\DLLServices2\RedirectedStreamTester\bin\Release\RedirectedStreamTester.vshost.exe.manifest</t>
  </si>
  <si>
    <t>C:\Users\DAVE\Documents\Visual Studio 2013\Projects\WizardWrx_Libs\DLLServices2\RedirectedStreamTester\bin\Release\RedirectedStreamTester.vshost.exe.config</t>
  </si>
  <si>
    <t>C:\Users\DAVE\Documents\Visual Studio 2013\Projects\WizardWrx_Libs\DLLServices2\RedirectedStreamTester\bin\Release\RedirectedStreamTester.vshost.exe</t>
  </si>
  <si>
    <t>C:\Users\DAVE\Documents\Visual Studio 2013\Projects\WizardWrx_Libs\DLLServices2\RedirectedStreamTester\bin\Release\RedirectedStreamTester.pdb</t>
  </si>
  <si>
    <t>C:\Users\DAVE\Documents\Visual Studio 2013\Projects\WizardWrx_Libs\DLLServices2\RedirectedStreamTester\bin\Release\RedirectedStreamTester.exe.config</t>
  </si>
  <si>
    <t>C:\Users\DAVE\Documents\Visual Studio 2013\Projects\WizardWrx_Libs\DLLServices2\RedirectedStreamTester\bin\Release\RedirectedStreamTester.exe</t>
  </si>
  <si>
    <t>C:\Users\DAVE\Documents\Visual Studio 2013\Projects\WizardWrx_Libs\DLLServices2\RedirectedStreamTester\bin\Release\P6CUtilLib1.dll</t>
  </si>
  <si>
    <t>C:\Users\DAVE\Documents\Visual Studio 2013\Projects\WizardWrx_Libs\DLLServices2\RedirectedStreamTester\bin\Debug\WizardWrx.DLLServices2.xml</t>
  </si>
  <si>
    <t>C:\Users\DAVE\Documents\Visual Studio 2013\Projects\WizardWrx_Libs\DLLServices2\RedirectedStreamTester\bin\Debug\WizardWrx.DLLServices2.pdb</t>
  </si>
  <si>
    <t>C:\Users\DAVE\Documents\Visual Studio 2013\Projects\WizardWrx_Libs\DLLServices2\RedirectedStreamTester\bin\Debug\WizardWrx.DLLServices2.dll.config</t>
  </si>
  <si>
    <t>C:\Users\DAVE\Documents\Visual Studio 2013\Projects\WizardWrx_Libs\DLLServices2\RedirectedStreamTester\bin\Debug\WizardWrx.DLLServices2.dll</t>
  </si>
  <si>
    <t>C:\Users\DAVE\Documents\Visual Studio 2013\Projects\WizardWrx_Libs\DLLServices2\RedirectedStreamTester\bin\Debug\RedirectedStreamTester.vshost.exe.config</t>
  </si>
  <si>
    <t>C:\Users\DAVE\Documents\Visual Studio 2013\Projects\WizardWrx_Libs\DLLServices2\RedirectedStreamTester\bin\Debug\RedirectedStreamTester.vshost.exe</t>
  </si>
  <si>
    <t>C:\Users\DAVE\Documents\Visual Studio 2013\Projects\WizardWrx_Libs\DLLServices2\RedirectedStreamTester\bin\Debug\RedirectedStreamTester.pdb</t>
  </si>
  <si>
    <t>C:\Users\DAVE\Documents\Visual Studio 2013\Projects\WizardWrx_Libs\DLLServices2\RedirectedStreamTester\bin\Debug\RedirectedStreamTester.exe.config</t>
  </si>
  <si>
    <t>C:\Users\DAVE\Documents\Visual Studio 2013\Projects\WizardWrx_Libs\DLLServices2\RedirectedStreamTester\bin\Debug\RedirectedStreamTester.exe</t>
  </si>
  <si>
    <t>C:\Users\DAVE\Documents\Visual Studio 2013\Projects\WizardWrx_Libs\DLLServices2\RedirectedStreamTester\bin\Debug\P6CUtilLib1.dll</t>
  </si>
  <si>
    <t>C:\Users\DAVE\Documents\Visual Studio 2013\Projects\WizardWrx_Libs\DLLServices2\RedirectedStreamTester\WW_Icon1.ico</t>
  </si>
  <si>
    <t>C:\Users\DAVE\Documents\Visual Studio 2013\Projects\WizardWrx_Libs\DLLServices2\RedirectedStreamTester\StreamStateInfo.cs</t>
  </si>
  <si>
    <t>C:\Users\DAVE\Documents\Visual Studio 2013\Projects\WizardWrx_Libs\DLLServices2\RedirectedStreamTester\RedirectedStreamTester.csproj.user</t>
  </si>
  <si>
    <t>C:\Users\DAVE\Documents\Visual Studio 2013\Projects\WizardWrx_Libs\DLLServices2\RedirectedStreamTester\RedirectedStreamTester.csproj</t>
  </si>
  <si>
    <t>C:\Users\DAVE\Documents\Visual Studio 2013\Projects\WizardWrx_Libs\DLLServices2\RedirectedStreamTester\Program.cs</t>
  </si>
  <si>
    <t>C:\Users\DAVE\Documents\Visual Studio 2013\Projects\WizardWrx_Libs\DLLServices2\RedirectedStreamTester\App.config</t>
  </si>
  <si>
    <t>C:\Users\DAVE\Documents\Visual Studio 2013\Projects\WizardWrx_Libs\DLLServices2\DLLServices2TestStand\Properties\Resources.resx</t>
  </si>
  <si>
    <t>C:\Users\DAVE\Documents\Visual Studio 2013\Projects\WizardWrx_Libs\DLLServices2\DLLServices2TestStand\Properties\Resources.Designer.cs</t>
  </si>
  <si>
    <t>C:\Users\DAVE\Documents\Visual Studio 2013\Projects\WizardWrx_Libs\DLLServices2\DLLServices2TestStand\Properties\AssemblyInfo.cs</t>
  </si>
  <si>
    <t>C:\Users\DAVE\Documents\Visual Studio 2013\Projects\WizardWrx_Libs\DLLServices2\DLLServices2TestStand\obj\x86\Release\TempPE\Properties.Resources.Designer.cs.dll</t>
  </si>
  <si>
    <t>C:\Users\DAVE\Documents\Visual Studio 2013\Projects\WizardWrx_Libs\DLLServices2\DLLServices2TestStand\obj\x86\Release\DLLServices2TestStand.Properties.Resources.resources</t>
  </si>
  <si>
    <t>C:\Users\DAVE\Documents\Visual Studio 2013\Projects\WizardWrx_Libs\DLLServices2\DLLServices2TestStand\obj\x86\Release\DLLServices2TestStand.pdb</t>
  </si>
  <si>
    <t>C:\Users\DAVE\Documents\Visual Studio 2013\Projects\WizardWrx_Libs\DLLServices2\DLLServices2TestStand\obj\x86\Release\DLLServices2TestStand.exe</t>
  </si>
  <si>
    <t>C:\Users\DAVE\Documents\Visual Studio 2013\Projects\WizardWrx_Libs\DLLServices2\DLLServices2TestStand\obj\x86\Release\DLLServices2TestStand.csprojResolveAssemblyReference.cache</t>
  </si>
  <si>
    <t>C:\Users\DAVE\Documents\Visual Studio 2013\Projects\WizardWrx_Libs\DLLServices2\DLLServices2TestStand\obj\x86\Release\DLLServices2TestStand.csproj.GenerateResource.Cache</t>
  </si>
  <si>
    <t>C:\Users\DAVE\Documents\Visual Studio 2013\Projects\WizardWrx_Libs\DLLServices2\DLLServices2TestStand\obj\x86\Release\DLLServices2TestStand.csproj.FileListAbsolute.txt</t>
  </si>
  <si>
    <t>C:\Users\DAVE\Documents\Visual Studio 2013\Projects\WizardWrx_Libs\DLLServices2\DLLServices2TestStand\obj\x86\Release\DesignTimeResolveAssemblyReferencesInput.cache</t>
  </si>
  <si>
    <t>C:\Users\DAVE\Documents\Visual Studio 2013\Projects\WizardWrx_Libs\DLLServices2\DLLServices2TestStand\obj\x86\Release\DesignTimeResolveAssemblyReferences.cache</t>
  </si>
  <si>
    <t>C:\Users\DAVE\Documents\Visual Studio 2013\Projects\WizardWrx_Libs\DLLServices2\DLLServices2TestStand\obj\x86\Debug\TempPE\Properties.Resources.Designer.cs.dll</t>
  </si>
  <si>
    <t>C:\Users\DAVE\Documents\Visual Studio 2013\Projects\WizardWrx_Libs\DLLServices2\DLLServices2TestStand\obj\x86\Debug\DLLServices2TestStand.Properties.Resources.resources</t>
  </si>
  <si>
    <t>C:\Users\DAVE\Documents\Visual Studio 2013\Projects\WizardWrx_Libs\DLLServices2\DLLServices2TestStand\obj\x86\Debug\DLLServices2TestStand.pdb</t>
  </si>
  <si>
    <t>C:\Users\DAVE\Documents\Visual Studio 2013\Projects\WizardWrx_Libs\DLLServices2\DLLServices2TestStand\obj\x86\Debug\DLLServices2TestStand.exe</t>
  </si>
  <si>
    <t>C:\Users\DAVE\Documents\Visual Studio 2013\Projects\WizardWrx_Libs\DLLServices2\DLLServices2TestStand\obj\x86\Debug\DLLServices2TestStand.csprojResolveAssemblyReference.cache</t>
  </si>
  <si>
    <t>C:\Users\DAVE\Documents\Visual Studio 2013\Projects\WizardWrx_Libs\DLLServices2\DLLServices2TestStand\obj\x86\Debug\DLLServices2TestStand.csproj.GenerateResource.Cache</t>
  </si>
  <si>
    <t>C:\Users\DAVE\Documents\Visual Studio 2013\Projects\WizardWrx_Libs\DLLServices2\DLLServices2TestStand\obj\x86\Debug\DLLServices2TestStand.csproj.FileListAbsolute.txt</t>
  </si>
  <si>
    <t>C:\Users\DAVE\Documents\Visual Studio 2013\Projects\WizardWrx_Libs\DLLServices2\DLLServices2TestStand\obj\x86\Debug\DesignTimeResolveAssemblyReferencesInput.cache</t>
  </si>
  <si>
    <t>C:\Users\DAVE\Documents\Visual Studio 2013\Projects\WizardWrx_Libs\DLLServices2\DLLServices2TestStand\obj\x86\Debug\DesignTimeResolveAssemblyReferences.cache</t>
  </si>
  <si>
    <t>C:\Users\DAVE\Documents\Visual Studio 2013\Projects\WizardWrx_Libs\DLLServices2\DLLServices2TestStand\bin\Release\WizardWrx.DLLServices2.xml</t>
  </si>
  <si>
    <t>C:\Users\DAVE\Documents\Visual Studio 2013\Projects\WizardWrx_Libs\DLLServices2\DLLServices2TestStand\bin\Release\WizardWrx.DLLServices2.pdb</t>
  </si>
  <si>
    <t>C:\Users\DAVE\Documents\Visual Studio 2013\Projects\WizardWrx_Libs\DLLServices2\DLLServices2TestStand\bin\Release\WizardWrx.DLLServices2.dll.config</t>
  </si>
  <si>
    <t>C:\Users\DAVE\Documents\Visual Studio 2013\Projects\WizardWrx_Libs\DLLServices2\DLLServices2TestStand\bin\Release\WizardWrx.DLLServices2.dll</t>
  </si>
  <si>
    <t>C:\Users\DAVE\Documents\Visual Studio 2013\Projects\WizardWrx_Libs\DLLServices2\DLLServices2TestStand\bin\Release\P6CUtilLib1.dll</t>
  </si>
  <si>
    <t>C:\Users\DAVE\Documents\Visual Studio 2013\Projects\WizardWrx_Libs\DLLServices2\DLLServices2TestStand\bin\Release\DLLServices2TestStand.vshost.exe.manifest</t>
  </si>
  <si>
    <t>C:\Users\DAVE\Documents\Visual Studio 2013\Projects\WizardWrx_Libs\DLLServices2\DLLServices2TestStand\bin\Release\DLLServices2TestStand.vshost.exe.config</t>
  </si>
  <si>
    <t>C:\Users\DAVE\Documents\Visual Studio 2013\Projects\WizardWrx_Libs\DLLServices2\DLLServices2TestStand\bin\Release\DLLServices2TestStand.vshost.exe</t>
  </si>
  <si>
    <t>C:\Users\DAVE\Documents\Visual Studio 2013\Projects\WizardWrx_Libs\DLLServices2\DLLServices2TestStand\bin\Release\DLLServices2TestStand.sln</t>
  </si>
  <si>
    <t>C:\Users\DAVE\Documents\Visual Studio 2013\Projects\WizardWrx_Libs\DLLServices2\DLLServices2TestStand\bin\Release\DLLServices2TestStand.pdb</t>
  </si>
  <si>
    <t>C:\Users\DAVE\Documents\Visual Studio 2013\Projects\WizardWrx_Libs\DLLServices2\DLLServices2TestStand\bin\Release\DLLServices2TestStand.exe.config</t>
  </si>
  <si>
    <t>C:\Users\DAVE\Documents\Visual Studio 2013\Projects\WizardWrx_Libs\DLLServices2\DLLServices2TestStand\bin\Release\DLLServices2TestStand.exe</t>
  </si>
  <si>
    <t>C:\Users\DAVE\Documents\Visual Studio 2013\Projects\WizardWrx_Libs\DLLServices2\DLLServices2TestStand\bin\Debug\WWConAid.dll</t>
  </si>
  <si>
    <t>C:\Users\DAVE\Documents\Visual Studio 2013\Projects\WizardWrx_Libs\DLLServices2\DLLServices2TestStand\bin\Debug\WizardWrx.DLLServices2.xml</t>
  </si>
  <si>
    <t>C:\Users\DAVE\Documents\Visual Studio 2013\Projects\WizardWrx_Libs\DLLServices2\DLLServices2TestStand\bin\Debug\WizardWrx.DLLServices2.pdb</t>
  </si>
  <si>
    <t>C:\Users\DAVE\Documents\Visual Studio 2013\Projects\WizardWrx_Libs\DLLServices2\DLLServices2TestStand\bin\Debug\WizardWrx.DLLServices2.dll.config</t>
  </si>
  <si>
    <t>C:\Users\DAVE\Documents\Visual Studio 2013\Projects\WizardWrx_Libs\DLLServices2\DLLServices2TestStand\bin\Debug\WizardWrx.DLLServices2.dll</t>
  </si>
  <si>
    <t>C:\Users\DAVE\Documents\Visual Studio 2013\Projects\WizardWrx_Libs\DLLServices2\DLLServices2TestStand\bin\Debug\P6CUtilLib1.dll</t>
  </si>
  <si>
    <t>C:\Users\DAVE\Documents\Visual Studio 2013\Projects\WizardWrx_Libs\DLLServices2\DLLServices2TestStand\bin\Debug\DLLServices2TestStand.vshost.exe.manifest</t>
  </si>
  <si>
    <t>C:\Users\DAVE\Documents\Visual Studio 2013\Projects\WizardWrx_Libs\DLLServices2\DLLServices2TestStand\bin\Debug\DLLServices2TestStand.vshost.exe.config</t>
  </si>
  <si>
    <t>C:\Users\DAVE\Documents\Visual Studio 2013\Projects\WizardWrx_Libs\DLLServices2\DLLServices2TestStand\bin\Debug\DLLServices2TestStand.vshost.exe</t>
  </si>
  <si>
    <t>C:\Users\DAVE\Documents\Visual Studio 2013\Projects\WizardWrx_Libs\DLLServices2\DLLServices2TestStand\bin\Debug\DLLServices2TestStand.sln</t>
  </si>
  <si>
    <t>C:\Users\DAVE\Documents\Visual Studio 2013\Projects\WizardWrx_Libs\DLLServices2\DLLServices2TestStand\bin\Debug\DLLServices2TestStand.pdb</t>
  </si>
  <si>
    <t>C:\Users\DAVE\Documents\Visual Studio 2013\Projects\WizardWrx_Libs\DLLServices2\DLLServices2TestStand\bin\Debug\DLLServices2TestStand.exe.config</t>
  </si>
  <si>
    <t>C:\Users\DAVE\Documents\Visual Studio 2013\Projects\WizardWrx_Libs\DLLServices2\DLLServices2TestStand\bin\Debug\DLLServices2TestStand.exe</t>
  </si>
  <si>
    <t>C:\Users\DAVE\Documents\Visual Studio 2013\Projects\WizardWrx_Libs\DLLServices2\DLLServices2TestStand\WW_Icon1.ico</t>
  </si>
  <si>
    <t>C:\Users\DAVE\Documents\Visual Studio 2013\Projects\WizardWrx_Libs\DLLServices2\DLLServices2TestStand\Program.cs</t>
  </si>
  <si>
    <t>C:\Users\DAVE\Documents\Visual Studio 2013\Projects\WizardWrx_Libs\DLLServices2\DLLServices2TestStand\NewClassTests_20140914.cs</t>
  </si>
  <si>
    <t>C:\Users\DAVE\Documents\Visual Studio 2013\Projects\WizardWrx_Libs\DLLServices2\DLLServices2TestStand\DLLServices2TestStand.csproj</t>
  </si>
  <si>
    <t>C:\Users\DAVE\Documents\Visual Studio 2013\Projects\WizardWrx_Libs\DLLServices2\DLLServices2TestStand\CmdLneArgsTests.cs</t>
  </si>
  <si>
    <t>C:\Users\DAVE\Documents\Visual Studio 2013\Projects\WizardWrx_Libs\DLLServices2\DLLServices2TestStand\ClassTestMap.TXT</t>
  </si>
  <si>
    <t>C:\Users\DAVE\Documents\Visual Studio 2013\Projects\WizardWrx_Libs\DLLServices2\DLLServices2TestStand\BuildHistory.LOG</t>
  </si>
  <si>
    <t>C:\Users\DAVE\Documents\Visual Studio 2013\Projects\WizardWrx_Libs\DLLServices2\DLLServices2TestStand\app.config</t>
  </si>
  <si>
    <t>C:\Users\DAVE\Documents\Visual Studio 2013\Projects\WizardWrx_Libs\DLLServices2\DLLServices2\Properties\Resources.resx</t>
  </si>
  <si>
    <t>C:\Users\DAVE\Documents\Visual Studio 2013\Projects\WizardWrx_Libs\DLLServices2\DLLServices2\Properties\Resources.Designer.cs</t>
  </si>
  <si>
    <t>C:\Users\DAVE\Documents\Visual Studio 2013\Projects\WizardWrx_Libs\DLLServices2\DLLServices2\Properties\AssemblyInfo.cs</t>
  </si>
  <si>
    <t>C:\Users\DAVE\Documents\Visual Studio 2013\Projects\WizardWrx_Libs\DLLServices2\DLLServices2\obj\Release\TempPE\Properties.Resources.Designer.cs.dll</t>
  </si>
  <si>
    <t>C:\Users\DAVE\Documents\Visual Studio 2013\Projects\WizardWrx_Libs\DLLServices2\DLLServices2\obj\Release\WizardWrx.DLLServices2.Properties.Resources.resources</t>
  </si>
  <si>
    <t>C:\Users\DAVE\Documents\Visual Studio 2013\Projects\WizardWrx_Libs\DLLServices2\DLLServices2\obj\Release\WizardWrx.DLLServices2.pdb</t>
  </si>
  <si>
    <t>C:\Users\DAVE\Documents\Visual Studio 2013\Projects\WizardWrx_Libs\DLLServices2\DLLServices2\obj\Release\WizardWrx.DLLServices2.dll</t>
  </si>
  <si>
    <t>C:\Users\DAVE\Documents\Visual Studio 2013\Projects\WizardWrx_Libs\DLLServices2\DLLServices2\obj\Release\DLLServices2.csprojResolveAssemblyReference.cache</t>
  </si>
  <si>
    <t>C:\Users\DAVE\Documents\Visual Studio 2013\Projects\WizardWrx_Libs\DLLServices2\DLLServices2\obj\Release\DLLServices2.csproj.GenerateResource.Cache</t>
  </si>
  <si>
    <t>C:\Users\DAVE\Documents\Visual Studio 2013\Projects\WizardWrx_Libs\DLLServices2\DLLServices2\obj\Release\DLLServices2.csproj.FileListAbsolute.txt</t>
  </si>
  <si>
    <t>C:\Users\DAVE\Documents\Visual Studio 2013\Projects\WizardWrx_Libs\DLLServices2\DLLServices2\obj\Release\DesignTimeResolveAssemblyReferencesInput.cache</t>
  </si>
  <si>
    <t>C:\Users\DAVE\Documents\Visual Studio 2013\Projects\WizardWrx_Libs\DLLServices2\DLLServices2\obj\Release\DesignTimeResolveAssemblyReferences.cache</t>
  </si>
  <si>
    <t>C:\Users\DAVE\Documents\Visual Studio 2013\Projects\WizardWrx_Libs\DLLServices2\DLLServices2\obj\Debug\TempPE\Properties.Resources.Designer.cs.dll</t>
  </si>
  <si>
    <t>C:\Users\DAVE\Documents\Visual Studio 2013\Projects\WizardWrx_Libs\DLLServices2\DLLServices2\obj\Debug\WizardWrx.DLLServices2.Properties.Resources.resources</t>
  </si>
  <si>
    <t>C:\Users\DAVE\Documents\Visual Studio 2013\Projects\WizardWrx_Libs\DLLServices2\DLLServices2\obj\Debug\WizardWrx.DLLServices2.pdb</t>
  </si>
  <si>
    <t>C:\Users\DAVE\Documents\Visual Studio 2013\Projects\WizardWrx_Libs\DLLServices2\DLLServices2\obj\Debug\WizardWrx.DLLServices2.dll</t>
  </si>
  <si>
    <t>C:\Users\DAVE\Documents\Visual Studio 2013\Projects\WizardWrx_Libs\DLLServices2\DLLServices2\obj\Debug\DLLServices2.csprojResolveAssemblyReference.cache</t>
  </si>
  <si>
    <t>C:\Users\DAVE\Documents\Visual Studio 2013\Projects\WizardWrx_Libs\DLLServices2\DLLServices2\obj\Debug\DLLServices2.csproj.GenerateResource.Cache</t>
  </si>
  <si>
    <t>C:\Users\DAVE\Documents\Visual Studio 2013\Projects\WizardWrx_Libs\DLLServices2\DLLServices2\obj\Debug\DLLServices2.csproj.FileListAbsolute.txt</t>
  </si>
  <si>
    <t>C:\Users\DAVE\Documents\Visual Studio 2013\Projects\WizardWrx_Libs\DLLServices2\DLLServices2\obj\Debug\DesignTimeResolveAssemblyReferencesInput.cache</t>
  </si>
  <si>
    <t>C:\Users\DAVE\Documents\Visual Studio 2013\Projects\WizardWrx_Libs\DLLServices2\DLLServices2\obj\Debug\DesignTimeResolveAssemblyReferences.cache</t>
  </si>
  <si>
    <t>C:\Users\DAVE\Documents\Visual Studio 2013\Projects\WizardWrx_Libs\DLLServices2\DLLServices2\bin\Release\WizardWrx.DLLServices2.XML</t>
  </si>
  <si>
    <t>C:\Users\DAVE\Documents\Visual Studio 2013\Projects\WizardWrx_Libs\DLLServices2\DLLServices2\bin\Release\WizardWrx.DLLServices2.pdb</t>
  </si>
  <si>
    <t>C:\Users\DAVE\Documents\Visual Studio 2013\Projects\WizardWrx_Libs\DLLServices2\DLLServices2\bin\Release\WizardWrx.DLLServices2.dll.config</t>
  </si>
  <si>
    <t>C:\Users\DAVE\Documents\Visual Studio 2013\Projects\WizardWrx_Libs\DLLServices2\DLLServices2\bin\Release\WizardWrx.DLLServices2.dll</t>
  </si>
  <si>
    <t>C:\Users\DAVE\Documents\Visual Studio 2013\Projects\WizardWrx_Libs\DLLServices2\DLLServices2\bin\Release\P6CUtilLib1.dll</t>
  </si>
  <si>
    <t>C:\Users\DAVE\Documents\Visual Studio 2013\Projects\WizardWrx_Libs\DLLServices2\DLLServices2\bin\Debug\WizardWrx.DLLServices2.XML</t>
  </si>
  <si>
    <t>C:\Users\DAVE\Documents\Visual Studio 2013\Projects\WizardWrx_Libs\DLLServices2\DLLServices2\bin\Debug\WizardWrx.DLLServices2.pdb</t>
  </si>
  <si>
    <t>C:\Users\DAVE\Documents\Visual Studio 2013\Projects\WizardWrx_Libs\DLLServices2\DLLServices2\bin\Debug\WizardWrx.DLLServices2.dll.config</t>
  </si>
  <si>
    <t>C:\Users\DAVE\Documents\Visual Studio 2013\Projects\WizardWrx_Libs\DLLServices2\DLLServices2\bin\Debug\WizardWrx.DLLServices2.dll</t>
  </si>
  <si>
    <t>C:\Users\DAVE\Documents\Visual Studio 2013\Projects\WizardWrx_Libs\DLLServices2\DLLServices2\bin\Debug\P6CUtilLib1.dll</t>
  </si>
  <si>
    <t>C:\Users\DAVE\Documents\Visual Studio 2013\Projects\WizardWrx_Libs\DLLServices2\DLLServices2\WizardWrx.DLLServices2.dll.config</t>
  </si>
  <si>
    <t>C:\Users\DAVE\Documents\Visual Studio 2013\Projects\WizardWrx_Libs\DLLServices2\DLLServices2\Util.cs</t>
  </si>
  <si>
    <t>C:\Users\DAVE\Documents\Visual Studio 2013\Projects\WizardWrx_Libs\DLLServices2\DLLServices2\TimeDisplayFormatter.cs</t>
  </si>
  <si>
    <t>C:\Users\DAVE\Documents\Visual Studio 2013\Projects\WizardWrx_Libs\DLLServices2\DLLServices2\TextBlocks.cs</t>
  </si>
  <si>
    <t>C:\Users\DAVE\Documents\Visual Studio 2013\Projects\WizardWrx_Libs\DLLServices2\DLLServices2\SysDateFormatters.cs</t>
  </si>
  <si>
    <t>C:\Users\DAVE\Documents\Visual Studio 2013\Projects\WizardWrx_Libs\DLLServices2\DLLServices2\SyncRoot.cs</t>
  </si>
  <si>
    <t>C:\Users\DAVE\Documents\Visual Studio 2013\Projects\WizardWrx_Libs\DLLServices2\DLLServices2\StringTricks.cs</t>
  </si>
  <si>
    <t>C:\Users\DAVE\Documents\Visual Studio 2013\Projects\WizardWrx_Libs\DLLServices2\DLLServices2\StateManager.cs</t>
  </si>
  <si>
    <t>C:\Users\DAVE\Documents\Visual Studio 2013\Projects\WizardWrx_Libs\DLLServices2\DLLServices2\SpecialStrings.cs</t>
  </si>
  <si>
    <t>C:\Users\DAVE\Documents\Visual Studio 2013\Projects\WizardWrx_Libs\DLLServices2\DLLServices2\SpecialCharacters.cs</t>
  </si>
  <si>
    <t>C:\Users\DAVE\Documents\Visual Studio 2013\Projects\WizardWrx_Libs\DLLServices2\DLLServices2\RegistryValues.cs</t>
  </si>
  <si>
    <t>C:\Users\DAVE\Documents\Visual Studio 2013\Projects\WizardWrx_Libs\DLLServices2\DLLServices2\RegExpSupport.cs</t>
  </si>
  <si>
    <t>C:\Users\DAVE\Documents\Visual Studio 2013\Projects\WizardWrx_Libs\DLLServices2\DLLServices2\PropertyDefaults.cs</t>
  </si>
  <si>
    <t>C:\Users\DAVE\Documents\Visual Studio 2013\Projects\WizardWrx_Libs\DLLServices2\DLLServices2\PathPositions.cs</t>
  </si>
  <si>
    <t>C:\Users\DAVE\Documents\Visual Studio 2013\Projects\WizardWrx_Libs\DLLServices2\DLLServices2\P6CUtilLib1.dll</t>
  </si>
  <si>
    <t>C:\Users\DAVE\Documents\Visual Studio 2013\Projects\WizardWrx_Libs\DLLServices2\DLLServices2\NumericFormats.cs</t>
  </si>
  <si>
    <t>C:\Users\DAVE\Documents\Visual Studio 2013\Projects\WizardWrx_Libs\DLLServices2\DLLServices2\MessageInColor.cs</t>
  </si>
  <si>
    <t>C:\Users\DAVE\Documents\Visual Studio 2013\Projects\WizardWrx_Libs\DLLServices2\DLLServices2\MagicNumbers.cs</t>
  </si>
  <si>
    <t>C:\Users\DAVE\Documents\Visual Studio 2013\Projects\WizardWrx_Libs\DLLServices2\DLLServices2\MagicBooleans.cs</t>
  </si>
  <si>
    <t>C:\Users\DAVE\Documents\Visual Studio 2013\Projects\WizardWrx_Libs\DLLServices2\DLLServices2\Logic.cs</t>
  </si>
  <si>
    <t>C:\Users\DAVE\Documents\Visual Studio 2013\Projects\WizardWrx_Libs\DLLServices2\DLLServices2\ListInfo.cs</t>
  </si>
  <si>
    <t>C:\Users\DAVE\Documents\Visual Studio 2013\Projects\WizardWrx_Libs\DLLServices2\DLLServices2\IP6CUtilLib1.cs</t>
  </si>
  <si>
    <t>C:\Users\DAVE\Documents\Visual Studio 2013\Projects\WizardWrx_Libs\DLLServices2\DLLServices2\IniFileReader.cs</t>
  </si>
  <si>
    <t>C:\Users\DAVE\Documents\Visual Studio 2013\Projects\WizardWrx_Libs\DLLServices2\DLLServices2\FileIOFlags.cs</t>
  </si>
  <si>
    <t>C:\Users\DAVE\Documents\Visual Studio 2013\Projects\WizardWrx_Libs\DLLServices2\DLLServices2\ExceptionLogger.cs</t>
  </si>
  <si>
    <t>C:\Users\DAVE\Documents\Visual Studio 2013\Projects\WizardWrx_Libs\DLLServices2\DLLServices2\ErrorMessagesInColor.cs</t>
  </si>
  <si>
    <t>C:\Users\DAVE\Documents\Visual Studio 2013\Projects\WizardWrx_Libs\DLLServices2\DLLServices2\DLLServices2.csproj</t>
  </si>
  <si>
    <t>C:\Users\DAVE\Documents\Visual Studio 2013\Projects\WizardWrx_Libs\DLLServices2\DLLServices2\DisplayFormats.cs</t>
  </si>
  <si>
    <t>C:\Users\DAVE\Documents\Visual Studio 2013\Projects\WizardWrx_Libs\DLLServices2\DLLServices2\CSVFileInfo.cs</t>
  </si>
  <si>
    <t>C:\Users\DAVE\Documents\Visual Studio 2013\Projects\WizardWrx_Libs\DLLServices2\DLLServices2\CmdLneArgsBasic.cs</t>
  </si>
  <si>
    <t>C:\Users\DAVE\Documents\Visual Studio 2013\Projects\WizardWrx_Libs\DLLServices2\DLLServices2\BuildHistory.LOG</t>
  </si>
  <si>
    <t>C:\Users\DAVE\Documents\Visual Studio 2013\Projects\WizardWrx_Libs\DLLServices2\DLLServices2\AssemblyLocatorBase.cs</t>
  </si>
  <si>
    <t>C:\Users\DAVE\Documents\Visual Studio 2013\Projects\WizardWrx_Libs\DLLServices2\DLLServices2\ArrayInfo.cs</t>
  </si>
  <si>
    <t>C:\Users\DAVE\Documents\Visual Studio 2013\Projects\WizardWrx_Libs\DLLServices2\WWConAid.sln.lnk</t>
  </si>
  <si>
    <t>C:\Users\DAVE\Documents\Visual Studio 2013\Projects\WizardWrx_Libs\DLLServices2\WWConAid.dsw.lnk</t>
  </si>
  <si>
    <t>C:\Users\DAVE\Documents\Visual Studio 2013\Projects\WizardWrx_Libs\DLLServices2\WWConAid Solution Directory.lnk</t>
  </si>
  <si>
    <t>C:\Users\DAVE\Documents\Visual Studio 2013\Projects\WizardWrx_Libs\DLLServices2\UnlockVisualStudio20xxProperties.CMD.lnk</t>
  </si>
  <si>
    <t>C:\Users\DAVE\Documents\Visual Studio 2013\Projects\WizardWrx_Libs\DLLServices2\StandardHandlesLab Solution.lnk</t>
  </si>
  <si>
    <t>C:\Users\DAVE\Documents\Visual Studio 2013\Projects\WizardWrx_Libs\DLLServices2\LockVisualStudio20xxProperties.CMD.lnk</t>
  </si>
  <si>
    <t>C:\Users\DAVE\Documents\Visual Studio 2013\Projects\WizardWrx_Libs\DLLServices2\DLLServices2.SLN</t>
  </si>
  <si>
    <t>Last_Modify</t>
  </si>
  <si>
    <t>Size</t>
  </si>
  <si>
    <t>Solution Directory Name</t>
  </si>
  <si>
    <t>C:\Users\DAVE\Documents\Visual Studio 2013\Projects\WizardWrx_Libs\DLLServices2</t>
  </si>
  <si>
    <t>Absolute_FileName</t>
  </si>
  <si>
    <t>Relative_Directory_Name</t>
  </si>
  <si>
    <t>Local_FileName</t>
  </si>
  <si>
    <t>DLLServices2 Library Build Log</t>
  </si>
  <si>
    <t>C:\Users\Public\Documents\_Backups\program_source\Visual_Studio_2013\WizardWrx.DLLServices2_5_7_294_23829.ZIPX</t>
  </si>
  <si>
    <t>C:\Users\Public\Documents\_Backups\program_source\Visual_Studio_2013\WizardWrx.DLLServices2_5_6_289_260.ZIPX</t>
  </si>
  <si>
    <t>C:\Users\Public\Documents\_Backups\program_source\Visual_Studio_2013\WizardWrx.DLLServices2_5_5_279_35663.ZIPX</t>
  </si>
  <si>
    <t>Dllservices, Version 5.7</t>
  </si>
  <si>
    <t>Dllservices, Version 5.6</t>
  </si>
  <si>
    <t>Dllservices, Version 5.5</t>
  </si>
  <si>
    <t>Dllservices, Version 5.7 Backup ModDate</t>
  </si>
  <si>
    <t>Dllservices, Version 5.6 Backup ModDate</t>
  </si>
  <si>
    <t>Dllservices, Version 5.5 Backup ModDate</t>
  </si>
  <si>
    <t>DLLServices Build Log Modified Date</t>
  </si>
  <si>
    <t>WWCONAID_TESTS</t>
  </si>
  <si>
    <t>DllServices_Catalog</t>
  </si>
  <si>
    <t>IMAGE_SUBSYSTEM_EFI_RUNTIME_DRIVER</t>
  </si>
  <si>
    <t>IMAGE_SUBSYSTEM_UNKNOWN</t>
  </si>
  <si>
    <t>IMAGE_SUBSYSTEM_NATIVE</t>
  </si>
  <si>
    <t>IMAGE_SUBSYSTEM_WINDOWS_GUI</t>
  </si>
  <si>
    <t>IMAGE_SUBSYSTEM_WINDOWS_CUI</t>
  </si>
  <si>
    <t>IMAGE_SUBSYSTEM_OS2_CUI</t>
  </si>
  <si>
    <t>IMAGE_SUBSYSTEM_POSIX_CUI</t>
  </si>
  <si>
    <t>IMAGE_SUBSYSTEM_NATIVE_WINDOWS</t>
  </si>
  <si>
    <t>IMAGE_SUBSYSTEM_WINDOWS_CE_GUI</t>
  </si>
  <si>
    <t>IMAGE_SUBSYSTEM_EFI_APPLICATION</t>
  </si>
  <si>
    <t>IMAGE_SUBSYSTEM_EFI_BOOT_SERVICE_DRIVER</t>
  </si>
  <si>
    <t>IMAGE_SUBSYSTEM_EFI_ROM</t>
  </si>
  <si>
    <t>IMAGE_SUBSYSTEM_XBOX</t>
  </si>
  <si>
    <t>PESubsystemID</t>
  </si>
  <si>
    <t>DLLServices2 String Resource Symbolic Name</t>
  </si>
  <si>
    <t>Unknown subsystem.</t>
  </si>
  <si>
    <t>Image runs in the Windows CE subsystem.</t>
  </si>
  <si>
    <t>Image runs in the Windows character subsystem.</t>
  </si>
  <si>
    <t>Image runs in the Windows GUI subsystem.</t>
  </si>
  <si>
    <t>Image runs on XBOX.</t>
  </si>
  <si>
    <t>Image doesn't require a subsystem.</t>
  </si>
  <si>
    <t>Image is a EFI Runtime Driver.</t>
  </si>
  <si>
    <t>Image runs from a EFI ROM.</t>
  </si>
  <si>
    <t>Image is a EFI Boot Service Driver.</t>
  </si>
  <si>
    <t>Image is an EFI Application.</t>
  </si>
  <si>
    <t>Image runs in the OS/2 character subsystem.</t>
  </si>
  <si>
    <t>Image runs in the Posix character subsystem</t>
  </si>
  <si>
    <t>Image is a native Win9x driver.</t>
  </si>
  <si>
    <t>The specified Image subsystem ID, {0} is undefined.</t>
  </si>
  <si>
    <t>IMAGE_SUBSYSTEM_UNDEFINED_VALUE</t>
  </si>
  <si>
    <t>Literal from DLLService2 String Resources</t>
  </si>
  <si>
    <t>PESubsystemID Mappings</t>
  </si>
  <si>
    <t>C:\UTIL\WWLOGGER.exe</t>
  </si>
  <si>
    <t>C:\Users\Public\Documents\Other_Clients\Justice_Marty\01144\WWLOGGER.exe</t>
  </si>
  <si>
    <t>C:\Users\Public\Documents\NOLANB\_Installation_Packages\UTIL_Reference\WWLOGGER.exe</t>
  </si>
  <si>
    <t>C:\Users\Public\Documents\NOLANB\_Installation_Packages\Remote\2014\20141010\AI_PKG_400\WWLOGGER.exe</t>
  </si>
  <si>
    <t>C:\Users\Public\Documents\NOLANB\_Installation_Packages\Remote\2013\20131016\REPORTS\UTIL_20130919_150654\WWWebLink_RMT\WWLOGGER.exe</t>
  </si>
  <si>
    <t>C:\Users\Public\Documents\NOLANB\_Installation_Packages\Remote\2013\20131016\REPORTS\UTIL_20130919_150654\WWLOGGER.exe</t>
  </si>
  <si>
    <t>C:\Users\Public\Documents\NOLANB\_Installation_Packages\Remote\2013\20131016\400\WWLOGGER.exe</t>
  </si>
  <si>
    <t>C:\Users\Public\Documents\NOLANB\TASKS\DataEase_on_X64\Windows_Server_REFERENCE\UTIL_SQLSERVER2K\WWLOGGER.EXE</t>
  </si>
  <si>
    <t>C:\Users\Public\Documents\NOLANB\TASKS\DataEase_on_X64\Windows_Server_REFERENCE\CALL_OUT_UTIL_20130423_111142\WWLOGGER.EXE</t>
  </si>
  <si>
    <t>C:\Users\Public\Documents\NOLANB\BACKUPS\_Misc_Backups\UTIL_DAGDEV\UTIL_Milestone_20140129_113158\WWLOGGER.exe</t>
  </si>
  <si>
    <t>C:\Users\Public\Documents\H_DEASE\UTIL_from_ZAPHOD42\WWLOGGER.exe</t>
  </si>
  <si>
    <t>C:\Users\Public\Documents\H_DEASE\AI_PKG_400\WWLOGGER.exe</t>
  </si>
  <si>
    <t>C:\Users\DAVE\Documents\Programming\WinBatch_Studio\Clients\NOLANB\EZSTART\NOTES\UTL_For_Testing\WWLOGGER.exe</t>
  </si>
  <si>
    <t>C:\Users\DAVE\Documents\Programming\Visual_Studio_6\EXE\Console\WWWinVersion\NOTES\WWWinVersion_Testing\WWLOGGER.exe</t>
  </si>
  <si>
    <t>C:\Users\DAVE\Documents\Programming\Visual_Studio_6\EXE\Console\WWLOGGER\Release\WWLOGGER.exe</t>
  </si>
  <si>
    <t>C:\Users\DAVE\Documents\Programming\Visual_Studio_6\EXE\Console\WWLOGGER\Debug\WWLOGGER.exe</t>
  </si>
  <si>
    <t>C:\Users\DAVE\Documents\Programming\VBScript\ParseTaggedArgs\WWLOGGER.exe</t>
  </si>
  <si>
    <t>C:\Users\DAVE\Documents\Programming\VBScript\DelTempFiles\WWLOGGER.exe</t>
  </si>
  <si>
    <t>C:\ProgramData\Documents\Other_Clients\Justice_Marty\01144\WWLOGGER.exe</t>
  </si>
  <si>
    <t>C:\ProgramData\Documents\NOLANB\_Installation_Packages\UTIL_Reference\WWLOGGER.exe</t>
  </si>
  <si>
    <t>C:\ProgramData\Documents\NOLANB\_Installation_Packages\Remote\2014\20141010\AI_PKG_400\WWLOGGER.exe</t>
  </si>
  <si>
    <t>C:\ProgramData\Documents\NOLANB\_Installation_Packages\Remote\2013\20131016\REPORTS\UTIL_20130919_150654\WWWebLink_RMT\WWLOGGER.exe</t>
  </si>
  <si>
    <t>C:\ProgramData\Documents\NOLANB\_Installation_Packages\Remote\2013\20131016\REPORTS\UTIL_20130919_150654\WWLOGGER.exe</t>
  </si>
  <si>
    <t>C:\ProgramData\Documents\NOLANB\_Installation_Packages\Remote\2013\20131016\400\WWLOGGER.exe</t>
  </si>
  <si>
    <t>C:\ProgramData\Documents\NOLANB\TASKS\DataEase_on_X64\Windows_Server_REFERENCE\UTIL_SQLSERVER2K\WWLOGGER.EXE</t>
  </si>
  <si>
    <t>C:\ProgramData\Documents\NOLANB\TASKS\DataEase_on_X64\Windows_Server_REFERENCE\CALL_OUT_UTIL_20130423_111142\WWLOGGER.EXE</t>
  </si>
  <si>
    <t>C:\ProgramData\Documents\NOLANB\BACKUPS\_Misc_Backups\UTIL_DAGDEV\UTIL_Milestone_20140129_113158\WWLOGGER.exe</t>
  </si>
  <si>
    <t>C:\ProgramData\Documents\H_DEASE\UTIL_from_ZAPHOD42\WWLOGGER.exe</t>
  </si>
  <si>
    <t>C:\ProgramData\Documents\H_DEASE\AI_PKG_400\WWLOGGER.exe</t>
  </si>
  <si>
    <t>C:\bin\WWLOGGER.exe</t>
  </si>
  <si>
    <t>Absolute_DirectoryName</t>
  </si>
  <si>
    <t>C:\UTIL\P6VersionInfo.dll</t>
  </si>
  <si>
    <t>C:\Users\Public\Documents\NOLANB\_Installation_Packages\UTIL_Reference\P6VersionInfo.dll</t>
  </si>
  <si>
    <t>C:\Users\Public\Documents\NOLANB\_Installation_Packages\Remote\2015\20150209\AI_PKG_400\P6VersionInfo.dll</t>
  </si>
  <si>
    <t>C:\Users\Public\Documents\NOLANB\_Installation_Packages\Remote\2014\20141010\AI_PKG_400\P6VersionInfo.dll</t>
  </si>
  <si>
    <t>C:\Users\Public\Documents\NOLANB\_Installation_Packages\Remote\2013\20131016\REPORTS\UTIL_20130919_150654\P6VersionInfo.dll</t>
  </si>
  <si>
    <t>C:\Users\Public\Documents\NOLANB\_Installation_Packages\Remote\2013\20131016\400\P6VersionInfo.dll</t>
  </si>
  <si>
    <t>C:\Users\Public\Documents\NOLANB\TASKS\DataEase_on_X64\Windows_Server_REFERENCE\UTIL_SQLSERVER2K\P6VersionInfo.dll</t>
  </si>
  <si>
    <t>C:\Users\Public\Documents\NOLANB\BACKUPS\_Misc_Backups\UTIL_DAGDEV\UTIL_Milestone_20140129_113158\P6VersionInfo.dll</t>
  </si>
  <si>
    <t>C:\Users\Public\Documents\NOLANB\BACKUPS\_Misc_Backups\UTIL_DAGDEV\UTIL_Bare_Bones_20140129_114719\P6VersionInfo.dll</t>
  </si>
  <si>
    <t>C:\Users\Public\Documents\H_DEASE\UTIL_from_ZAPHOD42\P6VersionInfo.dll</t>
  </si>
  <si>
    <t>C:\Users\Public\Documents\H_DEASE\AI_PKG_400\P6VersionInfo.dll</t>
  </si>
  <si>
    <t>C:\Users\DAVE\Documents\Programming\WinBatch_Studio\Clients\NOLANB\EZXFER\P6VersionInfo.dll</t>
  </si>
  <si>
    <t>C:\Users\DAVE\Documents\Programming\WinBatch_Studio\Clients\NOLANB\EZSTART\NOTES\UTL_For_Testing\P6VersionInfo.dll</t>
  </si>
  <si>
    <t>C:\Users\DAVE\Documents\Programming\Visual_Studio_6\LIB\P6VersionInfo.dll</t>
  </si>
  <si>
    <t>C:\Users\DAVE\Documents\Programming\Visual_Studio_6\EXE\Console\SettingsChangeNotify\Debug\P6VersionInfo.dll</t>
  </si>
  <si>
    <t>C:\Users\DAVE\Documents\Programming\Visual_Studio_6\DLL\WWWILMuscle44i\DISTRIB\WWWILMuscle\P6VersionInfo.dll</t>
  </si>
  <si>
    <t>C:\Users\DAVE\Documents\Programming\Visual_Studio_6\DLL\P6VersionInfo\Release\P6VersionInfo.dll</t>
  </si>
  <si>
    <t>C:\Users\DAVE\Documents\Programming\Visual_Studio_6\DLL\P6VersionInfo\Debug\P6VersionInfo.dll</t>
  </si>
  <si>
    <t>C:\Users\DAVE\Documents\Articles_2015\Static_Buffers\FixedStringBuffers_Binaries\LIB\P6VersionInfo.dll</t>
  </si>
  <si>
    <t>C:\Users\DAVE\Documents\Articles_2015\Static_Buffers\FixedStringBuffers_1_0_0_1\LIB\P6VersionInfo.dll</t>
  </si>
  <si>
    <t>C:\ProgramData\Documents\NOLANB\_Installation_Packages\UTIL_Reference\P6VersionInfo.dll</t>
  </si>
  <si>
    <t>C:\ProgramData\Documents\NOLANB\_Installation_Packages\Remote\2015\20150209\AI_PKG_400\P6VersionInfo.dll</t>
  </si>
  <si>
    <t>C:\ProgramData\Documents\NOLANB\_Installation_Packages\Remote\2014\20141010\AI_PKG_400\P6VersionInfo.dll</t>
  </si>
  <si>
    <t>C:\ProgramData\Documents\NOLANB\_Installation_Packages\Remote\2013\20131016\REPORTS\UTIL_20130919_150654\P6VersionInfo.dll</t>
  </si>
  <si>
    <t>C:\ProgramData\Documents\NOLANB\_Installation_Packages\Remote\2013\20131016\400\P6VersionInfo.dll</t>
  </si>
  <si>
    <t>C:\ProgramData\Documents\NOLANB\TASKS\DataEase_on_X64\Windows_Server_REFERENCE\UTIL_SQLSERVER2K\P6VersionInfo.dll</t>
  </si>
  <si>
    <t>C:\ProgramData\Documents\NOLANB\BACKUPS\_Misc_Backups\UTIL_DAGDEV\UTIL_Milestone_20140129_113158\P6VersionInfo.dll</t>
  </si>
  <si>
    <t>C:\ProgramData\Documents\NOLANB\BACKUPS\_Misc_Backups\UTIL_DAGDEV\UTIL_Bare_Bones_20140129_114719\P6VersionInfo.dll</t>
  </si>
  <si>
    <t>C:\ProgramData\Documents\H_DEASE\UTIL_from_ZAPHOD42\P6VersionInfo.dll</t>
  </si>
  <si>
    <t>C:\ProgramData\Documents\H_DEASE\AI_PKG_400\P6VersionInfo.dll</t>
  </si>
  <si>
    <t>C:\Program Files (x86)\WinBatch\System\P6VersionInfo.dll</t>
  </si>
  <si>
    <t>C:\Program Files (x86)\WinBatch\Redistrb\P6VersionInfo.dll</t>
  </si>
  <si>
    <t>C:\bin\P6VersionInfo.dll</t>
  </si>
  <si>
    <t>WWLogger2_Catalog_ENIGMA</t>
  </si>
  <si>
    <t>P6VersionInfo_dll_Catalog_ENIGM</t>
  </si>
  <si>
    <t>Symbolic Name</t>
  </si>
  <si>
    <t>Summary</t>
  </si>
  <si>
    <t>public enum WizardWrx.DLLServices2.StateManager.ShsHandleState</t>
  </si>
  <si>
    <t>ShsUndeterminable</t>
  </si>
  <si>
    <t>Value = 0 indicates that ShsStandardHandle is either undefined or out of range.</t>
  </si>
  <si>
    <t>ShsStandardHandle</t>
  </si>
  <si>
    <t>ShsAttached</t>
  </si>
  <si>
    <t>Value = 1 indicates that the handle corresponding to the value of ShsStandardHandle is attached a console.</t>
  </si>
  <si>
    <t>Value = 2 indicates that the handle corresponding to the value of ShsStandardHandle is redirected to a file or pipe.</t>
  </si>
  <si>
    <t>ShsRedirected</t>
  </si>
  <si>
    <t>Value = 3 indicates that an internal error occurred. Call Marshal.GetLastWin32Error to learn why.</t>
  </si>
  <si>
    <t>ShsSystemError</t>
  </si>
  <si>
    <t>C:\Users\DAVE\Documents\Programming\Visual_Studio_6\DLL\WWConAid\Release\WWConAid.dll</t>
  </si>
  <si>
    <t>Primary DLL</t>
  </si>
  <si>
    <t>WWConAid.dll</t>
  </si>
  <si>
    <t>FixedStringBuffers.dll</t>
  </si>
  <si>
    <t>WWKernelLibWrapper.dll</t>
  </si>
  <si>
    <t>KERNEL32.dll</t>
  </si>
  <si>
    <t>MSVCR120.dll</t>
  </si>
  <si>
    <t>C:\Users\DAVE\Documents\Programming\Visual_Studio_6\DLL\FixedStringBuffers\Release\FixedStringBuffers.dll</t>
  </si>
  <si>
    <t>ProcessInfo.dll</t>
  </si>
  <si>
    <t>Direct Dependents</t>
  </si>
  <si>
    <t>SHLWAPI.dll</t>
  </si>
  <si>
    <t>USER32.dll</t>
  </si>
  <si>
    <t>Legend</t>
  </si>
  <si>
    <t>Primary and Secondary</t>
  </si>
  <si>
    <t>System DLL</t>
  </si>
  <si>
    <t>Runtime Library</t>
  </si>
  <si>
    <t>Secondary Dependents</t>
  </si>
  <si>
    <t>Tertiary Dependents</t>
  </si>
  <si>
    <t>C:\Users\DAVE\Documents\Programming\Visual_Studio_6\DLL\ProcessInfo\Release\ProcessInfo.dll</t>
  </si>
  <si>
    <t>PSAPI.DLL</t>
  </si>
  <si>
    <t>ADVAPI32.dll</t>
  </si>
  <si>
    <t>MSVCRT.dll</t>
  </si>
  <si>
    <t>C:\Users\DAVE\Documents\Programming\Visual_Studio_6\DLL\WWKernelLibWrapper\Release\WWKernelLibWrapper.dll</t>
  </si>
  <si>
    <t>C:\Users\DAVE\Documents\Programming\Visual_Studio_6\DLL\P6CUtilLib1\Release\P6CUtilLib1.dll</t>
  </si>
  <si>
    <t>P6CUtilLib1.dll</t>
  </si>
  <si>
    <t>SHELL32.dll</t>
  </si>
  <si>
    <t>OLEAUT32.dll</t>
  </si>
  <si>
    <t>NETAPI32.dll</t>
  </si>
  <si>
    <t>P6CStringLib1.dll</t>
  </si>
  <si>
    <t>comdlg32.dll</t>
  </si>
  <si>
    <t>C:\Users\DAVE\Documents\Programming\Visual_Studio_6\DLL\P6CStringLib1\Release\P6CStringLib1.dll</t>
  </si>
  <si>
    <t>SafeMemCpy.dll</t>
  </si>
  <si>
    <t>C:\Users\DAVE\Documents\Programming\Visual_Studio_6\DLL\SafeMemCpy\Release\SafeMemCpy.dll</t>
  </si>
  <si>
    <t>Release Link Library</t>
  </si>
  <si>
    <t>Release Build</t>
  </si>
  <si>
    <t>Added to DLLServices</t>
  </si>
  <si>
    <t>Link</t>
  </si>
  <si>
    <t>Copy</t>
  </si>
  <si>
    <t>2015-10-28 @ 17:58</t>
  </si>
  <si>
    <t>2015-10-28 @ 17:59</t>
  </si>
  <si>
    <t>2015-10-28 @ 18:00</t>
  </si>
  <si>
    <t>2015-10-28 @ 18:01</t>
  </si>
  <si>
    <t>2015-10-28 @ 18:02</t>
  </si>
  <si>
    <t>2015-10-28 @ 18:03</t>
  </si>
  <si>
    <t>2015-10-28 @ 18:06</t>
  </si>
  <si>
    <t>2015-10-28 @ 18:11</t>
  </si>
  <si>
    <t>2015-10-28 @ 18:12</t>
  </si>
  <si>
    <t>2015-10-28 @ 18:13</t>
  </si>
  <si>
    <t>2015-10-28 @ 18:14</t>
  </si>
  <si>
    <t>2015-10-28 @ 18:15</t>
  </si>
  <si>
    <t>DLL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</si>
</sst>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yyyy\/mm\/dd\ hh:mm:ss"/>
  </numFmts>
  <fonts count="20" x14ac:knownFonts="1">
    <font>
      <sz val="11"/>
      <color theme="1"/>
      <name val="Consolas"/>
      <family val="2"/>
    </font>
    <font>
      <b/>
      <sz val="11"/>
      <color theme="1"/>
      <name val="Tahoma"/>
      <family val="2"/>
    </font>
    <font>
      <b/>
      <sz val="8"/>
      <color indexed="81"/>
      <name val="Tahoma"/>
      <charset val="1"/>
    </font>
    <font>
      <sz val="8"/>
      <color indexed="81"/>
      <name val="Tahoma"/>
      <charset val="1"/>
    </font>
    <font>
      <b/>
      <sz val="14"/>
      <color theme="9" tint="-0.499984740745262"/>
      <name val="Cambria"/>
      <family val="1"/>
    </font>
    <font>
      <sz val="11"/>
      <color theme="9" tint="-0.499984740745262"/>
      <name val="Cambria"/>
      <family val="1"/>
    </font>
    <font>
      <b/>
      <sz val="14"/>
      <color theme="1"/>
      <name val="Tahoma"/>
      <family val="2"/>
    </font>
    <font>
      <u/>
      <sz val="11"/>
      <color theme="10"/>
      <name val="Consolas"/>
      <family val="2"/>
    </font>
    <font>
      <b/>
      <sz val="14"/>
      <color theme="7" tint="-0.499984740745262"/>
      <name val="Tahoma"/>
      <family val="2"/>
    </font>
    <font>
      <b/>
      <sz val="14"/>
      <color theme="8" tint="-0.499984740745262"/>
      <name val="Tahoma"/>
      <family val="2"/>
    </font>
    <font>
      <sz val="11"/>
      <color theme="1"/>
      <name val="Tahoma"/>
      <family val="2"/>
    </font>
    <font>
      <b/>
      <sz val="14"/>
      <color theme="5" tint="-0.499984740745262"/>
      <name val="Tahoma"/>
      <family val="2"/>
    </font>
    <font>
      <b/>
      <sz val="14"/>
      <color rgb="FF0070C0"/>
      <name val="Tahoma"/>
      <family val="2"/>
    </font>
    <font>
      <b/>
      <sz val="14"/>
      <color theme="9" tint="-0.499984740745262"/>
      <name val="Tahoma"/>
      <family val="2"/>
    </font>
    <font>
      <b/>
      <sz val="11"/>
      <color theme="9" tint="-0.499984740745262"/>
      <name val="Tahoma"/>
      <family val="2"/>
    </font>
    <font>
      <b/>
      <sz val="24"/>
      <color theme="0" tint="-0.499984740745262"/>
      <name val="Tahoma"/>
      <family val="2"/>
    </font>
    <font>
      <sz val="8"/>
      <color theme="1"/>
      <name val="Consolas"/>
      <family val="2"/>
    </font>
    <font>
      <b/>
      <sz val="14"/>
      <color rgb="FF002060"/>
      <name val="Tahoma"/>
      <family val="2"/>
    </font>
    <font>
      <sz val="8"/>
      <color theme="1"/>
      <name val="Tahoma"/>
      <family val="2"/>
    </font>
    <font>
      <b/>
      <sz val="14"/>
      <color theme="3" tint="-0.499984740745262"/>
      <name val="Tahoma"/>
      <family val="2"/>
    </font>
  </fonts>
  <fills count="13">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indexed="65"/>
        <bgColor theme="9" tint="-0.499984740745262"/>
      </patternFill>
    </fill>
    <fill>
      <patternFill patternType="solid">
        <fgColor theme="9" tint="0.79998168889431442"/>
        <bgColor theme="9" tint="-0.499984740745262"/>
      </patternFill>
    </fill>
    <fill>
      <patternFill patternType="solid">
        <fgColor theme="0" tint="-0.14996795556505021"/>
        <bgColor indexed="64"/>
      </patternFill>
    </fill>
    <fill>
      <patternFill patternType="solid">
        <fgColor theme="3" tint="0.79998168889431442"/>
        <bgColor indexed="64"/>
      </patternFill>
    </fill>
    <fill>
      <patternFill patternType="solid">
        <fgColor rgb="FFFFFFCC"/>
        <bgColor indexed="64"/>
      </patternFill>
    </fill>
    <fill>
      <patternFill patternType="solid">
        <fgColor theme="2" tint="-9.9978637043366805E-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style="thin">
        <color theme="7" tint="-0.499984740745262"/>
      </left>
      <right style="thin">
        <color theme="7" tint="-0.499984740745262"/>
      </right>
      <top style="thin">
        <color theme="7" tint="-0.499984740745262"/>
      </top>
      <bottom style="thin">
        <color theme="7" tint="-0.499984740745262"/>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style="thin">
        <color theme="5" tint="-0.499984740745262"/>
      </right>
      <top/>
      <bottom/>
      <diagonal/>
    </border>
    <border>
      <left style="thin">
        <color rgb="FF0070C0"/>
      </left>
      <right style="thin">
        <color rgb="FF0070C0"/>
      </right>
      <top style="thin">
        <color rgb="FF0070C0"/>
      </top>
      <bottom style="thin">
        <color rgb="FF0070C0"/>
      </bottom>
      <diagonal/>
    </border>
    <border>
      <left style="thin">
        <color theme="9" tint="-0.499984740745262"/>
      </left>
      <right/>
      <top/>
      <bottom style="thin">
        <color theme="9" tint="-0.499984740745262"/>
      </bottom>
      <diagonal/>
    </border>
    <border>
      <left/>
      <right/>
      <top/>
      <bottom style="thin">
        <color theme="9" tint="-0.499984740745262"/>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style="thin">
        <color theme="9" tint="-0.499984740745262"/>
      </right>
      <top/>
      <bottom style="thin">
        <color theme="9" tint="-0.499984740745262"/>
      </bottom>
      <diagonal/>
    </border>
    <border>
      <left style="thin">
        <color theme="8" tint="-0.499984740745262"/>
      </left>
      <right/>
      <top style="thin">
        <color theme="8" tint="-0.499984740745262"/>
      </top>
      <bottom style="thin">
        <color theme="8" tint="-0.499984740745262"/>
      </bottom>
      <diagonal/>
    </border>
    <border>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5" tint="-0.499984740745262"/>
      </left>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s>
  <cellStyleXfs count="2">
    <xf numFmtId="0" fontId="0" fillId="0" borderId="0"/>
    <xf numFmtId="0" fontId="7" fillId="0" borderId="0" applyNumberFormat="0" applyFill="0" applyBorder="0" applyAlignment="0" applyProtection="0"/>
  </cellStyleXfs>
  <cellXfs count="90">
    <xf numFmtId="0" fontId="0" fillId="0" borderId="0" xfId="0"/>
    <xf numFmtId="0" fontId="0" fillId="0" borderId="0" xfId="0" applyAlignment="1">
      <alignment vertical="top"/>
    </xf>
    <xf numFmtId="0" fontId="0" fillId="0" borderId="0" xfId="0" applyAlignment="1">
      <alignment vertical="top" wrapText="1"/>
    </xf>
    <xf numFmtId="49" fontId="0" fillId="0" borderId="1" xfId="0" applyNumberFormat="1" applyBorder="1" applyAlignment="1">
      <alignment vertical="top" wrapText="1"/>
    </xf>
    <xf numFmtId="0" fontId="0" fillId="0" borderId="1" xfId="0" applyBorder="1" applyAlignment="1">
      <alignment vertical="top"/>
    </xf>
    <xf numFmtId="164" fontId="0" fillId="0" borderId="1" xfId="0" applyNumberFormat="1" applyBorder="1" applyAlignment="1">
      <alignment vertical="top"/>
    </xf>
    <xf numFmtId="0" fontId="1" fillId="0" borderId="0" xfId="0" applyFont="1" applyAlignment="1">
      <alignment vertical="top" wrapText="1"/>
    </xf>
    <xf numFmtId="0" fontId="1" fillId="0" borderId="0" xfId="0" applyFont="1" applyAlignment="1">
      <alignment vertical="top"/>
    </xf>
    <xf numFmtId="0" fontId="0" fillId="0" borderId="2" xfId="0" applyBorder="1"/>
    <xf numFmtId="165" fontId="0" fillId="0" borderId="2" xfId="0" applyNumberFormat="1" applyBorder="1"/>
    <xf numFmtId="165" fontId="0" fillId="0" borderId="3" xfId="0" applyNumberFormat="1" applyBorder="1"/>
    <xf numFmtId="0" fontId="4" fillId="2" borderId="2" xfId="0" applyFont="1" applyFill="1" applyBorder="1"/>
    <xf numFmtId="0" fontId="5" fillId="2" borderId="2" xfId="0" applyFont="1" applyFill="1" applyBorder="1"/>
    <xf numFmtId="0" fontId="6" fillId="0" borderId="0" xfId="0" applyFont="1"/>
    <xf numFmtId="0" fontId="7" fillId="0" borderId="0" xfId="1"/>
    <xf numFmtId="0" fontId="8" fillId="3" borderId="6" xfId="0" applyFont="1" applyFill="1" applyBorder="1"/>
    <xf numFmtId="0" fontId="0" fillId="0" borderId="6" xfId="0" applyBorder="1"/>
    <xf numFmtId="0" fontId="9" fillId="4" borderId="7" xfId="0" applyFont="1" applyFill="1" applyBorder="1"/>
    <xf numFmtId="0" fontId="0" fillId="0" borderId="7" xfId="0" applyBorder="1"/>
    <xf numFmtId="0" fontId="11" fillId="5" borderId="8" xfId="0" applyFont="1" applyFill="1" applyBorder="1"/>
    <xf numFmtId="0" fontId="0" fillId="0" borderId="8" xfId="0" applyBorder="1" applyAlignment="1">
      <alignment vertical="top"/>
    </xf>
    <xf numFmtId="0" fontId="10" fillId="0" borderId="8" xfId="0" applyFont="1" applyBorder="1" applyAlignment="1">
      <alignment vertical="top" wrapText="1"/>
    </xf>
    <xf numFmtId="0" fontId="0" fillId="0" borderId="8" xfId="0" quotePrefix="1" applyBorder="1" applyAlignment="1">
      <alignment vertical="top"/>
    </xf>
    <xf numFmtId="0" fontId="0" fillId="0" borderId="8" xfId="0" applyBorder="1" applyAlignment="1">
      <alignment vertical="top" wrapText="1"/>
    </xf>
    <xf numFmtId="0" fontId="12" fillId="6" borderId="10" xfId="0" applyFont="1" applyFill="1" applyBorder="1"/>
    <xf numFmtId="0" fontId="0" fillId="0" borderId="10" xfId="0" quotePrefix="1" applyBorder="1"/>
    <xf numFmtId="0" fontId="0" fillId="0" borderId="10" xfId="0" applyBorder="1"/>
    <xf numFmtId="49" fontId="0" fillId="0" borderId="0" xfId="0" applyNumberFormat="1" applyAlignment="1">
      <alignment vertical="top" wrapText="1"/>
    </xf>
    <xf numFmtId="164" fontId="0" fillId="0" borderId="0" xfId="0" applyNumberFormat="1" applyAlignment="1">
      <alignment vertical="top"/>
    </xf>
    <xf numFmtId="0" fontId="6" fillId="0" borderId="0" xfId="0" applyFont="1" applyAlignment="1">
      <alignment vertical="top"/>
    </xf>
    <xf numFmtId="0" fontId="0" fillId="0" borderId="8" xfId="0" applyFill="1" applyBorder="1" applyAlignment="1">
      <alignment vertical="top"/>
    </xf>
    <xf numFmtId="0" fontId="0" fillId="0" borderId="9" xfId="0" applyBorder="1" applyAlignment="1">
      <alignment vertical="top"/>
    </xf>
    <xf numFmtId="0" fontId="13" fillId="2" borderId="2" xfId="0" applyFont="1" applyFill="1" applyBorder="1"/>
    <xf numFmtId="0" fontId="0" fillId="7" borderId="2" xfId="0" applyFill="1" applyBorder="1"/>
    <xf numFmtId="3" fontId="0" fillId="7" borderId="2" xfId="0" applyNumberFormat="1" applyFill="1" applyBorder="1"/>
    <xf numFmtId="0" fontId="14" fillId="8" borderId="2" xfId="0" applyFont="1" applyFill="1" applyBorder="1"/>
    <xf numFmtId="0" fontId="13" fillId="2" borderId="2" xfId="0" applyFont="1" applyFill="1" applyBorder="1" applyAlignment="1">
      <alignment horizontal="right"/>
    </xf>
    <xf numFmtId="0" fontId="13" fillId="2" borderId="3" xfId="0" applyFont="1" applyFill="1" applyBorder="1"/>
    <xf numFmtId="0" fontId="13" fillId="2" borderId="4" xfId="0" applyFont="1" applyFill="1" applyBorder="1"/>
    <xf numFmtId="0" fontId="0" fillId="7" borderId="3" xfId="0" applyFill="1" applyBorder="1"/>
    <xf numFmtId="0" fontId="16" fillId="0" borderId="0" xfId="0" applyFont="1"/>
    <xf numFmtId="49" fontId="0" fillId="0" borderId="0" xfId="0" applyNumberFormat="1"/>
    <xf numFmtId="0" fontId="17" fillId="4" borderId="10" xfId="0" applyFont="1" applyFill="1" applyBorder="1"/>
    <xf numFmtId="49" fontId="0" fillId="0" borderId="10" xfId="0" applyNumberFormat="1" applyBorder="1"/>
    <xf numFmtId="0" fontId="0" fillId="0" borderId="8" xfId="0" applyBorder="1"/>
    <xf numFmtId="3" fontId="0" fillId="0" borderId="8" xfId="0" applyNumberFormat="1" applyBorder="1"/>
    <xf numFmtId="0" fontId="0" fillId="0" borderId="1" xfId="0" applyBorder="1"/>
    <xf numFmtId="0" fontId="18" fillId="0" borderId="1" xfId="0" applyFont="1" applyBorder="1"/>
    <xf numFmtId="165" fontId="0" fillId="0" borderId="1" xfId="0" applyNumberFormat="1" applyBorder="1"/>
    <xf numFmtId="3" fontId="0" fillId="0" borderId="1" xfId="0" applyNumberFormat="1" applyBorder="1"/>
    <xf numFmtId="0" fontId="6" fillId="9" borderId="1" xfId="0" applyFont="1" applyFill="1" applyBorder="1"/>
    <xf numFmtId="0" fontId="6" fillId="9" borderId="1" xfId="0" applyFont="1" applyFill="1" applyBorder="1" applyAlignment="1">
      <alignment horizontal="right"/>
    </xf>
    <xf numFmtId="0" fontId="13" fillId="2" borderId="2" xfId="0" applyFont="1" applyFill="1" applyBorder="1" applyAlignment="1">
      <alignment vertical="top"/>
    </xf>
    <xf numFmtId="0" fontId="9" fillId="4" borderId="7" xfId="0" applyFont="1" applyFill="1" applyBorder="1" applyAlignment="1">
      <alignment horizontal="right"/>
    </xf>
    <xf numFmtId="3" fontId="0" fillId="0" borderId="7" xfId="0" applyNumberFormat="1" applyBorder="1"/>
    <xf numFmtId="165" fontId="0" fillId="0" borderId="7" xfId="0" applyNumberFormat="1" applyBorder="1"/>
    <xf numFmtId="0" fontId="19" fillId="10" borderId="18" xfId="0" applyFont="1" applyFill="1" applyBorder="1"/>
    <xf numFmtId="0" fontId="19" fillId="10" borderId="18" xfId="0" applyFont="1" applyFill="1" applyBorder="1" applyAlignment="1">
      <alignment horizontal="right"/>
    </xf>
    <xf numFmtId="0" fontId="0" fillId="0" borderId="18" xfId="0" applyBorder="1"/>
    <xf numFmtId="3" fontId="0" fillId="0" borderId="18" xfId="0" applyNumberFormat="1" applyBorder="1"/>
    <xf numFmtId="165" fontId="0" fillId="0" borderId="18" xfId="0" applyNumberFormat="1" applyBorder="1"/>
    <xf numFmtId="0" fontId="10" fillId="0" borderId="8" xfId="0" applyFont="1" applyBorder="1"/>
    <xf numFmtId="0" fontId="0" fillId="0" borderId="3" xfId="0" applyBorder="1"/>
    <xf numFmtId="0" fontId="0" fillId="0" borderId="5" xfId="0" applyBorder="1"/>
    <xf numFmtId="0" fontId="0" fillId="0" borderId="4" xfId="0" applyBorder="1"/>
    <xf numFmtId="0" fontId="12" fillId="6" borderId="10" xfId="0" applyFont="1" applyFill="1" applyBorder="1" applyAlignment="1">
      <alignment horizontal="center"/>
    </xf>
    <xf numFmtId="0" fontId="13" fillId="2" borderId="3" xfId="0" applyFont="1" applyFill="1" applyBorder="1" applyAlignment="1">
      <alignment horizontal="center"/>
    </xf>
    <xf numFmtId="0" fontId="13" fillId="2" borderId="5" xfId="0" applyFont="1" applyFill="1" applyBorder="1" applyAlignment="1">
      <alignment horizontal="center"/>
    </xf>
    <xf numFmtId="0" fontId="13" fillId="2" borderId="4" xfId="0" applyFont="1" applyFill="1" applyBorder="1" applyAlignment="1">
      <alignment horizontal="center"/>
    </xf>
    <xf numFmtId="0" fontId="13" fillId="2" borderId="11" xfId="0" applyFont="1" applyFill="1" applyBorder="1" applyAlignment="1">
      <alignment horizontal="center"/>
    </xf>
    <xf numFmtId="0" fontId="13" fillId="2" borderId="12" xfId="0" applyFont="1" applyFill="1" applyBorder="1" applyAlignment="1">
      <alignment horizontal="center"/>
    </xf>
    <xf numFmtId="0" fontId="13" fillId="2" borderId="13" xfId="0" applyFont="1" applyFill="1" applyBorder="1"/>
    <xf numFmtId="0" fontId="13" fillId="2" borderId="14" xfId="0" applyFont="1" applyFill="1" applyBorder="1"/>
    <xf numFmtId="0" fontId="13" fillId="2" borderId="13" xfId="0" applyFont="1" applyFill="1" applyBorder="1" applyAlignment="1">
      <alignment wrapText="1"/>
    </xf>
    <xf numFmtId="0" fontId="13" fillId="2" borderId="14" xfId="0" applyFont="1" applyFill="1" applyBorder="1" applyAlignment="1">
      <alignment wrapText="1"/>
    </xf>
    <xf numFmtId="0" fontId="11" fillId="5" borderId="19" xfId="0" applyFont="1" applyFill="1" applyBorder="1" applyAlignment="1">
      <alignment horizontal="center"/>
    </xf>
    <xf numFmtId="0" fontId="11" fillId="5" borderId="20" xfId="0" applyFont="1" applyFill="1" applyBorder="1" applyAlignment="1">
      <alignment horizontal="center"/>
    </xf>
    <xf numFmtId="0" fontId="11" fillId="5" borderId="21" xfId="0" applyFont="1" applyFill="1" applyBorder="1" applyAlignment="1">
      <alignment horizontal="center"/>
    </xf>
    <xf numFmtId="0" fontId="15" fillId="4" borderId="15" xfId="0" applyFont="1" applyFill="1" applyBorder="1" applyAlignment="1">
      <alignment horizontal="center"/>
    </xf>
    <xf numFmtId="0" fontId="15" fillId="4" borderId="16" xfId="0" applyFont="1" applyFill="1" applyBorder="1" applyAlignment="1">
      <alignment horizontal="center"/>
    </xf>
    <xf numFmtId="0" fontId="15" fillId="4" borderId="17" xfId="0" applyFont="1" applyFill="1" applyBorder="1" applyAlignment="1">
      <alignment horizontal="center"/>
    </xf>
    <xf numFmtId="0" fontId="6" fillId="0" borderId="0" xfId="0" applyFont="1" applyAlignment="1">
      <alignment horizontal="center"/>
    </xf>
    <xf numFmtId="0" fontId="6" fillId="9" borderId="1" xfId="0" applyFont="1" applyFill="1" applyBorder="1"/>
    <xf numFmtId="0" fontId="0" fillId="11" borderId="2" xfId="0" applyFill="1" applyBorder="1"/>
    <xf numFmtId="0" fontId="0" fillId="4" borderId="2" xfId="0" applyFill="1" applyBorder="1"/>
    <xf numFmtId="0" fontId="10" fillId="4" borderId="2" xfId="0" applyFont="1" applyFill="1" applyBorder="1"/>
    <xf numFmtId="0" fontId="10" fillId="11" borderId="2" xfId="0" applyFont="1" applyFill="1" applyBorder="1"/>
    <xf numFmtId="0" fontId="0" fillId="12" borderId="2" xfId="0" applyFill="1" applyBorder="1"/>
    <xf numFmtId="0" fontId="10" fillId="12" borderId="2" xfId="0" applyFont="1" applyFill="1" applyBorder="1"/>
    <xf numFmtId="20" fontId="0" fillId="0" borderId="2" xfId="0" applyNumberFormat="1" applyBorder="1"/>
  </cellXfs>
  <cellStyles count="2">
    <cellStyle name="Hyperlink" xfId="1" builtinId="8"/>
    <cellStyle name="Normal" xfId="0" builtinId="0"/>
  </cellStyles>
  <dxfs count="94">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lightTrellis">
          <fgColor theme="8" tint="-0.499984740745262"/>
          <bgColor theme="8" tint="0.79998168889431442"/>
        </patternFill>
      </fill>
    </dxf>
    <dxf>
      <fill>
        <patternFill patternType="lightTrellis">
          <fgColor theme="8" tint="-0.499984740745262"/>
          <bgColor theme="8" tint="0.79998168889431442"/>
        </patternFill>
      </fill>
    </dxf>
    <dxf>
      <fill>
        <patternFill patternType="lightTrellis">
          <fgColor theme="8" tint="-0.499984740745262"/>
          <bgColor theme="8" tint="0.79998168889431442"/>
        </patternFill>
      </fill>
    </dxf>
    <dxf>
      <fill>
        <patternFill patternType="lightTrellis">
          <fgColor theme="8" tint="-0.499984740745262"/>
          <bgColor theme="8" tint="0.7999816888943144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patternType="lightTrellis">
          <fgColor theme="9" tint="-0.49998474074526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rgb="FFFFFFCC"/>
        </patternFill>
      </fill>
    </dxf>
    <dxf>
      <fill>
        <patternFill>
          <bgColor rgb="FFFFFFCC"/>
        </patternFill>
      </fill>
    </dxf>
    <dxf>
      <font>
        <b/>
        <i val="0"/>
        <color rgb="FFFFFF0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99"/>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
      <fill>
        <patternFill>
          <bgColor rgb="FFFFFFCC"/>
        </patternFill>
      </fill>
    </dxf>
    <dxf>
      <font>
        <b/>
        <i val="0"/>
        <color rgb="FFFFFF00"/>
      </font>
      <fill>
        <patternFill>
          <bgColor rgb="FFFF0000"/>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onnections" Target="connection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Excel_AddIns/P6CXLSLib3.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tringTests True-False Samples"/>
      <sheetName val="Other Samples"/>
      <sheetName val="VER_STRING_NAME_P6C"/>
    </sheetNames>
    <definedNames>
      <definedName name="dtmFileDateInfo"/>
      <definedName name="GetFile"/>
      <definedName name="GetFolder"/>
      <definedName name="GetVersionInfo_WW"/>
      <definedName name="QuoteSpaces"/>
    </definedNames>
    <sheetDataSet>
      <sheetData sheetId="0"/>
      <sheetData sheetId="1"/>
      <sheetData sheetId="2"/>
    </sheetDataSet>
  </externalBook>
</externalLink>
</file>

<file path=xl/queryTables/queryTable1.xml><?xml version="1.0" encoding="utf-8"?>
<queryTable xmlns="http://schemas.openxmlformats.org/spreadsheetml/2006/main" name="Application_ZAPHOD42_20140305_004026"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Application_ZAPHOD42_20140305_004026"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Application_ZAPHOD42_20140305_004026" connectionId="4"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Application_ZAPHOD42_20140305_004026" connectionId="5"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PSTFileBackups" connectionId="6"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Application_ZAPHOD42_20140305_004026"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A32"/>
  <sheetViews>
    <sheetView workbookViewId="0">
      <selection activeCell="A15" sqref="A15"/>
    </sheetView>
  </sheetViews>
  <sheetFormatPr defaultRowHeight="15" x14ac:dyDescent="0.25"/>
  <cols>
    <col min="1" max="1" width="31.5" bestFit="1" customWidth="1"/>
  </cols>
  <sheetData>
    <row r="1" spans="1:1" x14ac:dyDescent="0.25">
      <c r="A1" s="14" t="s">
        <v>926</v>
      </c>
    </row>
    <row r="2" spans="1:1" x14ac:dyDescent="0.25">
      <c r="A2" s="14" t="s">
        <v>1197</v>
      </c>
    </row>
    <row r="3" spans="1:1" x14ac:dyDescent="0.25">
      <c r="A3" s="14" t="s">
        <v>454</v>
      </c>
    </row>
    <row r="4" spans="1:1" x14ac:dyDescent="0.25">
      <c r="A4" s="14" t="s">
        <v>1568</v>
      </c>
    </row>
    <row r="5" spans="1:1" x14ac:dyDescent="0.25">
      <c r="A5" s="14" t="s">
        <v>163</v>
      </c>
    </row>
    <row r="6" spans="1:1" x14ac:dyDescent="0.25">
      <c r="A6" s="14" t="s">
        <v>164</v>
      </c>
    </row>
    <row r="7" spans="1:1" x14ac:dyDescent="0.25">
      <c r="A7" s="14" t="s">
        <v>474</v>
      </c>
    </row>
    <row r="8" spans="1:1" x14ac:dyDescent="0.25">
      <c r="A8" s="14" t="s">
        <v>585</v>
      </c>
    </row>
    <row r="9" spans="1:1" x14ac:dyDescent="0.25">
      <c r="A9" s="14" t="s">
        <v>615</v>
      </c>
    </row>
    <row r="10" spans="1:1" x14ac:dyDescent="0.25">
      <c r="A10" s="14" t="s">
        <v>735</v>
      </c>
    </row>
    <row r="11" spans="1:1" x14ac:dyDescent="0.25">
      <c r="A11" s="14" t="s">
        <v>924</v>
      </c>
    </row>
    <row r="12" spans="1:1" x14ac:dyDescent="0.25">
      <c r="A12" s="14" t="s">
        <v>1199</v>
      </c>
    </row>
    <row r="13" spans="1:1" x14ac:dyDescent="0.25">
      <c r="A13" s="14" t="s">
        <v>1078</v>
      </c>
    </row>
    <row r="14" spans="1:1" x14ac:dyDescent="0.25">
      <c r="A14" s="14" t="s">
        <v>1666</v>
      </c>
    </row>
    <row r="15" spans="1:1" x14ac:dyDescent="0.25">
      <c r="A15" s="14" t="s">
        <v>1600</v>
      </c>
    </row>
    <row r="16" spans="1:1" x14ac:dyDescent="0.25">
      <c r="A16" s="14" t="s">
        <v>475</v>
      </c>
    </row>
    <row r="17" spans="1:1" x14ac:dyDescent="0.25">
      <c r="A17" s="14" t="s">
        <v>1077</v>
      </c>
    </row>
    <row r="18" spans="1:1" x14ac:dyDescent="0.25">
      <c r="A18" s="14" t="s">
        <v>1672</v>
      </c>
    </row>
    <row r="19" spans="1:1" x14ac:dyDescent="0.25">
      <c r="A19" s="14" t="s">
        <v>624</v>
      </c>
    </row>
    <row r="20" spans="1:1" x14ac:dyDescent="0.25">
      <c r="A20" s="14" t="s">
        <v>452</v>
      </c>
    </row>
    <row r="21" spans="1:1" x14ac:dyDescent="0.25">
      <c r="A21" s="14" t="s">
        <v>453</v>
      </c>
    </row>
    <row r="22" spans="1:1" x14ac:dyDescent="0.25">
      <c r="A22" s="14" t="s">
        <v>451</v>
      </c>
    </row>
    <row r="23" spans="1:1" x14ac:dyDescent="0.25">
      <c r="A23" s="14" t="s">
        <v>1198</v>
      </c>
    </row>
    <row r="24" spans="1:1" x14ac:dyDescent="0.25">
      <c r="A24" s="14" t="s">
        <v>165</v>
      </c>
    </row>
    <row r="25" spans="1:1" x14ac:dyDescent="0.25">
      <c r="A25" s="14" t="s">
        <v>865</v>
      </c>
    </row>
    <row r="26" spans="1:1" x14ac:dyDescent="0.25">
      <c r="A26" s="14" t="s">
        <v>866</v>
      </c>
    </row>
    <row r="27" spans="1:1" x14ac:dyDescent="0.25">
      <c r="A27" s="14" t="s">
        <v>1567</v>
      </c>
    </row>
    <row r="28" spans="1:1" x14ac:dyDescent="0.25">
      <c r="A28" s="14" t="s">
        <v>737</v>
      </c>
    </row>
    <row r="29" spans="1:1" x14ac:dyDescent="0.25">
      <c r="A29" s="14" t="s">
        <v>1138</v>
      </c>
    </row>
    <row r="30" spans="1:1" x14ac:dyDescent="0.25">
      <c r="A30" s="14" t="s">
        <v>736</v>
      </c>
    </row>
    <row r="31" spans="1:1" x14ac:dyDescent="0.25">
      <c r="A31" s="14" t="s">
        <v>925</v>
      </c>
    </row>
    <row r="32" spans="1:1" x14ac:dyDescent="0.25">
      <c r="A32" s="14" t="s">
        <v>1665</v>
      </c>
    </row>
  </sheetData>
  <sortState caseSensitive="1" ref="A1:A32">
    <sortCondition ref="A1"/>
  </sortState>
  <hyperlinks>
    <hyperlink ref="A5" location="'ENIGMA Application Events 1'!$A$1" display="ENIGMA Application Events 1"/>
    <hyperlink ref="A6" location="'ENIGMA Application Events 2'!$A$1" display="ENIGMA Application Events 2"/>
    <hyperlink ref="A7" location="'ENIGMA Application Events 3'!$A$1" display="ENIGMA Application Events 3"/>
    <hyperlink ref="A8" location="'ENIGMA Application Events 4'!$A$1" display="ENIGMA Application Events 4"/>
    <hyperlink ref="A9" location="'ENIGMA Application Events 5'!$A$1" display="ENIGMA Application Events 5"/>
    <hyperlink ref="A10" location="'ENIGMA Application Events 6'!$A$1" display="ENIGMA Application Events 6"/>
    <hyperlink ref="A11" location="'ENIGMA Application Events 7'!$A$1" display="ENIGMA Application Events 7"/>
    <hyperlink ref="A30" location="'WWLogger SxS Event Log 6'!$A$1" display="WWLogger SxS Event Log 6"/>
    <hyperlink ref="A31" location="'WWLogger SxS Event Log 7'!$A$1" display="WWLogger SxS Event Log 7"/>
    <hyperlink ref="A28" location="'WWLogger IMPORT'!$A$1" display="WWLogger IMPORT"/>
    <hyperlink ref="A24" location="'Windows Event Log IMPORT'!$A$1" display="Windows Event Log IMPORT"/>
    <hyperlink ref="A22" location="'Tests 6 and 7, 1 and 2'!$A$1" display="Tests 6 and 7, 1 and 2"/>
    <hyperlink ref="A20" location="'Test 3'!$A$1" display="Test 3"/>
    <hyperlink ref="A21" location="'Test 8'!$A$1" display="Test 8"/>
    <hyperlink ref="A3" location="'Complete Run, Paged'!$A$1" display="Complete Run, Paged"/>
    <hyperlink ref="A16" location="'RedirectedStreamTester Strings'!$A$1" display="RedirectedStreamTester Strings"/>
    <hyperlink ref="A19" location="'Substrings for Shell Scripts'!$A$1" display="Substrings for Shell Scripts"/>
    <hyperlink ref="A25" location="'WWConAid Standard Handles'!$A$1" display="WWConAid Standard Handles"/>
    <hyperlink ref="A26" location="'WWConAid Strings'!$A$1" display="WWConAid Strings"/>
    <hyperlink ref="A1" location="asArgInfo!$A$1" display="asArgInfo"/>
    <hyperlink ref="A17" location="'Shell Script Shortcuts'!$A$1" display="Shell Script Shortcuts"/>
    <hyperlink ref="A13" location="'MakeShortcut Variables'!$A$1" display="MakeShortcut Variables"/>
    <hyperlink ref="A29" location="'WWLOGGER Status Codes'!$A$1" display="WWLOGGER Status Codes"/>
    <hyperlink ref="A2" location="'Baked Strings to Resources'!$A$1" display="Baked Strings to Resources"/>
    <hyperlink ref="A23" location="'WaitForCarbonUnit Buffer Usage'!$A$1" display="WaitForCarbonUnit Buffer Usage"/>
    <hyperlink ref="A12" location="'HereDocs Exception Codes'!$A$1" display="HereDocs Exception Codes"/>
    <hyperlink ref="A18" location="ShsStandardHandle!$A$1" display="ShsStandardHandle"/>
    <hyperlink ref="A27" location="WWCONAID_TESTS!$A$1" display="WWCONAID_TESTS"/>
    <hyperlink ref="A4" location="DllServices_Catalog!$A$1" display="DllServices_Catalog"/>
    <hyperlink ref="A15" location="'PESubsystemID Mappings'!$A$1" display="PESubsystemID Mappings"/>
    <hyperlink ref="A32" location="WWLogger2_Catalog_ENIGMA!$A$1" display="WWLogger2_Catalog_ENIGMA"/>
    <hyperlink ref="A14" location="P6VersionInfo_dll_Catalog_ENIGM!$A$1" display="P6VersionInfo_dll_Catalog_ENIG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A1:I122"/>
  <sheetViews>
    <sheetView workbookViewId="0">
      <pane xSplit="1" ySplit="1" topLeftCell="B56" activePane="bottomRight" state="frozen"/>
      <selection pane="topRight" activeCell="B1" sqref="B1"/>
      <selection pane="bottomLeft" activeCell="A2" sqref="A2"/>
      <selection pane="bottomRight" activeCell="A56" sqref="A56"/>
    </sheetView>
  </sheetViews>
  <sheetFormatPr defaultRowHeight="15" x14ac:dyDescent="0.25"/>
  <cols>
    <col min="1" max="1" width="10.125" style="1" bestFit="1" customWidth="1"/>
    <col min="2" max="2" width="11.875" style="1" bestFit="1" customWidth="1"/>
    <col min="3" max="3" width="49" style="1" bestFit="1" customWidth="1"/>
    <col min="4" max="4" width="13" style="1" bestFit="1" customWidth="1"/>
    <col min="5" max="5" width="8.875" style="1" bestFit="1" customWidth="1"/>
    <col min="6" max="6" width="20.125" style="1" bestFit="1" customWidth="1"/>
    <col min="7" max="7" width="6.375" style="1" bestFit="1" customWidth="1"/>
    <col min="8" max="8" width="20.1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ht="75" x14ac:dyDescent="0.25">
      <c r="A2" s="4">
        <v>42027</v>
      </c>
      <c r="B2" s="4" t="s">
        <v>5</v>
      </c>
      <c r="C2" s="4" t="s">
        <v>20</v>
      </c>
      <c r="D2" s="4" t="s">
        <v>3</v>
      </c>
      <c r="E2" s="4" t="s">
        <v>2</v>
      </c>
      <c r="F2" s="5">
        <v>42173.319953703707</v>
      </c>
      <c r="G2" s="4">
        <v>45</v>
      </c>
      <c r="H2" s="4" t="s">
        <v>1</v>
      </c>
      <c r="I2" s="3" t="s">
        <v>100</v>
      </c>
    </row>
    <row r="3" spans="1:9" ht="60" x14ac:dyDescent="0.25">
      <c r="A3" s="4">
        <v>42026</v>
      </c>
      <c r="B3" s="4" t="s">
        <v>5</v>
      </c>
      <c r="C3" s="4" t="s">
        <v>22</v>
      </c>
      <c r="D3" s="4" t="s">
        <v>3</v>
      </c>
      <c r="E3" s="4" t="s">
        <v>2</v>
      </c>
      <c r="F3" s="5">
        <v>42173.31994212963</v>
      </c>
      <c r="G3" s="4">
        <v>1003</v>
      </c>
      <c r="H3" s="4" t="s">
        <v>1</v>
      </c>
      <c r="I3" s="3" t="s">
        <v>24</v>
      </c>
    </row>
    <row r="4" spans="1:9" ht="60" x14ac:dyDescent="0.25">
      <c r="A4" s="4">
        <v>42025</v>
      </c>
      <c r="B4" s="4" t="s">
        <v>5</v>
      </c>
      <c r="C4" s="4" t="s">
        <v>22</v>
      </c>
      <c r="D4" s="4" t="s">
        <v>3</v>
      </c>
      <c r="E4" s="4" t="s">
        <v>2</v>
      </c>
      <c r="F4" s="5">
        <v>42173.31994212963</v>
      </c>
      <c r="G4" s="4">
        <v>1003</v>
      </c>
      <c r="H4" s="4" t="s">
        <v>1</v>
      </c>
      <c r="I4" s="3" t="s">
        <v>23</v>
      </c>
    </row>
    <row r="5" spans="1:9" ht="409.5" x14ac:dyDescent="0.25">
      <c r="A5" s="4">
        <v>42024</v>
      </c>
      <c r="B5" s="4" t="s">
        <v>5</v>
      </c>
      <c r="C5" s="4" t="s">
        <v>22</v>
      </c>
      <c r="D5" s="4" t="s">
        <v>3</v>
      </c>
      <c r="E5" s="4" t="s">
        <v>2</v>
      </c>
      <c r="F5" s="5">
        <v>42173.31994212963</v>
      </c>
      <c r="G5" s="4">
        <v>1003</v>
      </c>
      <c r="H5" s="4" t="s">
        <v>1</v>
      </c>
      <c r="I5" s="3" t="s">
        <v>21</v>
      </c>
    </row>
    <row r="6" spans="1:9" x14ac:dyDescent="0.25">
      <c r="A6" s="4">
        <v>42023</v>
      </c>
      <c r="B6" s="4" t="s">
        <v>5</v>
      </c>
      <c r="C6" s="4" t="s">
        <v>22</v>
      </c>
      <c r="D6" s="4" t="s">
        <v>7</v>
      </c>
      <c r="E6" s="4" t="s">
        <v>2</v>
      </c>
      <c r="F6" s="5">
        <v>42173.31994212963</v>
      </c>
      <c r="G6" s="4">
        <v>902</v>
      </c>
      <c r="H6" s="4" t="s">
        <v>1</v>
      </c>
      <c r="I6" s="3" t="s">
        <v>99</v>
      </c>
    </row>
    <row r="7" spans="1:9" ht="135" x14ac:dyDescent="0.25">
      <c r="A7" s="4">
        <v>42022</v>
      </c>
      <c r="B7" s="4" t="s">
        <v>5</v>
      </c>
      <c r="C7" s="4" t="s">
        <v>22</v>
      </c>
      <c r="D7" s="4" t="s">
        <v>3</v>
      </c>
      <c r="E7" s="4" t="s">
        <v>2</v>
      </c>
      <c r="F7" s="5">
        <v>42173.31994212963</v>
      </c>
      <c r="G7" s="4">
        <v>1066</v>
      </c>
      <c r="H7" s="4" t="s">
        <v>1</v>
      </c>
      <c r="I7" s="3" t="s">
        <v>98</v>
      </c>
    </row>
    <row r="8" spans="1:9" x14ac:dyDescent="0.25">
      <c r="A8" s="4">
        <v>42021</v>
      </c>
      <c r="B8" s="4" t="s">
        <v>5</v>
      </c>
      <c r="C8" s="4" t="s">
        <v>22</v>
      </c>
      <c r="D8" s="4" t="s">
        <v>3</v>
      </c>
      <c r="E8" s="4" t="s">
        <v>2</v>
      </c>
      <c r="F8" s="5">
        <v>42173.319907407407</v>
      </c>
      <c r="G8" s="4">
        <v>900</v>
      </c>
      <c r="H8" s="4" t="s">
        <v>1</v>
      </c>
      <c r="I8" s="3" t="s">
        <v>9</v>
      </c>
    </row>
    <row r="9" spans="1:9" x14ac:dyDescent="0.25">
      <c r="A9" s="4">
        <v>42020</v>
      </c>
      <c r="B9" s="4" t="s">
        <v>5</v>
      </c>
      <c r="C9" s="4" t="s">
        <v>10</v>
      </c>
      <c r="D9" s="4" t="s">
        <v>7</v>
      </c>
      <c r="E9" s="4" t="s">
        <v>2</v>
      </c>
      <c r="F9" s="5">
        <v>42173.314803240741</v>
      </c>
      <c r="G9" s="4">
        <v>903</v>
      </c>
      <c r="H9" s="4" t="s">
        <v>1</v>
      </c>
      <c r="I9" s="3" t="s">
        <v>14</v>
      </c>
    </row>
    <row r="10" spans="1:9" x14ac:dyDescent="0.25">
      <c r="A10" s="4">
        <v>42019</v>
      </c>
      <c r="B10" s="4" t="s">
        <v>5</v>
      </c>
      <c r="C10" s="4" t="s">
        <v>10</v>
      </c>
      <c r="D10" s="4" t="s">
        <v>7</v>
      </c>
      <c r="E10" s="4" t="s">
        <v>2</v>
      </c>
      <c r="F10" s="5">
        <v>42173.311168981483</v>
      </c>
      <c r="G10" s="4">
        <v>902</v>
      </c>
      <c r="H10" s="4" t="s">
        <v>1</v>
      </c>
      <c r="I10" s="3" t="s">
        <v>13</v>
      </c>
    </row>
    <row r="11" spans="1:9" ht="409.5" x14ac:dyDescent="0.25">
      <c r="A11" s="4">
        <v>42018</v>
      </c>
      <c r="B11" s="4" t="s">
        <v>5</v>
      </c>
      <c r="C11" s="4" t="s">
        <v>10</v>
      </c>
      <c r="D11" s="4" t="s">
        <v>3</v>
      </c>
      <c r="E11" s="4" t="s">
        <v>2</v>
      </c>
      <c r="F11" s="5">
        <v>42173.311168981483</v>
      </c>
      <c r="G11" s="4">
        <v>1003</v>
      </c>
      <c r="H11" s="4" t="s">
        <v>1</v>
      </c>
      <c r="I11" s="3" t="s">
        <v>12</v>
      </c>
    </row>
    <row r="12" spans="1:9" ht="135" x14ac:dyDescent="0.25">
      <c r="A12" s="4">
        <v>42017</v>
      </c>
      <c r="B12" s="4" t="s">
        <v>5</v>
      </c>
      <c r="C12" s="4" t="s">
        <v>10</v>
      </c>
      <c r="D12" s="4" t="s">
        <v>3</v>
      </c>
      <c r="E12" s="4" t="s">
        <v>2</v>
      </c>
      <c r="F12" s="5">
        <v>42173.311168981483</v>
      </c>
      <c r="G12" s="4">
        <v>1066</v>
      </c>
      <c r="H12" s="4" t="s">
        <v>1</v>
      </c>
      <c r="I12" s="3" t="s">
        <v>11</v>
      </c>
    </row>
    <row r="13" spans="1:9" x14ac:dyDescent="0.25">
      <c r="A13" s="4">
        <v>42016</v>
      </c>
      <c r="B13" s="4" t="s">
        <v>5</v>
      </c>
      <c r="C13" s="4" t="s">
        <v>10</v>
      </c>
      <c r="D13" s="4" t="s">
        <v>3</v>
      </c>
      <c r="E13" s="4" t="s">
        <v>2</v>
      </c>
      <c r="F13" s="5">
        <v>42173.311168981483</v>
      </c>
      <c r="G13" s="4">
        <v>900</v>
      </c>
      <c r="H13" s="4" t="s">
        <v>1</v>
      </c>
      <c r="I13" s="3" t="s">
        <v>9</v>
      </c>
    </row>
    <row r="14" spans="1:9" ht="30" x14ac:dyDescent="0.25">
      <c r="A14" s="4">
        <v>42015</v>
      </c>
      <c r="B14" s="4" t="s">
        <v>5</v>
      </c>
      <c r="C14" s="4" t="s">
        <v>51</v>
      </c>
      <c r="D14" s="4" t="s">
        <v>3</v>
      </c>
      <c r="E14" s="4" t="s">
        <v>2</v>
      </c>
      <c r="F14" s="5">
        <v>42173.310983796298</v>
      </c>
      <c r="G14" s="4">
        <v>9003</v>
      </c>
      <c r="H14" s="4" t="s">
        <v>1</v>
      </c>
      <c r="I14" s="3" t="s">
        <v>97</v>
      </c>
    </row>
    <row r="15" spans="1:9" ht="30" x14ac:dyDescent="0.25">
      <c r="A15" s="4">
        <v>42014</v>
      </c>
      <c r="B15" s="4" t="s">
        <v>5</v>
      </c>
      <c r="C15" s="4" t="s">
        <v>53</v>
      </c>
      <c r="D15" s="4" t="s">
        <v>3</v>
      </c>
      <c r="E15" s="4" t="s">
        <v>2</v>
      </c>
      <c r="F15" s="5">
        <v>42173.310983796298</v>
      </c>
      <c r="G15" s="4">
        <v>6000</v>
      </c>
      <c r="H15" s="4" t="s">
        <v>1</v>
      </c>
      <c r="I15" s="3" t="s">
        <v>52</v>
      </c>
    </row>
    <row r="16" spans="1:9" x14ac:dyDescent="0.25">
      <c r="A16" s="4">
        <v>42013</v>
      </c>
      <c r="B16" s="4" t="s">
        <v>5</v>
      </c>
      <c r="C16" s="4" t="s">
        <v>96</v>
      </c>
      <c r="D16" s="4" t="s">
        <v>3</v>
      </c>
      <c r="E16" s="4" t="s">
        <v>2</v>
      </c>
      <c r="F16" s="5">
        <v>42173.310983796298</v>
      </c>
      <c r="G16" s="4">
        <v>4101</v>
      </c>
      <c r="H16" s="4" t="s">
        <v>1</v>
      </c>
      <c r="I16" s="3" t="s">
        <v>95</v>
      </c>
    </row>
    <row r="17" spans="1:9" x14ac:dyDescent="0.25">
      <c r="A17" s="4">
        <v>42012</v>
      </c>
      <c r="B17" s="4" t="s">
        <v>5</v>
      </c>
      <c r="C17" s="4" t="s">
        <v>10</v>
      </c>
      <c r="D17" s="4" t="s">
        <v>7</v>
      </c>
      <c r="E17" s="4" t="s">
        <v>2</v>
      </c>
      <c r="F17" s="5">
        <v>42173.297777777778</v>
      </c>
      <c r="G17" s="4">
        <v>903</v>
      </c>
      <c r="H17" s="4" t="s">
        <v>1</v>
      </c>
      <c r="I17" s="3" t="s">
        <v>14</v>
      </c>
    </row>
    <row r="18" spans="1:9" x14ac:dyDescent="0.25">
      <c r="A18" s="4">
        <v>42011</v>
      </c>
      <c r="B18" s="4" t="s">
        <v>5</v>
      </c>
      <c r="C18" s="4" t="s">
        <v>94</v>
      </c>
      <c r="D18" s="4" t="s">
        <v>3</v>
      </c>
      <c r="E18" s="4" t="s">
        <v>2</v>
      </c>
      <c r="F18" s="5">
        <v>42173.293773148151</v>
      </c>
      <c r="G18" s="4">
        <v>2000</v>
      </c>
      <c r="H18" s="4" t="s">
        <v>1</v>
      </c>
      <c r="I18" s="3" t="s">
        <v>93</v>
      </c>
    </row>
    <row r="19" spans="1:9" x14ac:dyDescent="0.25">
      <c r="A19" s="4">
        <v>42010</v>
      </c>
      <c r="B19" s="4" t="s">
        <v>5</v>
      </c>
      <c r="C19" s="4" t="s">
        <v>92</v>
      </c>
      <c r="D19" s="4" t="s">
        <v>3</v>
      </c>
      <c r="E19" s="4" t="s">
        <v>2</v>
      </c>
      <c r="F19" s="5">
        <v>42173.293761574074</v>
      </c>
      <c r="G19" s="4">
        <v>1003</v>
      </c>
      <c r="H19" s="4" t="s">
        <v>1</v>
      </c>
      <c r="I19" s="3" t="s">
        <v>91</v>
      </c>
    </row>
    <row r="20" spans="1:9" ht="30" x14ac:dyDescent="0.25">
      <c r="A20" s="4">
        <v>42009</v>
      </c>
      <c r="B20" s="4" t="s">
        <v>5</v>
      </c>
      <c r="C20" s="4" t="s">
        <v>86</v>
      </c>
      <c r="D20" s="4" t="s">
        <v>3</v>
      </c>
      <c r="E20" s="4" t="s">
        <v>2</v>
      </c>
      <c r="F20" s="5">
        <v>42173.293692129628</v>
      </c>
      <c r="G20" s="4">
        <v>302</v>
      </c>
      <c r="H20" s="4" t="s">
        <v>1</v>
      </c>
      <c r="I20" s="3" t="s">
        <v>90</v>
      </c>
    </row>
    <row r="21" spans="1:9" ht="30" x14ac:dyDescent="0.25">
      <c r="A21" s="4">
        <v>42008</v>
      </c>
      <c r="B21" s="4" t="s">
        <v>5</v>
      </c>
      <c r="C21" s="4" t="s">
        <v>86</v>
      </c>
      <c r="D21" s="4" t="s">
        <v>3</v>
      </c>
      <c r="E21" s="4" t="s">
        <v>2</v>
      </c>
      <c r="F21" s="5">
        <v>42173.293680555558</v>
      </c>
      <c r="G21" s="4">
        <v>301</v>
      </c>
      <c r="H21" s="4" t="s">
        <v>1</v>
      </c>
      <c r="I21" s="3" t="s">
        <v>89</v>
      </c>
    </row>
    <row r="22" spans="1:9" ht="45" x14ac:dyDescent="0.25">
      <c r="A22" s="4">
        <v>42007</v>
      </c>
      <c r="B22" s="4" t="s">
        <v>5</v>
      </c>
      <c r="C22" s="4" t="s">
        <v>86</v>
      </c>
      <c r="D22" s="4" t="s">
        <v>3</v>
      </c>
      <c r="E22" s="4" t="s">
        <v>2</v>
      </c>
      <c r="F22" s="5">
        <v>42173.293668981481</v>
      </c>
      <c r="G22" s="4">
        <v>301</v>
      </c>
      <c r="H22" s="4" t="s">
        <v>1</v>
      </c>
      <c r="I22" s="3" t="s">
        <v>88</v>
      </c>
    </row>
    <row r="23" spans="1:9" x14ac:dyDescent="0.25">
      <c r="A23" s="4">
        <v>42006</v>
      </c>
      <c r="B23" s="4" t="s">
        <v>5</v>
      </c>
      <c r="C23" s="4" t="s">
        <v>86</v>
      </c>
      <c r="D23" s="4" t="s">
        <v>3</v>
      </c>
      <c r="E23" s="4" t="s">
        <v>2</v>
      </c>
      <c r="F23" s="5">
        <v>42173.293668981481</v>
      </c>
      <c r="G23" s="4">
        <v>300</v>
      </c>
      <c r="H23" s="4" t="s">
        <v>1</v>
      </c>
      <c r="I23" s="3" t="s">
        <v>87</v>
      </c>
    </row>
    <row r="24" spans="1:9" ht="30" x14ac:dyDescent="0.25">
      <c r="A24" s="4">
        <v>42005</v>
      </c>
      <c r="B24" s="4" t="s">
        <v>5</v>
      </c>
      <c r="C24" s="4" t="s">
        <v>86</v>
      </c>
      <c r="D24" s="4" t="s">
        <v>3</v>
      </c>
      <c r="E24" s="4" t="s">
        <v>2</v>
      </c>
      <c r="F24" s="5">
        <v>42173.293668981481</v>
      </c>
      <c r="G24" s="4">
        <v>102</v>
      </c>
      <c r="H24" s="4" t="s">
        <v>1</v>
      </c>
      <c r="I24" s="3" t="s">
        <v>85</v>
      </c>
    </row>
    <row r="25" spans="1:9" x14ac:dyDescent="0.25">
      <c r="A25" s="4">
        <v>42004</v>
      </c>
      <c r="B25" s="4" t="s">
        <v>5</v>
      </c>
      <c r="C25" s="4" t="s">
        <v>10</v>
      </c>
      <c r="D25" s="4" t="s">
        <v>7</v>
      </c>
      <c r="E25" s="4" t="s">
        <v>2</v>
      </c>
      <c r="F25" s="5">
        <v>42173.293668981481</v>
      </c>
      <c r="G25" s="4">
        <v>902</v>
      </c>
      <c r="H25" s="4" t="s">
        <v>1</v>
      </c>
      <c r="I25" s="3" t="s">
        <v>13</v>
      </c>
    </row>
    <row r="26" spans="1:9" ht="409.5" x14ac:dyDescent="0.25">
      <c r="A26" s="4">
        <v>42003</v>
      </c>
      <c r="B26" s="4" t="s">
        <v>5</v>
      </c>
      <c r="C26" s="4" t="s">
        <v>10</v>
      </c>
      <c r="D26" s="4" t="s">
        <v>3</v>
      </c>
      <c r="E26" s="4" t="s">
        <v>2</v>
      </c>
      <c r="F26" s="5">
        <v>42173.293668981481</v>
      </c>
      <c r="G26" s="4">
        <v>1003</v>
      </c>
      <c r="H26" s="4" t="s">
        <v>1</v>
      </c>
      <c r="I26" s="3" t="s">
        <v>12</v>
      </c>
    </row>
    <row r="27" spans="1:9" ht="135" x14ac:dyDescent="0.25">
      <c r="A27" s="4">
        <v>42002</v>
      </c>
      <c r="B27" s="4" t="s">
        <v>5</v>
      </c>
      <c r="C27" s="4" t="s">
        <v>10</v>
      </c>
      <c r="D27" s="4" t="s">
        <v>3</v>
      </c>
      <c r="E27" s="4" t="s">
        <v>2</v>
      </c>
      <c r="F27" s="5">
        <v>42173.293668981481</v>
      </c>
      <c r="G27" s="4">
        <v>1066</v>
      </c>
      <c r="H27" s="4" t="s">
        <v>1</v>
      </c>
      <c r="I27" s="3" t="s">
        <v>11</v>
      </c>
    </row>
    <row r="28" spans="1:9" x14ac:dyDescent="0.25">
      <c r="A28" s="4">
        <v>42001</v>
      </c>
      <c r="B28" s="4" t="s">
        <v>5</v>
      </c>
      <c r="C28" s="4" t="s">
        <v>84</v>
      </c>
      <c r="D28" s="4" t="s">
        <v>3</v>
      </c>
      <c r="E28" s="4" t="s">
        <v>2</v>
      </c>
      <c r="F28" s="5">
        <v>42173.293657407405</v>
      </c>
      <c r="G28" s="4">
        <v>1</v>
      </c>
      <c r="H28" s="4" t="s">
        <v>1</v>
      </c>
      <c r="I28" s="3" t="s">
        <v>83</v>
      </c>
    </row>
    <row r="29" spans="1:9" x14ac:dyDescent="0.25">
      <c r="A29" s="4">
        <v>42000</v>
      </c>
      <c r="B29" s="4" t="s">
        <v>5</v>
      </c>
      <c r="C29" s="4" t="s">
        <v>10</v>
      </c>
      <c r="D29" s="4" t="s">
        <v>3</v>
      </c>
      <c r="E29" s="4" t="s">
        <v>2</v>
      </c>
      <c r="F29" s="5">
        <v>42173.293657407405</v>
      </c>
      <c r="G29" s="4">
        <v>900</v>
      </c>
      <c r="H29" s="4" t="s">
        <v>1</v>
      </c>
      <c r="I29" s="3" t="s">
        <v>9</v>
      </c>
    </row>
    <row r="30" spans="1:9" x14ac:dyDescent="0.25">
      <c r="A30" s="4">
        <v>41999</v>
      </c>
      <c r="B30" s="4" t="s">
        <v>5</v>
      </c>
      <c r="C30" s="4" t="s">
        <v>82</v>
      </c>
      <c r="D30" s="4" t="s">
        <v>3</v>
      </c>
      <c r="E30" s="4" t="s">
        <v>2</v>
      </c>
      <c r="F30" s="5">
        <v>42173.293657407405</v>
      </c>
      <c r="G30" s="4">
        <v>0</v>
      </c>
      <c r="H30" s="4" t="s">
        <v>55</v>
      </c>
      <c r="I30" s="3" t="s">
        <v>81</v>
      </c>
    </row>
    <row r="31" spans="1:9" x14ac:dyDescent="0.25">
      <c r="A31" s="4">
        <v>41998</v>
      </c>
      <c r="B31" s="4" t="s">
        <v>5</v>
      </c>
      <c r="C31" s="4" t="s">
        <v>18</v>
      </c>
      <c r="D31" s="4" t="s">
        <v>3</v>
      </c>
      <c r="E31" s="4" t="s">
        <v>2</v>
      </c>
      <c r="F31" s="5">
        <v>42173.293645833335</v>
      </c>
      <c r="G31" s="4">
        <v>0</v>
      </c>
      <c r="H31" s="4" t="s">
        <v>1</v>
      </c>
      <c r="I31" s="3" t="s">
        <v>17</v>
      </c>
    </row>
    <row r="32" spans="1:9" x14ac:dyDescent="0.25">
      <c r="A32" s="4">
        <v>41997</v>
      </c>
      <c r="B32" s="4" t="s">
        <v>5</v>
      </c>
      <c r="C32" s="4" t="s">
        <v>74</v>
      </c>
      <c r="D32" s="4" t="s">
        <v>3</v>
      </c>
      <c r="E32" s="4" t="s">
        <v>2</v>
      </c>
      <c r="F32" s="5">
        <v>42173.293634259258</v>
      </c>
      <c r="G32" s="4">
        <v>101</v>
      </c>
      <c r="H32" s="4" t="s">
        <v>1</v>
      </c>
      <c r="I32" s="3" t="s">
        <v>80</v>
      </c>
    </row>
    <row r="33" spans="1:9" x14ac:dyDescent="0.25">
      <c r="A33" s="4">
        <v>41996</v>
      </c>
      <c r="B33" s="4" t="s">
        <v>5</v>
      </c>
      <c r="C33" s="4" t="s">
        <v>74</v>
      </c>
      <c r="D33" s="4" t="s">
        <v>3</v>
      </c>
      <c r="E33" s="4" t="s">
        <v>2</v>
      </c>
      <c r="F33" s="5">
        <v>42173.293622685182</v>
      </c>
      <c r="G33" s="4">
        <v>103</v>
      </c>
      <c r="H33" s="4" t="s">
        <v>1</v>
      </c>
      <c r="I33" s="3" t="s">
        <v>79</v>
      </c>
    </row>
    <row r="34" spans="1:9" x14ac:dyDescent="0.25">
      <c r="A34" s="4">
        <v>41995</v>
      </c>
      <c r="B34" s="4" t="s">
        <v>5</v>
      </c>
      <c r="C34" s="4" t="s">
        <v>76</v>
      </c>
      <c r="D34" s="4" t="s">
        <v>7</v>
      </c>
      <c r="E34" s="4" t="s">
        <v>2</v>
      </c>
      <c r="F34" s="5">
        <v>42173.292245370372</v>
      </c>
      <c r="G34" s="4">
        <v>5617</v>
      </c>
      <c r="H34" s="4" t="s">
        <v>1</v>
      </c>
      <c r="I34" s="3" t="s">
        <v>75</v>
      </c>
    </row>
    <row r="35" spans="1:9" x14ac:dyDescent="0.25">
      <c r="A35" s="4">
        <v>41994</v>
      </c>
      <c r="B35" s="4" t="s">
        <v>5</v>
      </c>
      <c r="C35" s="4" t="s">
        <v>78</v>
      </c>
      <c r="D35" s="4" t="s">
        <v>3</v>
      </c>
      <c r="E35" s="4" t="s">
        <v>2</v>
      </c>
      <c r="F35" s="5">
        <v>42173.292245370372</v>
      </c>
      <c r="G35" s="4">
        <v>0</v>
      </c>
      <c r="H35" s="4" t="s">
        <v>1</v>
      </c>
      <c r="I35" s="3" t="s">
        <v>77</v>
      </c>
    </row>
    <row r="36" spans="1:9" x14ac:dyDescent="0.25">
      <c r="A36" s="4">
        <v>41993</v>
      </c>
      <c r="B36" s="4" t="s">
        <v>5</v>
      </c>
      <c r="C36" s="4" t="s">
        <v>76</v>
      </c>
      <c r="D36" s="4" t="s">
        <v>7</v>
      </c>
      <c r="E36" s="4" t="s">
        <v>2</v>
      </c>
      <c r="F36" s="5">
        <v>42173.292233796295</v>
      </c>
      <c r="G36" s="4">
        <v>5615</v>
      </c>
      <c r="H36" s="4" t="s">
        <v>1</v>
      </c>
      <c r="I36" s="3" t="s">
        <v>75</v>
      </c>
    </row>
    <row r="37" spans="1:9" x14ac:dyDescent="0.25">
      <c r="A37" s="4">
        <v>41992</v>
      </c>
      <c r="B37" s="4" t="s">
        <v>5</v>
      </c>
      <c r="C37" s="4" t="s">
        <v>74</v>
      </c>
      <c r="D37" s="4" t="s">
        <v>3</v>
      </c>
      <c r="E37" s="4" t="s">
        <v>2</v>
      </c>
      <c r="F37" s="5">
        <v>42173.292233796295</v>
      </c>
      <c r="G37" s="4">
        <v>100</v>
      </c>
      <c r="H37" s="4" t="s">
        <v>1</v>
      </c>
      <c r="I37" s="3" t="s">
        <v>73</v>
      </c>
    </row>
    <row r="38" spans="1:9" x14ac:dyDescent="0.25">
      <c r="A38" s="4">
        <v>41991</v>
      </c>
      <c r="B38" s="4" t="s">
        <v>5</v>
      </c>
      <c r="C38" s="4" t="s">
        <v>72</v>
      </c>
      <c r="D38" s="4" t="s">
        <v>3</v>
      </c>
      <c r="E38" s="4" t="s">
        <v>2</v>
      </c>
      <c r="F38" s="5">
        <v>42173.292222222219</v>
      </c>
      <c r="G38" s="4">
        <v>0</v>
      </c>
      <c r="H38" s="4" t="s">
        <v>1</v>
      </c>
      <c r="I38" s="3" t="s">
        <v>71</v>
      </c>
    </row>
    <row r="39" spans="1:9" x14ac:dyDescent="0.25">
      <c r="A39" s="4">
        <v>41990</v>
      </c>
      <c r="B39" s="4" t="s">
        <v>5</v>
      </c>
      <c r="C39" s="4" t="s">
        <v>70</v>
      </c>
      <c r="D39" s="4" t="s">
        <v>3</v>
      </c>
      <c r="E39" s="4" t="s">
        <v>2</v>
      </c>
      <c r="F39" s="5">
        <v>42173.292222222219</v>
      </c>
      <c r="G39" s="4">
        <v>0</v>
      </c>
      <c r="H39" s="4" t="s">
        <v>1</v>
      </c>
      <c r="I39" s="3" t="s">
        <v>69</v>
      </c>
    </row>
    <row r="40" spans="1:9" ht="409.5" x14ac:dyDescent="0.25">
      <c r="A40" s="4">
        <v>41989</v>
      </c>
      <c r="B40" s="4" t="s">
        <v>5</v>
      </c>
      <c r="C40" s="4" t="s">
        <v>66</v>
      </c>
      <c r="D40" s="4" t="s">
        <v>3</v>
      </c>
      <c r="E40" s="4" t="s">
        <v>2</v>
      </c>
      <c r="F40" s="5">
        <v>42173.292199074072</v>
      </c>
      <c r="G40" s="4">
        <v>50</v>
      </c>
      <c r="H40" s="4" t="s">
        <v>1</v>
      </c>
      <c r="I40" s="3" t="s">
        <v>68</v>
      </c>
    </row>
    <row r="41" spans="1:9" ht="135" x14ac:dyDescent="0.25">
      <c r="A41" s="4">
        <v>41988</v>
      </c>
      <c r="B41" s="4" t="s">
        <v>5</v>
      </c>
      <c r="C41" s="4" t="s">
        <v>66</v>
      </c>
      <c r="D41" s="4" t="s">
        <v>3</v>
      </c>
      <c r="E41" s="4" t="s">
        <v>2</v>
      </c>
      <c r="F41" s="5">
        <v>42173.292199074072</v>
      </c>
      <c r="G41" s="4">
        <v>50</v>
      </c>
      <c r="H41" s="4" t="s">
        <v>1</v>
      </c>
      <c r="I41" s="3" t="s">
        <v>67</v>
      </c>
    </row>
    <row r="42" spans="1:9" ht="105" x14ac:dyDescent="0.25">
      <c r="A42" s="4">
        <v>41987</v>
      </c>
      <c r="B42" s="4" t="s">
        <v>5</v>
      </c>
      <c r="C42" s="4" t="s">
        <v>66</v>
      </c>
      <c r="D42" s="4" t="s">
        <v>3</v>
      </c>
      <c r="E42" s="4" t="s">
        <v>2</v>
      </c>
      <c r="F42" s="5">
        <v>42173.292199074072</v>
      </c>
      <c r="G42" s="4">
        <v>50</v>
      </c>
      <c r="H42" s="4" t="s">
        <v>1</v>
      </c>
      <c r="I42" s="3" t="s">
        <v>65</v>
      </c>
    </row>
    <row r="43" spans="1:9" x14ac:dyDescent="0.25">
      <c r="A43" s="4">
        <v>41986</v>
      </c>
      <c r="B43" s="4" t="s">
        <v>5</v>
      </c>
      <c r="C43" s="4" t="s">
        <v>64</v>
      </c>
      <c r="D43" s="4" t="s">
        <v>3</v>
      </c>
      <c r="E43" s="4" t="s">
        <v>2</v>
      </c>
      <c r="F43" s="5">
        <v>42173.292129629626</v>
      </c>
      <c r="G43" s="4">
        <v>0</v>
      </c>
      <c r="H43" s="4" t="s">
        <v>1</v>
      </c>
      <c r="I43" s="3" t="s">
        <v>63</v>
      </c>
    </row>
    <row r="44" spans="1:9" x14ac:dyDescent="0.25">
      <c r="A44" s="4">
        <v>41985</v>
      </c>
      <c r="B44" s="4" t="s">
        <v>5</v>
      </c>
      <c r="C44" s="4" t="s">
        <v>57</v>
      </c>
      <c r="D44" s="4" t="s">
        <v>3</v>
      </c>
      <c r="E44" s="4" t="s">
        <v>2</v>
      </c>
      <c r="F44" s="5">
        <v>42173.292071759257</v>
      </c>
      <c r="G44" s="4">
        <v>1531</v>
      </c>
      <c r="H44" s="4" t="s">
        <v>55</v>
      </c>
      <c r="I44" s="3" t="s">
        <v>62</v>
      </c>
    </row>
    <row r="45" spans="1:9" x14ac:dyDescent="0.25">
      <c r="A45" s="4">
        <v>41984</v>
      </c>
      <c r="B45" s="4" t="s">
        <v>5</v>
      </c>
      <c r="C45" s="4" t="s">
        <v>57</v>
      </c>
      <c r="D45" s="4" t="s">
        <v>3</v>
      </c>
      <c r="E45" s="4" t="s">
        <v>2</v>
      </c>
      <c r="F45" s="5">
        <v>42173.291585648149</v>
      </c>
      <c r="G45" s="4">
        <v>1532</v>
      </c>
      <c r="H45" s="4" t="s">
        <v>55</v>
      </c>
      <c r="I45" s="3" t="s">
        <v>61</v>
      </c>
    </row>
    <row r="46" spans="1:9" ht="30" x14ac:dyDescent="0.25">
      <c r="A46" s="4">
        <v>41983</v>
      </c>
      <c r="B46" s="4" t="s">
        <v>5</v>
      </c>
      <c r="C46" s="4" t="s">
        <v>60</v>
      </c>
      <c r="D46" s="4" t="s">
        <v>3</v>
      </c>
      <c r="E46" s="4" t="s">
        <v>2</v>
      </c>
      <c r="F46" s="5">
        <v>42173.292083333334</v>
      </c>
      <c r="G46" s="4">
        <v>4625</v>
      </c>
      <c r="H46" s="4" t="s">
        <v>1</v>
      </c>
      <c r="I46" s="3" t="s">
        <v>59</v>
      </c>
    </row>
    <row r="47" spans="1:9" ht="30" x14ac:dyDescent="0.25">
      <c r="A47" s="4">
        <v>41982</v>
      </c>
      <c r="B47" s="4" t="s">
        <v>5</v>
      </c>
      <c r="C47" s="4" t="s">
        <v>53</v>
      </c>
      <c r="D47" s="4" t="s">
        <v>3</v>
      </c>
      <c r="E47" s="4" t="s">
        <v>2</v>
      </c>
      <c r="F47" s="5">
        <v>42173.291562500002</v>
      </c>
      <c r="G47" s="4">
        <v>6000</v>
      </c>
      <c r="H47" s="4" t="s">
        <v>1</v>
      </c>
      <c r="I47" s="3" t="s">
        <v>58</v>
      </c>
    </row>
    <row r="48" spans="1:9" ht="270" x14ac:dyDescent="0.25">
      <c r="A48" s="4">
        <v>41981</v>
      </c>
      <c r="B48" s="4" t="s">
        <v>5</v>
      </c>
      <c r="C48" s="4" t="s">
        <v>57</v>
      </c>
      <c r="D48" s="4" t="s">
        <v>56</v>
      </c>
      <c r="E48" s="4" t="s">
        <v>2</v>
      </c>
      <c r="F48" s="5">
        <v>42173.291550925926</v>
      </c>
      <c r="G48" s="4">
        <v>1530</v>
      </c>
      <c r="H48" s="4" t="s">
        <v>55</v>
      </c>
      <c r="I48" s="3" t="s">
        <v>54</v>
      </c>
    </row>
    <row r="49" spans="1:9" ht="30" x14ac:dyDescent="0.25">
      <c r="A49" s="4">
        <v>41980</v>
      </c>
      <c r="B49" s="4" t="s">
        <v>5</v>
      </c>
      <c r="C49" s="4" t="s">
        <v>53</v>
      </c>
      <c r="D49" s="4" t="s">
        <v>3</v>
      </c>
      <c r="E49" s="4" t="s">
        <v>2</v>
      </c>
      <c r="F49" s="5">
        <v>42173.291550925926</v>
      </c>
      <c r="G49" s="4">
        <v>6000</v>
      </c>
      <c r="H49" s="4" t="s">
        <v>1</v>
      </c>
      <c r="I49" s="3" t="s">
        <v>52</v>
      </c>
    </row>
    <row r="50" spans="1:9" x14ac:dyDescent="0.25">
      <c r="A50" s="4">
        <v>41979</v>
      </c>
      <c r="B50" s="4" t="s">
        <v>5</v>
      </c>
      <c r="C50" s="4" t="s">
        <v>51</v>
      </c>
      <c r="D50" s="4" t="s">
        <v>3</v>
      </c>
      <c r="E50" s="4" t="s">
        <v>2</v>
      </c>
      <c r="F50" s="5">
        <v>42173.291550925926</v>
      </c>
      <c r="G50" s="4">
        <v>9009</v>
      </c>
      <c r="H50" s="4" t="s">
        <v>1</v>
      </c>
      <c r="I50" s="3" t="s">
        <v>50</v>
      </c>
    </row>
    <row r="51" spans="1:9" x14ac:dyDescent="0.25">
      <c r="A51" s="4">
        <v>41978</v>
      </c>
      <c r="B51" s="4" t="s">
        <v>5</v>
      </c>
      <c r="C51" s="4" t="s">
        <v>18</v>
      </c>
      <c r="D51" s="4" t="s">
        <v>3</v>
      </c>
      <c r="E51" s="4" t="s">
        <v>2</v>
      </c>
      <c r="F51" s="5">
        <v>42173.24422453704</v>
      </c>
      <c r="G51" s="4">
        <v>0</v>
      </c>
      <c r="H51" s="4" t="s">
        <v>1</v>
      </c>
      <c r="I51" s="3" t="s">
        <v>17</v>
      </c>
    </row>
    <row r="52" spans="1:9" x14ac:dyDescent="0.25">
      <c r="A52" s="4">
        <v>41977</v>
      </c>
      <c r="B52" s="4" t="s">
        <v>5</v>
      </c>
      <c r="C52" s="4" t="s">
        <v>8</v>
      </c>
      <c r="D52" s="4" t="s">
        <v>7</v>
      </c>
      <c r="E52" s="4" t="s">
        <v>2</v>
      </c>
      <c r="F52" s="5">
        <v>42173.172060185185</v>
      </c>
      <c r="G52" s="4">
        <v>258</v>
      </c>
      <c r="H52" s="4" t="s">
        <v>1</v>
      </c>
      <c r="I52" s="3" t="s">
        <v>49</v>
      </c>
    </row>
    <row r="53" spans="1:9" x14ac:dyDescent="0.25">
      <c r="A53" s="4">
        <v>41976</v>
      </c>
      <c r="B53" s="4" t="s">
        <v>5</v>
      </c>
      <c r="C53" s="4" t="s">
        <v>10</v>
      </c>
      <c r="D53" s="4" t="s">
        <v>7</v>
      </c>
      <c r="E53" s="4" t="s">
        <v>2</v>
      </c>
      <c r="F53" s="5">
        <v>42173.136666666665</v>
      </c>
      <c r="G53" s="4">
        <v>903</v>
      </c>
      <c r="H53" s="4" t="s">
        <v>1</v>
      </c>
      <c r="I53" s="3" t="s">
        <v>14</v>
      </c>
    </row>
    <row r="54" spans="1:9" x14ac:dyDescent="0.25">
      <c r="A54" s="4">
        <v>41975</v>
      </c>
      <c r="B54" s="4" t="s">
        <v>5</v>
      </c>
      <c r="C54" s="4" t="s">
        <v>10</v>
      </c>
      <c r="D54" s="4" t="s">
        <v>7</v>
      </c>
      <c r="E54" s="4" t="s">
        <v>2</v>
      </c>
      <c r="F54" s="5">
        <v>42173.133194444446</v>
      </c>
      <c r="G54" s="4">
        <v>902</v>
      </c>
      <c r="H54" s="4" t="s">
        <v>1</v>
      </c>
      <c r="I54" s="3" t="s">
        <v>13</v>
      </c>
    </row>
    <row r="55" spans="1:9" ht="409.5" x14ac:dyDescent="0.25">
      <c r="A55" s="4">
        <v>41974</v>
      </c>
      <c r="B55" s="4" t="s">
        <v>5</v>
      </c>
      <c r="C55" s="4" t="s">
        <v>10</v>
      </c>
      <c r="D55" s="4" t="s">
        <v>3</v>
      </c>
      <c r="E55" s="4" t="s">
        <v>2</v>
      </c>
      <c r="F55" s="5">
        <v>42173.133194444446</v>
      </c>
      <c r="G55" s="4">
        <v>1003</v>
      </c>
      <c r="H55" s="4" t="s">
        <v>1</v>
      </c>
      <c r="I55" s="3" t="s">
        <v>12</v>
      </c>
    </row>
    <row r="56" spans="1:9" ht="135" x14ac:dyDescent="0.25">
      <c r="A56" s="4">
        <v>41973</v>
      </c>
      <c r="B56" s="4" t="s">
        <v>5</v>
      </c>
      <c r="C56" s="4" t="s">
        <v>10</v>
      </c>
      <c r="D56" s="4" t="s">
        <v>3</v>
      </c>
      <c r="E56" s="4" t="s">
        <v>2</v>
      </c>
      <c r="F56" s="5">
        <v>42173.133194444446</v>
      </c>
      <c r="G56" s="4">
        <v>1066</v>
      </c>
      <c r="H56" s="4" t="s">
        <v>1</v>
      </c>
      <c r="I56" s="3" t="s">
        <v>11</v>
      </c>
    </row>
    <row r="57" spans="1:9" x14ac:dyDescent="0.25">
      <c r="A57" s="4">
        <v>41972</v>
      </c>
      <c r="B57" s="4" t="s">
        <v>5</v>
      </c>
      <c r="C57" s="4" t="s">
        <v>10</v>
      </c>
      <c r="D57" s="4" t="s">
        <v>3</v>
      </c>
      <c r="E57" s="4" t="s">
        <v>2</v>
      </c>
      <c r="F57" s="5">
        <v>42173.13318287037</v>
      </c>
      <c r="G57" s="4">
        <v>900</v>
      </c>
      <c r="H57" s="4" t="s">
        <v>1</v>
      </c>
      <c r="I57" s="3" t="s">
        <v>9</v>
      </c>
    </row>
    <row r="58" spans="1:9" x14ac:dyDescent="0.25">
      <c r="A58" s="4">
        <v>41971</v>
      </c>
      <c r="B58" s="4" t="s">
        <v>5</v>
      </c>
      <c r="C58" s="4" t="s">
        <v>18</v>
      </c>
      <c r="D58" s="4" t="s">
        <v>3</v>
      </c>
      <c r="E58" s="4" t="s">
        <v>2</v>
      </c>
      <c r="F58" s="5">
        <v>42173.036064814813</v>
      </c>
      <c r="G58" s="4">
        <v>0</v>
      </c>
      <c r="H58" s="4" t="s">
        <v>1</v>
      </c>
      <c r="I58" s="3" t="s">
        <v>17</v>
      </c>
    </row>
    <row r="59" spans="1:9" x14ac:dyDescent="0.25">
      <c r="A59" s="4">
        <v>41970</v>
      </c>
      <c r="B59" s="4" t="s">
        <v>5</v>
      </c>
      <c r="C59" s="4" t="s">
        <v>4</v>
      </c>
      <c r="D59" s="4" t="s">
        <v>3</v>
      </c>
      <c r="E59" s="4" t="s">
        <v>2</v>
      </c>
      <c r="F59" s="5">
        <v>42173.011030092595</v>
      </c>
      <c r="G59" s="4">
        <v>8224</v>
      </c>
      <c r="H59" s="4" t="s">
        <v>1</v>
      </c>
      <c r="I59" s="3" t="s">
        <v>0</v>
      </c>
    </row>
    <row r="60" spans="1:9" ht="120" x14ac:dyDescent="0.25">
      <c r="A60" s="4">
        <v>41969</v>
      </c>
      <c r="B60" s="4" t="s">
        <v>5</v>
      </c>
      <c r="C60" s="4" t="s">
        <v>29</v>
      </c>
      <c r="D60" s="4" t="s">
        <v>28</v>
      </c>
      <c r="E60" s="4" t="s">
        <v>2</v>
      </c>
      <c r="F60" s="5">
        <v>42172.989791666667</v>
      </c>
      <c r="G60" s="4">
        <v>0</v>
      </c>
      <c r="H60" s="4" t="s">
        <v>1</v>
      </c>
      <c r="I60" s="3" t="s">
        <v>48</v>
      </c>
    </row>
    <row r="61" spans="1:9" ht="120" x14ac:dyDescent="0.25">
      <c r="A61" s="4">
        <v>41968</v>
      </c>
      <c r="B61" s="4" t="s">
        <v>5</v>
      </c>
      <c r="C61" s="4" t="s">
        <v>29</v>
      </c>
      <c r="D61" s="4" t="s">
        <v>28</v>
      </c>
      <c r="E61" s="4" t="s">
        <v>2</v>
      </c>
      <c r="F61" s="5">
        <v>42172.988703703704</v>
      </c>
      <c r="G61" s="4">
        <v>0</v>
      </c>
      <c r="H61" s="4" t="s">
        <v>1</v>
      </c>
      <c r="I61" s="3" t="s">
        <v>47</v>
      </c>
    </row>
    <row r="62" spans="1:9" ht="120" x14ac:dyDescent="0.25">
      <c r="A62" s="4">
        <v>41967</v>
      </c>
      <c r="B62" s="4" t="s">
        <v>5</v>
      </c>
      <c r="C62" s="4" t="s">
        <v>29</v>
      </c>
      <c r="D62" s="4" t="s">
        <v>28</v>
      </c>
      <c r="E62" s="4" t="s">
        <v>2</v>
      </c>
      <c r="F62" s="5">
        <v>42172.988692129627</v>
      </c>
      <c r="G62" s="4">
        <v>0</v>
      </c>
      <c r="H62" s="4" t="s">
        <v>1</v>
      </c>
      <c r="I62" s="3" t="s">
        <v>46</v>
      </c>
    </row>
    <row r="63" spans="1:9" ht="120" x14ac:dyDescent="0.25">
      <c r="A63" s="4">
        <v>41966</v>
      </c>
      <c r="B63" s="4" t="s">
        <v>5</v>
      </c>
      <c r="C63" s="4" t="s">
        <v>29</v>
      </c>
      <c r="D63" s="4" t="s">
        <v>28</v>
      </c>
      <c r="E63" s="4" t="s">
        <v>2</v>
      </c>
      <c r="F63" s="5">
        <v>42172.988668981481</v>
      </c>
      <c r="G63" s="4">
        <v>0</v>
      </c>
      <c r="H63" s="4" t="s">
        <v>1</v>
      </c>
      <c r="I63" s="3" t="s">
        <v>45</v>
      </c>
    </row>
    <row r="64" spans="1:9" ht="120" x14ac:dyDescent="0.25">
      <c r="A64" s="4">
        <v>41965</v>
      </c>
      <c r="B64" s="4" t="s">
        <v>5</v>
      </c>
      <c r="C64" s="4" t="s">
        <v>29</v>
      </c>
      <c r="D64" s="4" t="s">
        <v>28</v>
      </c>
      <c r="E64" s="4" t="s">
        <v>2</v>
      </c>
      <c r="F64" s="5">
        <v>42172.988599537035</v>
      </c>
      <c r="G64" s="4">
        <v>0</v>
      </c>
      <c r="H64" s="4" t="s">
        <v>1</v>
      </c>
      <c r="I64" s="3" t="s">
        <v>44</v>
      </c>
    </row>
    <row r="65" spans="1:9" ht="120" x14ac:dyDescent="0.25">
      <c r="A65" s="4">
        <v>41964</v>
      </c>
      <c r="B65" s="4" t="s">
        <v>5</v>
      </c>
      <c r="C65" s="4" t="s">
        <v>29</v>
      </c>
      <c r="D65" s="4" t="s">
        <v>28</v>
      </c>
      <c r="E65" s="4" t="s">
        <v>2</v>
      </c>
      <c r="F65" s="5">
        <v>42172.987905092596</v>
      </c>
      <c r="G65" s="4">
        <v>0</v>
      </c>
      <c r="H65" s="4" t="s">
        <v>1</v>
      </c>
      <c r="I65" s="3" t="s">
        <v>43</v>
      </c>
    </row>
    <row r="66" spans="1:9" ht="195" x14ac:dyDescent="0.25">
      <c r="A66" s="4">
        <v>41963</v>
      </c>
      <c r="B66" s="4" t="s">
        <v>5</v>
      </c>
      <c r="C66" s="4" t="s">
        <v>29</v>
      </c>
      <c r="D66" s="4" t="s">
        <v>28</v>
      </c>
      <c r="E66" s="4" t="s">
        <v>2</v>
      </c>
      <c r="F66" s="5">
        <v>42172.954444444447</v>
      </c>
      <c r="G66" s="4">
        <v>0</v>
      </c>
      <c r="H66" s="4" t="s">
        <v>1</v>
      </c>
      <c r="I66" s="3" t="s">
        <v>42</v>
      </c>
    </row>
    <row r="67" spans="1:9" ht="120" x14ac:dyDescent="0.25">
      <c r="A67" s="4">
        <v>41962</v>
      </c>
      <c r="B67" s="4" t="s">
        <v>5</v>
      </c>
      <c r="C67" s="4" t="s">
        <v>29</v>
      </c>
      <c r="D67" s="4" t="s">
        <v>28</v>
      </c>
      <c r="E67" s="4" t="s">
        <v>2</v>
      </c>
      <c r="F67" s="5">
        <v>42172.945532407408</v>
      </c>
      <c r="G67" s="4">
        <v>0</v>
      </c>
      <c r="H67" s="4" t="s">
        <v>1</v>
      </c>
      <c r="I67" s="3" t="s">
        <v>41</v>
      </c>
    </row>
    <row r="68" spans="1:9" ht="120" x14ac:dyDescent="0.25">
      <c r="A68" s="4">
        <v>41961</v>
      </c>
      <c r="B68" s="4" t="s">
        <v>5</v>
      </c>
      <c r="C68" s="4" t="s">
        <v>29</v>
      </c>
      <c r="D68" s="4" t="s">
        <v>28</v>
      </c>
      <c r="E68" s="4" t="s">
        <v>2</v>
      </c>
      <c r="F68" s="5">
        <v>42172.944074074076</v>
      </c>
      <c r="G68" s="4">
        <v>0</v>
      </c>
      <c r="H68" s="4" t="s">
        <v>1</v>
      </c>
      <c r="I68" s="3" t="s">
        <v>40</v>
      </c>
    </row>
    <row r="69" spans="1:9" ht="120" x14ac:dyDescent="0.25">
      <c r="A69" s="4">
        <v>41960</v>
      </c>
      <c r="B69" s="4" t="s">
        <v>5</v>
      </c>
      <c r="C69" s="4" t="s">
        <v>29</v>
      </c>
      <c r="D69" s="4" t="s">
        <v>28</v>
      </c>
      <c r="E69" s="4" t="s">
        <v>2</v>
      </c>
      <c r="F69" s="5">
        <v>42172.944004629629</v>
      </c>
      <c r="G69" s="4">
        <v>0</v>
      </c>
      <c r="H69" s="4" t="s">
        <v>1</v>
      </c>
      <c r="I69" s="3" t="s">
        <v>39</v>
      </c>
    </row>
    <row r="70" spans="1:9" ht="120" x14ac:dyDescent="0.25">
      <c r="A70" s="4">
        <v>41959</v>
      </c>
      <c r="B70" s="4" t="s">
        <v>5</v>
      </c>
      <c r="C70" s="4" t="s">
        <v>29</v>
      </c>
      <c r="D70" s="4" t="s">
        <v>28</v>
      </c>
      <c r="E70" s="4" t="s">
        <v>2</v>
      </c>
      <c r="F70" s="5">
        <v>42172.943935185183</v>
      </c>
      <c r="G70" s="4">
        <v>0</v>
      </c>
      <c r="H70" s="4" t="s">
        <v>1</v>
      </c>
      <c r="I70" s="3" t="s">
        <v>38</v>
      </c>
    </row>
    <row r="71" spans="1:9" ht="120" x14ac:dyDescent="0.25">
      <c r="A71" s="4">
        <v>41958</v>
      </c>
      <c r="B71" s="4" t="s">
        <v>5</v>
      </c>
      <c r="C71" s="4" t="s">
        <v>29</v>
      </c>
      <c r="D71" s="4" t="s">
        <v>28</v>
      </c>
      <c r="E71" s="4" t="s">
        <v>2</v>
      </c>
      <c r="F71" s="5">
        <v>42172.943865740737</v>
      </c>
      <c r="G71" s="4">
        <v>0</v>
      </c>
      <c r="H71" s="4" t="s">
        <v>1</v>
      </c>
      <c r="I71" s="3" t="s">
        <v>37</v>
      </c>
    </row>
    <row r="72" spans="1:9" ht="120" x14ac:dyDescent="0.25">
      <c r="A72" s="4">
        <v>41957</v>
      </c>
      <c r="B72" s="4" t="s">
        <v>5</v>
      </c>
      <c r="C72" s="4" t="s">
        <v>29</v>
      </c>
      <c r="D72" s="4" t="s">
        <v>28</v>
      </c>
      <c r="E72" s="4" t="s">
        <v>2</v>
      </c>
      <c r="F72" s="5">
        <v>42172.943773148145</v>
      </c>
      <c r="G72" s="4">
        <v>0</v>
      </c>
      <c r="H72" s="4" t="s">
        <v>1</v>
      </c>
      <c r="I72" s="3" t="s">
        <v>36</v>
      </c>
    </row>
    <row r="73" spans="1:9" x14ac:dyDescent="0.25">
      <c r="A73" s="4">
        <v>41956</v>
      </c>
      <c r="B73" s="4" t="s">
        <v>5</v>
      </c>
      <c r="C73" s="4" t="s">
        <v>18</v>
      </c>
      <c r="D73" s="4" t="s">
        <v>3</v>
      </c>
      <c r="E73" s="4" t="s">
        <v>2</v>
      </c>
      <c r="F73" s="5">
        <v>42172.827372685184</v>
      </c>
      <c r="G73" s="4">
        <v>0</v>
      </c>
      <c r="H73" s="4" t="s">
        <v>1</v>
      </c>
      <c r="I73" s="3" t="s">
        <v>17</v>
      </c>
    </row>
    <row r="74" spans="1:9" ht="60" x14ac:dyDescent="0.25">
      <c r="A74" s="4">
        <v>41955</v>
      </c>
      <c r="B74" s="4" t="s">
        <v>5</v>
      </c>
      <c r="C74" s="4" t="s">
        <v>22</v>
      </c>
      <c r="D74" s="4" t="s">
        <v>3</v>
      </c>
      <c r="E74" s="4" t="s">
        <v>2</v>
      </c>
      <c r="F74" s="5">
        <v>42172.695601851854</v>
      </c>
      <c r="G74" s="4">
        <v>1003</v>
      </c>
      <c r="H74" s="4" t="s">
        <v>1</v>
      </c>
      <c r="I74" s="3" t="s">
        <v>24</v>
      </c>
    </row>
    <row r="75" spans="1:9" ht="60" x14ac:dyDescent="0.25">
      <c r="A75" s="4">
        <v>41954</v>
      </c>
      <c r="B75" s="4" t="s">
        <v>5</v>
      </c>
      <c r="C75" s="4" t="s">
        <v>22</v>
      </c>
      <c r="D75" s="4" t="s">
        <v>3</v>
      </c>
      <c r="E75" s="4" t="s">
        <v>2</v>
      </c>
      <c r="F75" s="5">
        <v>42172.695601851854</v>
      </c>
      <c r="G75" s="4">
        <v>1003</v>
      </c>
      <c r="H75" s="4" t="s">
        <v>1</v>
      </c>
      <c r="I75" s="3" t="s">
        <v>23</v>
      </c>
    </row>
    <row r="76" spans="1:9" ht="409.5" x14ac:dyDescent="0.25">
      <c r="A76" s="4">
        <v>41953</v>
      </c>
      <c r="B76" s="4" t="s">
        <v>5</v>
      </c>
      <c r="C76" s="4" t="s">
        <v>22</v>
      </c>
      <c r="D76" s="4" t="s">
        <v>3</v>
      </c>
      <c r="E76" s="4" t="s">
        <v>2</v>
      </c>
      <c r="F76" s="5">
        <v>42172.695601851854</v>
      </c>
      <c r="G76" s="4">
        <v>1003</v>
      </c>
      <c r="H76" s="4" t="s">
        <v>1</v>
      </c>
      <c r="I76" s="3" t="s">
        <v>21</v>
      </c>
    </row>
    <row r="77" spans="1:9" x14ac:dyDescent="0.25">
      <c r="A77" s="4">
        <v>41952</v>
      </c>
      <c r="B77" s="4" t="s">
        <v>5</v>
      </c>
      <c r="C77" s="4" t="s">
        <v>18</v>
      </c>
      <c r="D77" s="4" t="s">
        <v>3</v>
      </c>
      <c r="E77" s="4" t="s">
        <v>2</v>
      </c>
      <c r="F77" s="5">
        <v>42172.61923611111</v>
      </c>
      <c r="G77" s="4">
        <v>0</v>
      </c>
      <c r="H77" s="4" t="s">
        <v>1</v>
      </c>
      <c r="I77" s="3" t="s">
        <v>17</v>
      </c>
    </row>
    <row r="78" spans="1:9" ht="60" x14ac:dyDescent="0.25">
      <c r="A78" s="4">
        <v>41951</v>
      </c>
      <c r="B78" s="4" t="s">
        <v>5</v>
      </c>
      <c r="C78" s="4" t="s">
        <v>22</v>
      </c>
      <c r="D78" s="4" t="s">
        <v>3</v>
      </c>
      <c r="E78" s="4" t="s">
        <v>2</v>
      </c>
      <c r="F78" s="5">
        <v>42172.600578703707</v>
      </c>
      <c r="G78" s="4">
        <v>1003</v>
      </c>
      <c r="H78" s="4" t="s">
        <v>1</v>
      </c>
      <c r="I78" s="3" t="s">
        <v>24</v>
      </c>
    </row>
    <row r="79" spans="1:9" ht="60" x14ac:dyDescent="0.25">
      <c r="A79" s="4">
        <v>41950</v>
      </c>
      <c r="B79" s="4" t="s">
        <v>5</v>
      </c>
      <c r="C79" s="4" t="s">
        <v>22</v>
      </c>
      <c r="D79" s="4" t="s">
        <v>3</v>
      </c>
      <c r="E79" s="4" t="s">
        <v>2</v>
      </c>
      <c r="F79" s="5">
        <v>42172.600578703707</v>
      </c>
      <c r="G79" s="4">
        <v>1003</v>
      </c>
      <c r="H79" s="4" t="s">
        <v>1</v>
      </c>
      <c r="I79" s="3" t="s">
        <v>23</v>
      </c>
    </row>
    <row r="80" spans="1:9" ht="409.5" x14ac:dyDescent="0.25">
      <c r="A80" s="4">
        <v>41949</v>
      </c>
      <c r="B80" s="4" t="s">
        <v>5</v>
      </c>
      <c r="C80" s="4" t="s">
        <v>22</v>
      </c>
      <c r="D80" s="4" t="s">
        <v>3</v>
      </c>
      <c r="E80" s="4" t="s">
        <v>2</v>
      </c>
      <c r="F80" s="5">
        <v>42172.600578703707</v>
      </c>
      <c r="G80" s="4">
        <v>1003</v>
      </c>
      <c r="H80" s="4" t="s">
        <v>1</v>
      </c>
      <c r="I80" s="3" t="s">
        <v>21</v>
      </c>
    </row>
    <row r="81" spans="1:9" ht="285" x14ac:dyDescent="0.25">
      <c r="A81" s="4">
        <v>41948</v>
      </c>
      <c r="B81" s="4" t="s">
        <v>5</v>
      </c>
      <c r="C81" s="4" t="s">
        <v>29</v>
      </c>
      <c r="D81" s="4" t="s">
        <v>28</v>
      </c>
      <c r="E81" s="4" t="s">
        <v>2</v>
      </c>
      <c r="F81" s="5">
        <v>42172.547569444447</v>
      </c>
      <c r="G81" s="4">
        <v>0</v>
      </c>
      <c r="H81" s="4" t="s">
        <v>1</v>
      </c>
      <c r="I81" s="3" t="s">
        <v>35</v>
      </c>
    </row>
    <row r="82" spans="1:9" ht="120" x14ac:dyDescent="0.25">
      <c r="A82" s="4">
        <v>41947</v>
      </c>
      <c r="B82" s="4" t="s">
        <v>5</v>
      </c>
      <c r="C82" s="4" t="s">
        <v>29</v>
      </c>
      <c r="D82" s="4" t="s">
        <v>28</v>
      </c>
      <c r="E82" s="4" t="s">
        <v>2</v>
      </c>
      <c r="F82" s="5">
        <v>42172.54755787037</v>
      </c>
      <c r="G82" s="4">
        <v>0</v>
      </c>
      <c r="H82" s="4" t="s">
        <v>1</v>
      </c>
      <c r="I82" s="3" t="s">
        <v>34</v>
      </c>
    </row>
    <row r="83" spans="1:9" ht="120" x14ac:dyDescent="0.25">
      <c r="A83" s="4">
        <v>41946</v>
      </c>
      <c r="B83" s="4" t="s">
        <v>5</v>
      </c>
      <c r="C83" s="4" t="s">
        <v>29</v>
      </c>
      <c r="D83" s="4" t="s">
        <v>28</v>
      </c>
      <c r="E83" s="4" t="s">
        <v>2</v>
      </c>
      <c r="F83" s="5">
        <v>42172.535624999997</v>
      </c>
      <c r="G83" s="4">
        <v>0</v>
      </c>
      <c r="H83" s="4" t="s">
        <v>1</v>
      </c>
      <c r="I83" s="3" t="s">
        <v>33</v>
      </c>
    </row>
    <row r="84" spans="1:9" ht="120" x14ac:dyDescent="0.25">
      <c r="A84" s="4">
        <v>41945</v>
      </c>
      <c r="B84" s="4" t="s">
        <v>5</v>
      </c>
      <c r="C84" s="4" t="s">
        <v>29</v>
      </c>
      <c r="D84" s="4" t="s">
        <v>28</v>
      </c>
      <c r="E84" s="4" t="s">
        <v>2</v>
      </c>
      <c r="F84" s="5">
        <v>42172.528020833335</v>
      </c>
      <c r="G84" s="4">
        <v>0</v>
      </c>
      <c r="H84" s="4" t="s">
        <v>1</v>
      </c>
      <c r="I84" s="3" t="s">
        <v>32</v>
      </c>
    </row>
    <row r="85" spans="1:9" ht="120" x14ac:dyDescent="0.25">
      <c r="A85" s="4">
        <v>41944</v>
      </c>
      <c r="B85" s="4" t="s">
        <v>5</v>
      </c>
      <c r="C85" s="4" t="s">
        <v>29</v>
      </c>
      <c r="D85" s="4" t="s">
        <v>28</v>
      </c>
      <c r="E85" s="4" t="s">
        <v>2</v>
      </c>
      <c r="F85" s="5">
        <v>42172.526377314818</v>
      </c>
      <c r="G85" s="4">
        <v>0</v>
      </c>
      <c r="H85" s="4" t="s">
        <v>1</v>
      </c>
      <c r="I85" s="3" t="s">
        <v>31</v>
      </c>
    </row>
    <row r="86" spans="1:9" ht="120" x14ac:dyDescent="0.25">
      <c r="A86" s="4">
        <v>41943</v>
      </c>
      <c r="B86" s="4" t="s">
        <v>5</v>
      </c>
      <c r="C86" s="4" t="s">
        <v>29</v>
      </c>
      <c r="D86" s="4" t="s">
        <v>28</v>
      </c>
      <c r="E86" s="4" t="s">
        <v>2</v>
      </c>
      <c r="F86" s="5">
        <v>42172.5234837963</v>
      </c>
      <c r="G86" s="4">
        <v>0</v>
      </c>
      <c r="H86" s="4" t="s">
        <v>1</v>
      </c>
      <c r="I86" s="3" t="s">
        <v>30</v>
      </c>
    </row>
    <row r="87" spans="1:9" ht="120" x14ac:dyDescent="0.25">
      <c r="A87" s="4">
        <v>41942</v>
      </c>
      <c r="B87" s="4" t="s">
        <v>5</v>
      </c>
      <c r="C87" s="4" t="s">
        <v>29</v>
      </c>
      <c r="D87" s="4" t="s">
        <v>28</v>
      </c>
      <c r="E87" s="4" t="s">
        <v>2</v>
      </c>
      <c r="F87" s="5">
        <v>42172.512407407405</v>
      </c>
      <c r="G87" s="4">
        <v>0</v>
      </c>
      <c r="H87" s="4" t="s">
        <v>1</v>
      </c>
      <c r="I87" s="3" t="s">
        <v>27</v>
      </c>
    </row>
    <row r="88" spans="1:9" ht="60" x14ac:dyDescent="0.25">
      <c r="A88" s="4">
        <v>41941</v>
      </c>
      <c r="B88" s="4" t="s">
        <v>5</v>
      </c>
      <c r="C88" s="4" t="s">
        <v>22</v>
      </c>
      <c r="D88" s="4" t="s">
        <v>3</v>
      </c>
      <c r="E88" s="4" t="s">
        <v>2</v>
      </c>
      <c r="F88" s="5">
        <v>42172.506192129629</v>
      </c>
      <c r="G88" s="4">
        <v>1003</v>
      </c>
      <c r="H88" s="4" t="s">
        <v>1</v>
      </c>
      <c r="I88" s="3" t="s">
        <v>24</v>
      </c>
    </row>
    <row r="89" spans="1:9" ht="60" x14ac:dyDescent="0.25">
      <c r="A89" s="4">
        <v>41940</v>
      </c>
      <c r="B89" s="4" t="s">
        <v>5</v>
      </c>
      <c r="C89" s="4" t="s">
        <v>22</v>
      </c>
      <c r="D89" s="4" t="s">
        <v>3</v>
      </c>
      <c r="E89" s="4" t="s">
        <v>2</v>
      </c>
      <c r="F89" s="5">
        <v>42172.506192129629</v>
      </c>
      <c r="G89" s="4">
        <v>1003</v>
      </c>
      <c r="H89" s="4" t="s">
        <v>1</v>
      </c>
      <c r="I89" s="3" t="s">
        <v>23</v>
      </c>
    </row>
    <row r="90" spans="1:9" ht="409.5" x14ac:dyDescent="0.25">
      <c r="A90" s="4">
        <v>41939</v>
      </c>
      <c r="B90" s="4" t="s">
        <v>5</v>
      </c>
      <c r="C90" s="4" t="s">
        <v>22</v>
      </c>
      <c r="D90" s="4" t="s">
        <v>3</v>
      </c>
      <c r="E90" s="4" t="s">
        <v>2</v>
      </c>
      <c r="F90" s="5">
        <v>42172.506192129629</v>
      </c>
      <c r="G90" s="4">
        <v>1003</v>
      </c>
      <c r="H90" s="4" t="s">
        <v>1</v>
      </c>
      <c r="I90" s="3" t="s">
        <v>21</v>
      </c>
    </row>
    <row r="91" spans="1:9" x14ac:dyDescent="0.25">
      <c r="A91" s="4">
        <v>41938</v>
      </c>
      <c r="B91" s="4" t="s">
        <v>5</v>
      </c>
      <c r="C91" s="4" t="s">
        <v>18</v>
      </c>
      <c r="D91" s="4" t="s">
        <v>3</v>
      </c>
      <c r="E91" s="4" t="s">
        <v>2</v>
      </c>
      <c r="F91" s="5">
        <v>42172.410833333335</v>
      </c>
      <c r="G91" s="4">
        <v>0</v>
      </c>
      <c r="H91" s="4" t="s">
        <v>1</v>
      </c>
      <c r="I91" s="3" t="s">
        <v>17</v>
      </c>
    </row>
    <row r="92" spans="1:9" ht="30" x14ac:dyDescent="0.25">
      <c r="A92" s="4">
        <v>41937</v>
      </c>
      <c r="B92" s="4" t="s">
        <v>5</v>
      </c>
      <c r="C92" s="4" t="s">
        <v>20</v>
      </c>
      <c r="D92" s="4" t="s">
        <v>3</v>
      </c>
      <c r="E92" s="4" t="s">
        <v>2</v>
      </c>
      <c r="F92" s="5">
        <v>42172.398842592593</v>
      </c>
      <c r="G92" s="4">
        <v>32</v>
      </c>
      <c r="H92" s="4" t="s">
        <v>1</v>
      </c>
      <c r="I92" s="3" t="s">
        <v>26</v>
      </c>
    </row>
    <row r="93" spans="1:9" ht="30" x14ac:dyDescent="0.25">
      <c r="A93" s="4">
        <v>41936</v>
      </c>
      <c r="B93" s="4" t="s">
        <v>5</v>
      </c>
      <c r="C93" s="4" t="s">
        <v>20</v>
      </c>
      <c r="D93" s="4" t="s">
        <v>3</v>
      </c>
      <c r="E93" s="4" t="s">
        <v>2</v>
      </c>
      <c r="F93" s="5">
        <v>42172.398842592593</v>
      </c>
      <c r="G93" s="4">
        <v>32</v>
      </c>
      <c r="H93" s="4" t="s">
        <v>1</v>
      </c>
      <c r="I93" s="3" t="s">
        <v>25</v>
      </c>
    </row>
    <row r="94" spans="1:9" x14ac:dyDescent="0.25">
      <c r="A94" s="4">
        <v>41935</v>
      </c>
      <c r="B94" s="4" t="s">
        <v>5</v>
      </c>
      <c r="C94" s="4" t="s">
        <v>10</v>
      </c>
      <c r="D94" s="4" t="s">
        <v>7</v>
      </c>
      <c r="E94" s="4" t="s">
        <v>2</v>
      </c>
      <c r="F94" s="5">
        <v>42172.389490740738</v>
      </c>
      <c r="G94" s="4">
        <v>903</v>
      </c>
      <c r="H94" s="4" t="s">
        <v>1</v>
      </c>
      <c r="I94" s="3" t="s">
        <v>14</v>
      </c>
    </row>
    <row r="95" spans="1:9" x14ac:dyDescent="0.25">
      <c r="A95" s="4">
        <v>41934</v>
      </c>
      <c r="B95" s="4" t="s">
        <v>5</v>
      </c>
      <c r="C95" s="4" t="s">
        <v>10</v>
      </c>
      <c r="D95" s="4" t="s">
        <v>7</v>
      </c>
      <c r="E95" s="4" t="s">
        <v>2</v>
      </c>
      <c r="F95" s="5">
        <v>42172.386006944442</v>
      </c>
      <c r="G95" s="4">
        <v>902</v>
      </c>
      <c r="H95" s="4" t="s">
        <v>1</v>
      </c>
      <c r="I95" s="3" t="s">
        <v>13</v>
      </c>
    </row>
    <row r="96" spans="1:9" ht="409.5" x14ac:dyDescent="0.25">
      <c r="A96" s="4">
        <v>41933</v>
      </c>
      <c r="B96" s="4" t="s">
        <v>5</v>
      </c>
      <c r="C96" s="4" t="s">
        <v>10</v>
      </c>
      <c r="D96" s="4" t="s">
        <v>3</v>
      </c>
      <c r="E96" s="4" t="s">
        <v>2</v>
      </c>
      <c r="F96" s="5">
        <v>42172.386006944442</v>
      </c>
      <c r="G96" s="4">
        <v>1003</v>
      </c>
      <c r="H96" s="4" t="s">
        <v>1</v>
      </c>
      <c r="I96" s="3" t="s">
        <v>12</v>
      </c>
    </row>
    <row r="97" spans="1:9" ht="135" x14ac:dyDescent="0.25">
      <c r="A97" s="4">
        <v>41932</v>
      </c>
      <c r="B97" s="4" t="s">
        <v>5</v>
      </c>
      <c r="C97" s="4" t="s">
        <v>10</v>
      </c>
      <c r="D97" s="4" t="s">
        <v>3</v>
      </c>
      <c r="E97" s="4" t="s">
        <v>2</v>
      </c>
      <c r="F97" s="5">
        <v>42172.386006944442</v>
      </c>
      <c r="G97" s="4">
        <v>1066</v>
      </c>
      <c r="H97" s="4" t="s">
        <v>1</v>
      </c>
      <c r="I97" s="3" t="s">
        <v>11</v>
      </c>
    </row>
    <row r="98" spans="1:9" x14ac:dyDescent="0.25">
      <c r="A98" s="4">
        <v>41931</v>
      </c>
      <c r="B98" s="4" t="s">
        <v>5</v>
      </c>
      <c r="C98" s="4" t="s">
        <v>10</v>
      </c>
      <c r="D98" s="4" t="s">
        <v>3</v>
      </c>
      <c r="E98" s="4" t="s">
        <v>2</v>
      </c>
      <c r="F98" s="5">
        <v>42172.386006944442</v>
      </c>
      <c r="G98" s="4">
        <v>900</v>
      </c>
      <c r="H98" s="4" t="s">
        <v>1</v>
      </c>
      <c r="I98" s="3" t="s">
        <v>9</v>
      </c>
    </row>
    <row r="99" spans="1:9" ht="60" x14ac:dyDescent="0.25">
      <c r="A99" s="4">
        <v>41930</v>
      </c>
      <c r="B99" s="4" t="s">
        <v>5</v>
      </c>
      <c r="C99" s="4" t="s">
        <v>22</v>
      </c>
      <c r="D99" s="4" t="s">
        <v>3</v>
      </c>
      <c r="E99" s="4" t="s">
        <v>2</v>
      </c>
      <c r="F99" s="5">
        <v>42172.379340277781</v>
      </c>
      <c r="G99" s="4">
        <v>1003</v>
      </c>
      <c r="H99" s="4" t="s">
        <v>1</v>
      </c>
      <c r="I99" s="3" t="s">
        <v>24</v>
      </c>
    </row>
    <row r="100" spans="1:9" ht="60" x14ac:dyDescent="0.25">
      <c r="A100" s="4">
        <v>41929</v>
      </c>
      <c r="B100" s="4" t="s">
        <v>5</v>
      </c>
      <c r="C100" s="4" t="s">
        <v>22</v>
      </c>
      <c r="D100" s="4" t="s">
        <v>3</v>
      </c>
      <c r="E100" s="4" t="s">
        <v>2</v>
      </c>
      <c r="F100" s="5">
        <v>42172.379340277781</v>
      </c>
      <c r="G100" s="4">
        <v>1003</v>
      </c>
      <c r="H100" s="4" t="s">
        <v>1</v>
      </c>
      <c r="I100" s="3" t="s">
        <v>23</v>
      </c>
    </row>
    <row r="101" spans="1:9" ht="409.5" x14ac:dyDescent="0.25">
      <c r="A101" s="4">
        <v>41928</v>
      </c>
      <c r="B101" s="4" t="s">
        <v>5</v>
      </c>
      <c r="C101" s="4" t="s">
        <v>22</v>
      </c>
      <c r="D101" s="4" t="s">
        <v>3</v>
      </c>
      <c r="E101" s="4" t="s">
        <v>2</v>
      </c>
      <c r="F101" s="5">
        <v>42172.379340277781</v>
      </c>
      <c r="G101" s="4">
        <v>1003</v>
      </c>
      <c r="H101" s="4" t="s">
        <v>1</v>
      </c>
      <c r="I101" s="3" t="s">
        <v>21</v>
      </c>
    </row>
    <row r="102" spans="1:9" ht="75" x14ac:dyDescent="0.25">
      <c r="A102" s="4">
        <v>41927</v>
      </c>
      <c r="B102" s="4" t="s">
        <v>5</v>
      </c>
      <c r="C102" s="4" t="s">
        <v>20</v>
      </c>
      <c r="D102" s="4" t="s">
        <v>3</v>
      </c>
      <c r="E102" s="4" t="s">
        <v>2</v>
      </c>
      <c r="F102" s="5">
        <v>42172.379328703704</v>
      </c>
      <c r="G102" s="4">
        <v>45</v>
      </c>
      <c r="H102" s="4" t="s">
        <v>1</v>
      </c>
      <c r="I102" s="3" t="s">
        <v>19</v>
      </c>
    </row>
    <row r="103" spans="1:9" ht="60" x14ac:dyDescent="0.25">
      <c r="A103" s="4">
        <v>41926</v>
      </c>
      <c r="B103" s="4" t="s">
        <v>5</v>
      </c>
      <c r="C103" s="4" t="s">
        <v>22</v>
      </c>
      <c r="D103" s="4" t="s">
        <v>3</v>
      </c>
      <c r="E103" s="4" t="s">
        <v>2</v>
      </c>
      <c r="F103" s="5">
        <v>42172.318553240744</v>
      </c>
      <c r="G103" s="4">
        <v>1003</v>
      </c>
      <c r="H103" s="4" t="s">
        <v>1</v>
      </c>
      <c r="I103" s="3" t="s">
        <v>24</v>
      </c>
    </row>
    <row r="104" spans="1:9" ht="60" x14ac:dyDescent="0.25">
      <c r="A104" s="4">
        <v>41925</v>
      </c>
      <c r="B104" s="4" t="s">
        <v>5</v>
      </c>
      <c r="C104" s="4" t="s">
        <v>22</v>
      </c>
      <c r="D104" s="4" t="s">
        <v>3</v>
      </c>
      <c r="E104" s="4" t="s">
        <v>2</v>
      </c>
      <c r="F104" s="5">
        <v>42172.318553240744</v>
      </c>
      <c r="G104" s="4">
        <v>1003</v>
      </c>
      <c r="H104" s="4" t="s">
        <v>1</v>
      </c>
      <c r="I104" s="3" t="s">
        <v>23</v>
      </c>
    </row>
    <row r="105" spans="1:9" ht="409.5" x14ac:dyDescent="0.25">
      <c r="A105" s="4">
        <v>41924</v>
      </c>
      <c r="B105" s="4" t="s">
        <v>5</v>
      </c>
      <c r="C105" s="4" t="s">
        <v>22</v>
      </c>
      <c r="D105" s="4" t="s">
        <v>3</v>
      </c>
      <c r="E105" s="4" t="s">
        <v>2</v>
      </c>
      <c r="F105" s="5">
        <v>42172.318541666667</v>
      </c>
      <c r="G105" s="4">
        <v>1003</v>
      </c>
      <c r="H105" s="4" t="s">
        <v>1</v>
      </c>
      <c r="I105" s="3" t="s">
        <v>21</v>
      </c>
    </row>
    <row r="106" spans="1:9" ht="60" x14ac:dyDescent="0.25">
      <c r="A106" s="4">
        <v>41923</v>
      </c>
      <c r="B106" s="4" t="s">
        <v>5</v>
      </c>
      <c r="C106" s="4" t="s">
        <v>22</v>
      </c>
      <c r="D106" s="4" t="s">
        <v>3</v>
      </c>
      <c r="E106" s="4" t="s">
        <v>2</v>
      </c>
      <c r="F106" s="5">
        <v>42172.305694444447</v>
      </c>
      <c r="G106" s="4">
        <v>1003</v>
      </c>
      <c r="H106" s="4" t="s">
        <v>1</v>
      </c>
      <c r="I106" s="3" t="s">
        <v>24</v>
      </c>
    </row>
    <row r="107" spans="1:9" ht="60" x14ac:dyDescent="0.25">
      <c r="A107" s="4">
        <v>41922</v>
      </c>
      <c r="B107" s="4" t="s">
        <v>5</v>
      </c>
      <c r="C107" s="4" t="s">
        <v>22</v>
      </c>
      <c r="D107" s="4" t="s">
        <v>3</v>
      </c>
      <c r="E107" s="4" t="s">
        <v>2</v>
      </c>
      <c r="F107" s="5">
        <v>42172.305694444447</v>
      </c>
      <c r="G107" s="4">
        <v>1003</v>
      </c>
      <c r="H107" s="4" t="s">
        <v>1</v>
      </c>
      <c r="I107" s="3" t="s">
        <v>23</v>
      </c>
    </row>
    <row r="108" spans="1:9" ht="409.5" x14ac:dyDescent="0.25">
      <c r="A108" s="4">
        <v>41921</v>
      </c>
      <c r="B108" s="4" t="s">
        <v>5</v>
      </c>
      <c r="C108" s="4" t="s">
        <v>22</v>
      </c>
      <c r="D108" s="4" t="s">
        <v>3</v>
      </c>
      <c r="E108" s="4" t="s">
        <v>2</v>
      </c>
      <c r="F108" s="5">
        <v>42172.30568287037</v>
      </c>
      <c r="G108" s="4">
        <v>1003</v>
      </c>
      <c r="H108" s="4" t="s">
        <v>1</v>
      </c>
      <c r="I108" s="3" t="s">
        <v>21</v>
      </c>
    </row>
    <row r="109" spans="1:9" ht="60" x14ac:dyDescent="0.25">
      <c r="A109" s="4">
        <v>41920</v>
      </c>
      <c r="B109" s="4" t="s">
        <v>5</v>
      </c>
      <c r="C109" s="4" t="s">
        <v>22</v>
      </c>
      <c r="D109" s="4" t="s">
        <v>3</v>
      </c>
      <c r="E109" s="4" t="s">
        <v>2</v>
      </c>
      <c r="F109" s="5">
        <v>42172.294317129628</v>
      </c>
      <c r="G109" s="4">
        <v>1003</v>
      </c>
      <c r="H109" s="4" t="s">
        <v>1</v>
      </c>
      <c r="I109" s="3" t="s">
        <v>24</v>
      </c>
    </row>
    <row r="110" spans="1:9" ht="60" x14ac:dyDescent="0.25">
      <c r="A110" s="4">
        <v>41919</v>
      </c>
      <c r="B110" s="4" t="s">
        <v>5</v>
      </c>
      <c r="C110" s="4" t="s">
        <v>22</v>
      </c>
      <c r="D110" s="4" t="s">
        <v>3</v>
      </c>
      <c r="E110" s="4" t="s">
        <v>2</v>
      </c>
      <c r="F110" s="5">
        <v>42172.294317129628</v>
      </c>
      <c r="G110" s="4">
        <v>1003</v>
      </c>
      <c r="H110" s="4" t="s">
        <v>1</v>
      </c>
      <c r="I110" s="3" t="s">
        <v>23</v>
      </c>
    </row>
    <row r="111" spans="1:9" ht="409.5" x14ac:dyDescent="0.25">
      <c r="A111" s="4">
        <v>41918</v>
      </c>
      <c r="B111" s="4" t="s">
        <v>5</v>
      </c>
      <c r="C111" s="4" t="s">
        <v>22</v>
      </c>
      <c r="D111" s="4" t="s">
        <v>3</v>
      </c>
      <c r="E111" s="4" t="s">
        <v>2</v>
      </c>
      <c r="F111" s="5">
        <v>42172.294317129628</v>
      </c>
      <c r="G111" s="4">
        <v>1003</v>
      </c>
      <c r="H111" s="4" t="s">
        <v>1</v>
      </c>
      <c r="I111" s="3" t="s">
        <v>21</v>
      </c>
    </row>
    <row r="112" spans="1:9" ht="75" x14ac:dyDescent="0.25">
      <c r="A112" s="4">
        <v>41917</v>
      </c>
      <c r="B112" s="4" t="s">
        <v>5</v>
      </c>
      <c r="C112" s="4" t="s">
        <v>20</v>
      </c>
      <c r="D112" s="4" t="s">
        <v>3</v>
      </c>
      <c r="E112" s="4" t="s">
        <v>2</v>
      </c>
      <c r="F112" s="5">
        <v>42172.294317129628</v>
      </c>
      <c r="G112" s="4">
        <v>45</v>
      </c>
      <c r="H112" s="4" t="s">
        <v>1</v>
      </c>
      <c r="I112" s="3" t="s">
        <v>19</v>
      </c>
    </row>
    <row r="113" spans="1:9" x14ac:dyDescent="0.25">
      <c r="A113" s="4">
        <v>41916</v>
      </c>
      <c r="B113" s="4" t="s">
        <v>5</v>
      </c>
      <c r="C113" s="4" t="s">
        <v>18</v>
      </c>
      <c r="D113" s="4" t="s">
        <v>3</v>
      </c>
      <c r="E113" s="4" t="s">
        <v>2</v>
      </c>
      <c r="F113" s="5">
        <v>42172.202499999999</v>
      </c>
      <c r="G113" s="4">
        <v>0</v>
      </c>
      <c r="H113" s="4" t="s">
        <v>1</v>
      </c>
      <c r="I113" s="3" t="s">
        <v>17</v>
      </c>
    </row>
    <row r="114" spans="1:9" x14ac:dyDescent="0.25">
      <c r="A114" s="4">
        <v>41915</v>
      </c>
      <c r="B114" s="4" t="s">
        <v>5</v>
      </c>
      <c r="C114" s="4" t="s">
        <v>8</v>
      </c>
      <c r="D114" s="4" t="s">
        <v>7</v>
      </c>
      <c r="E114" s="4" t="s">
        <v>2</v>
      </c>
      <c r="F114" s="5">
        <v>42172.152754629627</v>
      </c>
      <c r="G114" s="4">
        <v>258</v>
      </c>
      <c r="H114" s="4" t="s">
        <v>1</v>
      </c>
      <c r="I114" s="3" t="s">
        <v>16</v>
      </c>
    </row>
    <row r="115" spans="1:9" x14ac:dyDescent="0.25">
      <c r="A115" s="4">
        <v>41914</v>
      </c>
      <c r="B115" s="4" t="s">
        <v>5</v>
      </c>
      <c r="C115" s="4" t="s">
        <v>8</v>
      </c>
      <c r="D115" s="4" t="s">
        <v>7</v>
      </c>
      <c r="E115" s="4" t="s">
        <v>2</v>
      </c>
      <c r="F115" s="5">
        <v>42172.152743055558</v>
      </c>
      <c r="G115" s="4">
        <v>258</v>
      </c>
      <c r="H115" s="4" t="s">
        <v>1</v>
      </c>
      <c r="I115" s="3" t="s">
        <v>15</v>
      </c>
    </row>
    <row r="116" spans="1:9" x14ac:dyDescent="0.25">
      <c r="A116" s="4">
        <v>41913</v>
      </c>
      <c r="B116" s="4" t="s">
        <v>5</v>
      </c>
      <c r="C116" s="4" t="s">
        <v>10</v>
      </c>
      <c r="D116" s="4" t="s">
        <v>7</v>
      </c>
      <c r="E116" s="4" t="s">
        <v>2</v>
      </c>
      <c r="F116" s="5">
        <v>42172.150347222225</v>
      </c>
      <c r="G116" s="4">
        <v>903</v>
      </c>
      <c r="H116" s="4" t="s">
        <v>1</v>
      </c>
      <c r="I116" s="3" t="s">
        <v>14</v>
      </c>
    </row>
    <row r="117" spans="1:9" x14ac:dyDescent="0.25">
      <c r="A117" s="4">
        <v>41912</v>
      </c>
      <c r="B117" s="4" t="s">
        <v>5</v>
      </c>
      <c r="C117" s="4" t="s">
        <v>10</v>
      </c>
      <c r="D117" s="4" t="s">
        <v>7</v>
      </c>
      <c r="E117" s="4" t="s">
        <v>2</v>
      </c>
      <c r="F117" s="5">
        <v>42172.146863425929</v>
      </c>
      <c r="G117" s="4">
        <v>902</v>
      </c>
      <c r="H117" s="4" t="s">
        <v>1</v>
      </c>
      <c r="I117" s="3" t="s">
        <v>13</v>
      </c>
    </row>
    <row r="118" spans="1:9" ht="409.5" x14ac:dyDescent="0.25">
      <c r="A118" s="4">
        <v>41911</v>
      </c>
      <c r="B118" s="4" t="s">
        <v>5</v>
      </c>
      <c r="C118" s="4" t="s">
        <v>10</v>
      </c>
      <c r="D118" s="4" t="s">
        <v>3</v>
      </c>
      <c r="E118" s="4" t="s">
        <v>2</v>
      </c>
      <c r="F118" s="5">
        <v>42172.146863425929</v>
      </c>
      <c r="G118" s="4">
        <v>1003</v>
      </c>
      <c r="H118" s="4" t="s">
        <v>1</v>
      </c>
      <c r="I118" s="3" t="s">
        <v>12</v>
      </c>
    </row>
    <row r="119" spans="1:9" ht="135" x14ac:dyDescent="0.25">
      <c r="A119" s="4">
        <v>41910</v>
      </c>
      <c r="B119" s="4" t="s">
        <v>5</v>
      </c>
      <c r="C119" s="4" t="s">
        <v>10</v>
      </c>
      <c r="D119" s="4" t="s">
        <v>3</v>
      </c>
      <c r="E119" s="4" t="s">
        <v>2</v>
      </c>
      <c r="F119" s="5">
        <v>42172.146863425929</v>
      </c>
      <c r="G119" s="4">
        <v>1066</v>
      </c>
      <c r="H119" s="4" t="s">
        <v>1</v>
      </c>
      <c r="I119" s="3" t="s">
        <v>11</v>
      </c>
    </row>
    <row r="120" spans="1:9" x14ac:dyDescent="0.25">
      <c r="A120" s="4">
        <v>41909</v>
      </c>
      <c r="B120" s="4" t="s">
        <v>5</v>
      </c>
      <c r="C120" s="4" t="s">
        <v>10</v>
      </c>
      <c r="D120" s="4" t="s">
        <v>3</v>
      </c>
      <c r="E120" s="4" t="s">
        <v>2</v>
      </c>
      <c r="F120" s="5">
        <v>42172.146863425929</v>
      </c>
      <c r="G120" s="4">
        <v>900</v>
      </c>
      <c r="H120" s="4" t="s">
        <v>1</v>
      </c>
      <c r="I120" s="3" t="s">
        <v>9</v>
      </c>
    </row>
    <row r="121" spans="1:9" ht="30" x14ac:dyDescent="0.25">
      <c r="A121" s="4">
        <v>41908</v>
      </c>
      <c r="B121" s="4" t="s">
        <v>5</v>
      </c>
      <c r="C121" s="4" t="s">
        <v>8</v>
      </c>
      <c r="D121" s="4" t="s">
        <v>7</v>
      </c>
      <c r="E121" s="4" t="s">
        <v>2</v>
      </c>
      <c r="F121" s="5">
        <v>42172.127962962964</v>
      </c>
      <c r="G121" s="4">
        <v>258</v>
      </c>
      <c r="H121" s="4" t="s">
        <v>1</v>
      </c>
      <c r="I121" s="3" t="s">
        <v>6</v>
      </c>
    </row>
    <row r="122" spans="1:9" x14ac:dyDescent="0.25">
      <c r="A122" s="4">
        <v>41907</v>
      </c>
      <c r="B122" s="4" t="s">
        <v>5</v>
      </c>
      <c r="C122" s="4" t="s">
        <v>4</v>
      </c>
      <c r="D122" s="4" t="s">
        <v>3</v>
      </c>
      <c r="E122" s="4" t="s">
        <v>2</v>
      </c>
      <c r="F122" s="5">
        <v>42172.011365740742</v>
      </c>
      <c r="G122" s="4">
        <v>8224</v>
      </c>
      <c r="H122" s="4" t="s">
        <v>1</v>
      </c>
      <c r="I122" s="3" t="s">
        <v>0</v>
      </c>
    </row>
  </sheetData>
  <conditionalFormatting sqref="A2:I2">
    <cfRule type="expression" dxfId="93" priority="3">
      <formula>$D2="ERROR"</formula>
    </cfRule>
    <cfRule type="expression" dxfId="92" priority="4">
      <formula>$D2="WARNING"</formula>
    </cfRule>
  </conditionalFormatting>
  <conditionalFormatting sqref="A3:I122">
    <cfRule type="expression" dxfId="91" priority="1">
      <formula>$D3="ERROR"</formula>
    </cfRule>
    <cfRule type="expression" dxfId="90" priority="2">
      <formula>$D3="WARNING"</formula>
    </cfRule>
  </conditionalFormatting>
  <pageMargins left="0.7" right="0.7" top="0.75" bottom="0.75" header="0.3" footer="0.3"/>
  <pageSetup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A1:I210"/>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5.875" style="1" customWidth="1"/>
    <col min="2" max="2" width="11.875" style="1" bestFit="1" customWidth="1"/>
    <col min="3" max="3" width="49" style="1" bestFit="1" customWidth="1"/>
    <col min="4" max="4" width="13" style="1" bestFit="1" customWidth="1"/>
    <col min="5" max="5" width="6.875" style="1" customWidth="1"/>
    <col min="6" max="6" width="20.125" style="1" bestFit="1" customWidth="1"/>
    <col min="7" max="7" width="4.875" style="1" customWidth="1"/>
    <col min="8" max="8" width="20.1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ht="180" x14ac:dyDescent="0.25">
      <c r="A2" s="4">
        <v>42178</v>
      </c>
      <c r="B2" s="4" t="s">
        <v>5</v>
      </c>
      <c r="C2" s="4" t="s">
        <v>29</v>
      </c>
      <c r="D2" s="4" t="s">
        <v>28</v>
      </c>
      <c r="E2" s="4" t="s">
        <v>2</v>
      </c>
      <c r="F2" s="5">
        <v>42174.823854166665</v>
      </c>
      <c r="G2" s="4">
        <v>0</v>
      </c>
      <c r="H2" s="4" t="s">
        <v>1</v>
      </c>
      <c r="I2" s="3" t="s">
        <v>162</v>
      </c>
    </row>
    <row r="3" spans="1:9" ht="180" x14ac:dyDescent="0.25">
      <c r="A3" s="4">
        <v>42177</v>
      </c>
      <c r="B3" s="4" t="s">
        <v>5</v>
      </c>
      <c r="C3" s="4" t="s">
        <v>29</v>
      </c>
      <c r="D3" s="4" t="s">
        <v>28</v>
      </c>
      <c r="E3" s="4" t="s">
        <v>2</v>
      </c>
      <c r="F3" s="5">
        <v>42174.804212962961</v>
      </c>
      <c r="G3" s="4">
        <v>0</v>
      </c>
      <c r="H3" s="4" t="s">
        <v>1</v>
      </c>
      <c r="I3" s="3" t="s">
        <v>162</v>
      </c>
    </row>
    <row r="4" spans="1:9" ht="180" x14ac:dyDescent="0.25">
      <c r="A4" s="4">
        <v>42176</v>
      </c>
      <c r="B4" s="4" t="s">
        <v>5</v>
      </c>
      <c r="C4" s="4" t="s">
        <v>29</v>
      </c>
      <c r="D4" s="4" t="s">
        <v>28</v>
      </c>
      <c r="E4" s="4" t="s">
        <v>2</v>
      </c>
      <c r="F4" s="5">
        <v>42174.796319444446</v>
      </c>
      <c r="G4" s="4">
        <v>0</v>
      </c>
      <c r="H4" s="4" t="s">
        <v>1</v>
      </c>
      <c r="I4" s="3" t="s">
        <v>162</v>
      </c>
    </row>
    <row r="5" spans="1:9" x14ac:dyDescent="0.25">
      <c r="A5" s="4">
        <v>42175</v>
      </c>
      <c r="B5" s="4" t="s">
        <v>5</v>
      </c>
      <c r="C5" s="4" t="s">
        <v>18</v>
      </c>
      <c r="D5" s="4" t="s">
        <v>3</v>
      </c>
      <c r="E5" s="4" t="s">
        <v>2</v>
      </c>
      <c r="F5" s="5">
        <v>42174.785833333335</v>
      </c>
      <c r="G5" s="4">
        <v>0</v>
      </c>
      <c r="H5" s="4" t="s">
        <v>1</v>
      </c>
      <c r="I5" s="3" t="s">
        <v>17</v>
      </c>
    </row>
    <row r="6" spans="1:9" ht="180" x14ac:dyDescent="0.25">
      <c r="A6" s="4">
        <v>42174</v>
      </c>
      <c r="B6" s="4" t="s">
        <v>5</v>
      </c>
      <c r="C6" s="4" t="s">
        <v>29</v>
      </c>
      <c r="D6" s="4" t="s">
        <v>28</v>
      </c>
      <c r="E6" s="4" t="s">
        <v>2</v>
      </c>
      <c r="F6" s="5">
        <v>42174.780925925923</v>
      </c>
      <c r="G6" s="4">
        <v>0</v>
      </c>
      <c r="H6" s="4" t="s">
        <v>1</v>
      </c>
      <c r="I6" s="3" t="s">
        <v>162</v>
      </c>
    </row>
    <row r="7" spans="1:9" ht="180" x14ac:dyDescent="0.25">
      <c r="A7" s="4">
        <v>42173</v>
      </c>
      <c r="B7" s="4" t="s">
        <v>5</v>
      </c>
      <c r="C7" s="4" t="s">
        <v>29</v>
      </c>
      <c r="D7" s="4" t="s">
        <v>28</v>
      </c>
      <c r="E7" s="4" t="s">
        <v>2</v>
      </c>
      <c r="F7" s="5">
        <v>42174.746064814812</v>
      </c>
      <c r="G7" s="4">
        <v>0</v>
      </c>
      <c r="H7" s="4" t="s">
        <v>1</v>
      </c>
      <c r="I7" s="3" t="s">
        <v>140</v>
      </c>
    </row>
    <row r="8" spans="1:9" ht="180" x14ac:dyDescent="0.25">
      <c r="A8" s="4">
        <v>42172</v>
      </c>
      <c r="B8" s="4" t="s">
        <v>5</v>
      </c>
      <c r="C8" s="4" t="s">
        <v>29</v>
      </c>
      <c r="D8" s="4" t="s">
        <v>28</v>
      </c>
      <c r="E8" s="4" t="s">
        <v>2</v>
      </c>
      <c r="F8" s="5">
        <v>42174.737592592595</v>
      </c>
      <c r="G8" s="4">
        <v>0</v>
      </c>
      <c r="H8" s="4" t="s">
        <v>1</v>
      </c>
      <c r="I8" s="3" t="s">
        <v>140</v>
      </c>
    </row>
    <row r="9" spans="1:9" ht="180" x14ac:dyDescent="0.25">
      <c r="A9" s="4">
        <v>42171</v>
      </c>
      <c r="B9" s="4" t="s">
        <v>5</v>
      </c>
      <c r="C9" s="4" t="s">
        <v>29</v>
      </c>
      <c r="D9" s="4" t="s">
        <v>28</v>
      </c>
      <c r="E9" s="4" t="s">
        <v>2</v>
      </c>
      <c r="F9" s="5">
        <v>42174.703599537039</v>
      </c>
      <c r="G9" s="4">
        <v>0</v>
      </c>
      <c r="H9" s="4" t="s">
        <v>1</v>
      </c>
      <c r="I9" s="3" t="s">
        <v>140</v>
      </c>
    </row>
    <row r="10" spans="1:9" ht="180" x14ac:dyDescent="0.25">
      <c r="A10" s="4">
        <v>42170</v>
      </c>
      <c r="B10" s="4" t="s">
        <v>5</v>
      </c>
      <c r="C10" s="4" t="s">
        <v>29</v>
      </c>
      <c r="D10" s="4" t="s">
        <v>28</v>
      </c>
      <c r="E10" s="4" t="s">
        <v>2</v>
      </c>
      <c r="F10" s="5">
        <v>42174.697928240741</v>
      </c>
      <c r="G10" s="4">
        <v>0</v>
      </c>
      <c r="H10" s="4" t="s">
        <v>1</v>
      </c>
      <c r="I10" s="3" t="s">
        <v>140</v>
      </c>
    </row>
    <row r="11" spans="1:9" ht="180" x14ac:dyDescent="0.25">
      <c r="A11" s="4">
        <v>42169</v>
      </c>
      <c r="B11" s="4" t="s">
        <v>5</v>
      </c>
      <c r="C11" s="4" t="s">
        <v>29</v>
      </c>
      <c r="D11" s="4" t="s">
        <v>28</v>
      </c>
      <c r="E11" s="4" t="s">
        <v>2</v>
      </c>
      <c r="F11" s="5">
        <v>42174.696689814817</v>
      </c>
      <c r="G11" s="4">
        <v>0</v>
      </c>
      <c r="H11" s="4" t="s">
        <v>1</v>
      </c>
      <c r="I11" s="3" t="s">
        <v>140</v>
      </c>
    </row>
    <row r="12" spans="1:9" ht="180" x14ac:dyDescent="0.25">
      <c r="A12" s="4">
        <v>42168</v>
      </c>
      <c r="B12" s="4" t="s">
        <v>5</v>
      </c>
      <c r="C12" s="4" t="s">
        <v>29</v>
      </c>
      <c r="D12" s="4" t="s">
        <v>28</v>
      </c>
      <c r="E12" s="4" t="s">
        <v>2</v>
      </c>
      <c r="F12" s="5">
        <v>42174.666562500002</v>
      </c>
      <c r="G12" s="4">
        <v>0</v>
      </c>
      <c r="H12" s="4" t="s">
        <v>1</v>
      </c>
      <c r="I12" s="3" t="s">
        <v>140</v>
      </c>
    </row>
    <row r="13" spans="1:9" ht="180" x14ac:dyDescent="0.25">
      <c r="A13" s="4">
        <v>42167</v>
      </c>
      <c r="B13" s="4" t="s">
        <v>5</v>
      </c>
      <c r="C13" s="4" t="s">
        <v>29</v>
      </c>
      <c r="D13" s="4" t="s">
        <v>28</v>
      </c>
      <c r="E13" s="4" t="s">
        <v>2</v>
      </c>
      <c r="F13" s="5">
        <v>42174.666203703702</v>
      </c>
      <c r="G13" s="4">
        <v>0</v>
      </c>
      <c r="H13" s="4" t="s">
        <v>1</v>
      </c>
      <c r="I13" s="3" t="s">
        <v>140</v>
      </c>
    </row>
    <row r="14" spans="1:9" ht="180" x14ac:dyDescent="0.25">
      <c r="A14" s="4">
        <v>42166</v>
      </c>
      <c r="B14" s="4" t="s">
        <v>5</v>
      </c>
      <c r="C14" s="4" t="s">
        <v>29</v>
      </c>
      <c r="D14" s="4" t="s">
        <v>28</v>
      </c>
      <c r="E14" s="4" t="s">
        <v>2</v>
      </c>
      <c r="F14" s="5">
        <v>42174.665879629632</v>
      </c>
      <c r="G14" s="4">
        <v>0</v>
      </c>
      <c r="H14" s="4" t="s">
        <v>1</v>
      </c>
      <c r="I14" s="3" t="s">
        <v>140</v>
      </c>
    </row>
    <row r="15" spans="1:9" ht="180" x14ac:dyDescent="0.25">
      <c r="A15" s="4">
        <v>42165</v>
      </c>
      <c r="B15" s="4" t="s">
        <v>5</v>
      </c>
      <c r="C15" s="4" t="s">
        <v>29</v>
      </c>
      <c r="D15" s="4" t="s">
        <v>28</v>
      </c>
      <c r="E15" s="4" t="s">
        <v>2</v>
      </c>
      <c r="F15" s="5">
        <v>42174.661076388889</v>
      </c>
      <c r="G15" s="4">
        <v>0</v>
      </c>
      <c r="H15" s="4" t="s">
        <v>1</v>
      </c>
      <c r="I15" s="3" t="s">
        <v>140</v>
      </c>
    </row>
    <row r="16" spans="1:9" ht="180" x14ac:dyDescent="0.25">
      <c r="A16" s="4">
        <v>42164</v>
      </c>
      <c r="B16" s="4" t="s">
        <v>5</v>
      </c>
      <c r="C16" s="4" t="s">
        <v>29</v>
      </c>
      <c r="D16" s="4" t="s">
        <v>28</v>
      </c>
      <c r="E16" s="4" t="s">
        <v>2</v>
      </c>
      <c r="F16" s="5">
        <v>42174.659398148149</v>
      </c>
      <c r="G16" s="4">
        <v>0</v>
      </c>
      <c r="H16" s="4" t="s">
        <v>1</v>
      </c>
      <c r="I16" s="3" t="s">
        <v>140</v>
      </c>
    </row>
    <row r="17" spans="1:9" ht="180" x14ac:dyDescent="0.25">
      <c r="A17" s="4">
        <v>42163</v>
      </c>
      <c r="B17" s="4" t="s">
        <v>5</v>
      </c>
      <c r="C17" s="4" t="s">
        <v>29</v>
      </c>
      <c r="D17" s="4" t="s">
        <v>28</v>
      </c>
      <c r="E17" s="4" t="s">
        <v>2</v>
      </c>
      <c r="F17" s="5">
        <v>42174.658310185187</v>
      </c>
      <c r="G17" s="4">
        <v>0</v>
      </c>
      <c r="H17" s="4" t="s">
        <v>1</v>
      </c>
      <c r="I17" s="3" t="s">
        <v>140</v>
      </c>
    </row>
    <row r="18" spans="1:9" ht="180" x14ac:dyDescent="0.25">
      <c r="A18" s="4">
        <v>42162</v>
      </c>
      <c r="B18" s="4" t="s">
        <v>5</v>
      </c>
      <c r="C18" s="4" t="s">
        <v>29</v>
      </c>
      <c r="D18" s="4" t="s">
        <v>28</v>
      </c>
      <c r="E18" s="4" t="s">
        <v>2</v>
      </c>
      <c r="F18" s="5">
        <v>42174.650069444448</v>
      </c>
      <c r="G18" s="4">
        <v>0</v>
      </c>
      <c r="H18" s="4" t="s">
        <v>1</v>
      </c>
      <c r="I18" s="3" t="s">
        <v>140</v>
      </c>
    </row>
    <row r="19" spans="1:9" ht="180" x14ac:dyDescent="0.25">
      <c r="A19" s="4">
        <v>42161</v>
      </c>
      <c r="B19" s="4" t="s">
        <v>5</v>
      </c>
      <c r="C19" s="4" t="s">
        <v>29</v>
      </c>
      <c r="D19" s="4" t="s">
        <v>28</v>
      </c>
      <c r="E19" s="4" t="s">
        <v>2</v>
      </c>
      <c r="F19" s="5">
        <v>42174.640162037038</v>
      </c>
      <c r="G19" s="4">
        <v>0</v>
      </c>
      <c r="H19" s="4" t="s">
        <v>1</v>
      </c>
      <c r="I19" s="3" t="s">
        <v>140</v>
      </c>
    </row>
    <row r="20" spans="1:9" ht="60" x14ac:dyDescent="0.25">
      <c r="A20" s="4">
        <v>42160</v>
      </c>
      <c r="B20" s="4" t="s">
        <v>5</v>
      </c>
      <c r="C20" s="4" t="s">
        <v>22</v>
      </c>
      <c r="D20" s="4" t="s">
        <v>3</v>
      </c>
      <c r="E20" s="4" t="s">
        <v>2</v>
      </c>
      <c r="F20" s="5">
        <v>42174.613576388889</v>
      </c>
      <c r="G20" s="4">
        <v>1003</v>
      </c>
      <c r="H20" s="4" t="s">
        <v>1</v>
      </c>
      <c r="I20" s="3" t="s">
        <v>24</v>
      </c>
    </row>
    <row r="21" spans="1:9" ht="60" x14ac:dyDescent="0.25">
      <c r="A21" s="4">
        <v>42159</v>
      </c>
      <c r="B21" s="4" t="s">
        <v>5</v>
      </c>
      <c r="C21" s="4" t="s">
        <v>22</v>
      </c>
      <c r="D21" s="4" t="s">
        <v>3</v>
      </c>
      <c r="E21" s="4" t="s">
        <v>2</v>
      </c>
      <c r="F21" s="5">
        <v>42174.613576388889</v>
      </c>
      <c r="G21" s="4">
        <v>1003</v>
      </c>
      <c r="H21" s="4" t="s">
        <v>1</v>
      </c>
      <c r="I21" s="3" t="s">
        <v>23</v>
      </c>
    </row>
    <row r="22" spans="1:9" ht="409.5" x14ac:dyDescent="0.25">
      <c r="A22" s="4">
        <v>42158</v>
      </c>
      <c r="B22" s="4" t="s">
        <v>5</v>
      </c>
      <c r="C22" s="4" t="s">
        <v>22</v>
      </c>
      <c r="D22" s="4" t="s">
        <v>3</v>
      </c>
      <c r="E22" s="4" t="s">
        <v>2</v>
      </c>
      <c r="F22" s="5">
        <v>42174.613564814812</v>
      </c>
      <c r="G22" s="4">
        <v>1003</v>
      </c>
      <c r="H22" s="4" t="s">
        <v>1</v>
      </c>
      <c r="I22" s="3" t="s">
        <v>21</v>
      </c>
    </row>
    <row r="23" spans="1:9" ht="60" x14ac:dyDescent="0.25">
      <c r="A23" s="4">
        <v>42157</v>
      </c>
      <c r="B23" s="4" t="s">
        <v>5</v>
      </c>
      <c r="C23" s="4" t="s">
        <v>22</v>
      </c>
      <c r="D23" s="4" t="s">
        <v>3</v>
      </c>
      <c r="E23" s="4" t="s">
        <v>2</v>
      </c>
      <c r="F23" s="5">
        <v>42174.610509259262</v>
      </c>
      <c r="G23" s="4">
        <v>1003</v>
      </c>
      <c r="H23" s="4" t="s">
        <v>1</v>
      </c>
      <c r="I23" s="3" t="s">
        <v>24</v>
      </c>
    </row>
    <row r="24" spans="1:9" ht="60" x14ac:dyDescent="0.25">
      <c r="A24" s="4">
        <v>42156</v>
      </c>
      <c r="B24" s="4" t="s">
        <v>5</v>
      </c>
      <c r="C24" s="4" t="s">
        <v>22</v>
      </c>
      <c r="D24" s="4" t="s">
        <v>3</v>
      </c>
      <c r="E24" s="4" t="s">
        <v>2</v>
      </c>
      <c r="F24" s="5">
        <v>42174.610509259262</v>
      </c>
      <c r="G24" s="4">
        <v>1003</v>
      </c>
      <c r="H24" s="4" t="s">
        <v>1</v>
      </c>
      <c r="I24" s="3" t="s">
        <v>23</v>
      </c>
    </row>
    <row r="25" spans="1:9" ht="409.5" x14ac:dyDescent="0.25">
      <c r="A25" s="4">
        <v>42155</v>
      </c>
      <c r="B25" s="4" t="s">
        <v>5</v>
      </c>
      <c r="C25" s="4" t="s">
        <v>22</v>
      </c>
      <c r="D25" s="4" t="s">
        <v>3</v>
      </c>
      <c r="E25" s="4" t="s">
        <v>2</v>
      </c>
      <c r="F25" s="5">
        <v>42174.610509259262</v>
      </c>
      <c r="G25" s="4">
        <v>1003</v>
      </c>
      <c r="H25" s="4" t="s">
        <v>1</v>
      </c>
      <c r="I25" s="3" t="s">
        <v>21</v>
      </c>
    </row>
    <row r="26" spans="1:9" x14ac:dyDescent="0.25">
      <c r="A26" s="4">
        <v>42154</v>
      </c>
      <c r="B26" s="4" t="s">
        <v>5</v>
      </c>
      <c r="C26" s="4" t="s">
        <v>18</v>
      </c>
      <c r="D26" s="4" t="s">
        <v>3</v>
      </c>
      <c r="E26" s="4" t="s">
        <v>2</v>
      </c>
      <c r="F26" s="5">
        <v>42174.577164351853</v>
      </c>
      <c r="G26" s="4">
        <v>0</v>
      </c>
      <c r="H26" s="4" t="s">
        <v>1</v>
      </c>
      <c r="I26" s="3" t="s">
        <v>17</v>
      </c>
    </row>
    <row r="27" spans="1:9" x14ac:dyDescent="0.25">
      <c r="A27" s="4">
        <v>42153</v>
      </c>
      <c r="B27" s="4" t="s">
        <v>5</v>
      </c>
      <c r="C27" s="4" t="s">
        <v>10</v>
      </c>
      <c r="D27" s="4" t="s">
        <v>7</v>
      </c>
      <c r="E27" s="4" t="s">
        <v>2</v>
      </c>
      <c r="F27" s="5">
        <v>42174.507523148146</v>
      </c>
      <c r="G27" s="4">
        <v>903</v>
      </c>
      <c r="H27" s="4" t="s">
        <v>1</v>
      </c>
      <c r="I27" s="3" t="s">
        <v>14</v>
      </c>
    </row>
    <row r="28" spans="1:9" x14ac:dyDescent="0.25">
      <c r="A28" s="4">
        <v>42152</v>
      </c>
      <c r="B28" s="4" t="s">
        <v>5</v>
      </c>
      <c r="C28" s="4" t="s">
        <v>10</v>
      </c>
      <c r="D28" s="4" t="s">
        <v>7</v>
      </c>
      <c r="E28" s="4" t="s">
        <v>2</v>
      </c>
      <c r="F28" s="5">
        <v>42174.504050925927</v>
      </c>
      <c r="G28" s="4">
        <v>902</v>
      </c>
      <c r="H28" s="4" t="s">
        <v>1</v>
      </c>
      <c r="I28" s="3" t="s">
        <v>13</v>
      </c>
    </row>
    <row r="29" spans="1:9" ht="409.5" x14ac:dyDescent="0.25">
      <c r="A29" s="4">
        <v>42151</v>
      </c>
      <c r="B29" s="4" t="s">
        <v>5</v>
      </c>
      <c r="C29" s="4" t="s">
        <v>10</v>
      </c>
      <c r="D29" s="4" t="s">
        <v>3</v>
      </c>
      <c r="E29" s="4" t="s">
        <v>2</v>
      </c>
      <c r="F29" s="5">
        <v>42174.504050925927</v>
      </c>
      <c r="G29" s="4">
        <v>1003</v>
      </c>
      <c r="H29" s="4" t="s">
        <v>1</v>
      </c>
      <c r="I29" s="3" t="s">
        <v>12</v>
      </c>
    </row>
    <row r="30" spans="1:9" ht="135" x14ac:dyDescent="0.25">
      <c r="A30" s="4">
        <v>42150</v>
      </c>
      <c r="B30" s="4" t="s">
        <v>5</v>
      </c>
      <c r="C30" s="4" t="s">
        <v>10</v>
      </c>
      <c r="D30" s="4" t="s">
        <v>3</v>
      </c>
      <c r="E30" s="4" t="s">
        <v>2</v>
      </c>
      <c r="F30" s="5">
        <v>42174.504050925927</v>
      </c>
      <c r="G30" s="4">
        <v>1066</v>
      </c>
      <c r="H30" s="4" t="s">
        <v>1</v>
      </c>
      <c r="I30" s="3" t="s">
        <v>11</v>
      </c>
    </row>
    <row r="31" spans="1:9" x14ac:dyDescent="0.25">
      <c r="A31" s="4">
        <v>42149</v>
      </c>
      <c r="B31" s="4" t="s">
        <v>5</v>
      </c>
      <c r="C31" s="4" t="s">
        <v>10</v>
      </c>
      <c r="D31" s="4" t="s">
        <v>3</v>
      </c>
      <c r="E31" s="4" t="s">
        <v>2</v>
      </c>
      <c r="F31" s="5">
        <v>42174.504050925927</v>
      </c>
      <c r="G31" s="4">
        <v>900</v>
      </c>
      <c r="H31" s="4" t="s">
        <v>1</v>
      </c>
      <c r="I31" s="3" t="s">
        <v>9</v>
      </c>
    </row>
    <row r="32" spans="1:9" ht="60" x14ac:dyDescent="0.25">
      <c r="A32" s="4">
        <v>42148</v>
      </c>
      <c r="B32" s="4" t="s">
        <v>5</v>
      </c>
      <c r="C32" s="4" t="s">
        <v>22</v>
      </c>
      <c r="D32" s="4" t="s">
        <v>3</v>
      </c>
      <c r="E32" s="4" t="s">
        <v>2</v>
      </c>
      <c r="F32" s="5">
        <v>42174.477743055555</v>
      </c>
      <c r="G32" s="4">
        <v>1003</v>
      </c>
      <c r="H32" s="4" t="s">
        <v>1</v>
      </c>
      <c r="I32" s="3" t="s">
        <v>24</v>
      </c>
    </row>
    <row r="33" spans="1:9" ht="60" x14ac:dyDescent="0.25">
      <c r="A33" s="4">
        <v>42147</v>
      </c>
      <c r="B33" s="4" t="s">
        <v>5</v>
      </c>
      <c r="C33" s="4" t="s">
        <v>22</v>
      </c>
      <c r="D33" s="4" t="s">
        <v>3</v>
      </c>
      <c r="E33" s="4" t="s">
        <v>2</v>
      </c>
      <c r="F33" s="5">
        <v>42174.477743055555</v>
      </c>
      <c r="G33" s="4">
        <v>1003</v>
      </c>
      <c r="H33" s="4" t="s">
        <v>1</v>
      </c>
      <c r="I33" s="3" t="s">
        <v>23</v>
      </c>
    </row>
    <row r="34" spans="1:9" ht="409.5" x14ac:dyDescent="0.25">
      <c r="A34" s="4">
        <v>42146</v>
      </c>
      <c r="B34" s="4" t="s">
        <v>5</v>
      </c>
      <c r="C34" s="4" t="s">
        <v>22</v>
      </c>
      <c r="D34" s="4" t="s">
        <v>3</v>
      </c>
      <c r="E34" s="4" t="s">
        <v>2</v>
      </c>
      <c r="F34" s="5">
        <v>42174.477743055555</v>
      </c>
      <c r="G34" s="4">
        <v>1003</v>
      </c>
      <c r="H34" s="4" t="s">
        <v>1</v>
      </c>
      <c r="I34" s="3" t="s">
        <v>21</v>
      </c>
    </row>
    <row r="35" spans="1:9" x14ac:dyDescent="0.25">
      <c r="A35" s="4">
        <v>42145</v>
      </c>
      <c r="B35" s="4" t="s">
        <v>5</v>
      </c>
      <c r="C35" s="4" t="s">
        <v>22</v>
      </c>
      <c r="D35" s="4" t="s">
        <v>7</v>
      </c>
      <c r="E35" s="4" t="s">
        <v>2</v>
      </c>
      <c r="F35" s="5">
        <v>42174.477731481478</v>
      </c>
      <c r="G35" s="4">
        <v>902</v>
      </c>
      <c r="H35" s="4" t="s">
        <v>1</v>
      </c>
      <c r="I35" s="3" t="s">
        <v>99</v>
      </c>
    </row>
    <row r="36" spans="1:9" ht="135" x14ac:dyDescent="0.25">
      <c r="A36" s="4">
        <v>42144</v>
      </c>
      <c r="B36" s="4" t="s">
        <v>5</v>
      </c>
      <c r="C36" s="4" t="s">
        <v>22</v>
      </c>
      <c r="D36" s="4" t="s">
        <v>3</v>
      </c>
      <c r="E36" s="4" t="s">
        <v>2</v>
      </c>
      <c r="F36" s="5">
        <v>42174.477731481478</v>
      </c>
      <c r="G36" s="4">
        <v>1066</v>
      </c>
      <c r="H36" s="4" t="s">
        <v>1</v>
      </c>
      <c r="I36" s="3" t="s">
        <v>98</v>
      </c>
    </row>
    <row r="37" spans="1:9" x14ac:dyDescent="0.25">
      <c r="A37" s="4">
        <v>42143</v>
      </c>
      <c r="B37" s="4" t="s">
        <v>5</v>
      </c>
      <c r="C37" s="4" t="s">
        <v>22</v>
      </c>
      <c r="D37" s="4" t="s">
        <v>3</v>
      </c>
      <c r="E37" s="4" t="s">
        <v>2</v>
      </c>
      <c r="F37" s="5">
        <v>42174.477731481478</v>
      </c>
      <c r="G37" s="4">
        <v>900</v>
      </c>
      <c r="H37" s="4" t="s">
        <v>1</v>
      </c>
      <c r="I37" s="3" t="s">
        <v>9</v>
      </c>
    </row>
    <row r="38" spans="1:9" x14ac:dyDescent="0.25">
      <c r="A38" s="4">
        <v>42142</v>
      </c>
      <c r="B38" s="4" t="s">
        <v>5</v>
      </c>
      <c r="C38" s="4" t="s">
        <v>18</v>
      </c>
      <c r="D38" s="4" t="s">
        <v>3</v>
      </c>
      <c r="E38" s="4" t="s">
        <v>2</v>
      </c>
      <c r="F38" s="5">
        <v>42174.368819444448</v>
      </c>
      <c r="G38" s="4">
        <v>0</v>
      </c>
      <c r="H38" s="4" t="s">
        <v>1</v>
      </c>
      <c r="I38" s="3" t="s">
        <v>17</v>
      </c>
    </row>
    <row r="39" spans="1:9" x14ac:dyDescent="0.25">
      <c r="A39" s="4">
        <v>42141</v>
      </c>
      <c r="B39" s="4" t="s">
        <v>5</v>
      </c>
      <c r="C39" s="4" t="s">
        <v>4</v>
      </c>
      <c r="D39" s="4" t="s">
        <v>3</v>
      </c>
      <c r="E39" s="4" t="s">
        <v>2</v>
      </c>
      <c r="F39" s="5">
        <v>42174.220891203702</v>
      </c>
      <c r="G39" s="4">
        <v>8224</v>
      </c>
      <c r="H39" s="4" t="s">
        <v>1</v>
      </c>
      <c r="I39" s="3" t="s">
        <v>0</v>
      </c>
    </row>
    <row r="40" spans="1:9" ht="30" x14ac:dyDescent="0.25">
      <c r="A40" s="4">
        <v>42140</v>
      </c>
      <c r="B40" s="4" t="s">
        <v>5</v>
      </c>
      <c r="C40" s="4" t="s">
        <v>159</v>
      </c>
      <c r="D40" s="4" t="s">
        <v>3</v>
      </c>
      <c r="E40" s="4" t="s">
        <v>2</v>
      </c>
      <c r="F40" s="5">
        <v>42174.218564814815</v>
      </c>
      <c r="G40" s="4">
        <v>8194</v>
      </c>
      <c r="H40" s="4" t="s">
        <v>1</v>
      </c>
      <c r="I40" s="3" t="s">
        <v>160</v>
      </c>
    </row>
    <row r="41" spans="1:9" x14ac:dyDescent="0.25">
      <c r="A41" s="4">
        <v>42139</v>
      </c>
      <c r="B41" s="4" t="s">
        <v>5</v>
      </c>
      <c r="C41" s="4" t="s">
        <v>10</v>
      </c>
      <c r="D41" s="4" t="s">
        <v>7</v>
      </c>
      <c r="E41" s="4" t="s">
        <v>2</v>
      </c>
      <c r="F41" s="5">
        <v>42174.154618055552</v>
      </c>
      <c r="G41" s="4">
        <v>903</v>
      </c>
      <c r="H41" s="4" t="s">
        <v>1</v>
      </c>
      <c r="I41" s="3" t="s">
        <v>14</v>
      </c>
    </row>
    <row r="42" spans="1:9" x14ac:dyDescent="0.25">
      <c r="A42" s="4">
        <v>42138</v>
      </c>
      <c r="B42" s="4" t="s">
        <v>5</v>
      </c>
      <c r="C42" s="4" t="s">
        <v>10</v>
      </c>
      <c r="D42" s="4" t="s">
        <v>7</v>
      </c>
      <c r="E42" s="4" t="s">
        <v>2</v>
      </c>
      <c r="F42" s="5">
        <v>42174.151134259257</v>
      </c>
      <c r="G42" s="4">
        <v>902</v>
      </c>
      <c r="H42" s="4" t="s">
        <v>1</v>
      </c>
      <c r="I42" s="3" t="s">
        <v>13</v>
      </c>
    </row>
    <row r="43" spans="1:9" ht="409.5" x14ac:dyDescent="0.25">
      <c r="A43" s="4">
        <v>42137</v>
      </c>
      <c r="B43" s="4" t="s">
        <v>5</v>
      </c>
      <c r="C43" s="4" t="s">
        <v>10</v>
      </c>
      <c r="D43" s="4" t="s">
        <v>3</v>
      </c>
      <c r="E43" s="4" t="s">
        <v>2</v>
      </c>
      <c r="F43" s="5">
        <v>42174.151134259257</v>
      </c>
      <c r="G43" s="4">
        <v>1003</v>
      </c>
      <c r="H43" s="4" t="s">
        <v>1</v>
      </c>
      <c r="I43" s="3" t="s">
        <v>12</v>
      </c>
    </row>
    <row r="44" spans="1:9" ht="135" x14ac:dyDescent="0.25">
      <c r="A44" s="4">
        <v>42136</v>
      </c>
      <c r="B44" s="4" t="s">
        <v>5</v>
      </c>
      <c r="C44" s="4" t="s">
        <v>10</v>
      </c>
      <c r="D44" s="4" t="s">
        <v>3</v>
      </c>
      <c r="E44" s="4" t="s">
        <v>2</v>
      </c>
      <c r="F44" s="5">
        <v>42174.151134259257</v>
      </c>
      <c r="G44" s="4">
        <v>1066</v>
      </c>
      <c r="H44" s="4" t="s">
        <v>1</v>
      </c>
      <c r="I44" s="3" t="s">
        <v>11</v>
      </c>
    </row>
    <row r="45" spans="1:9" x14ac:dyDescent="0.25">
      <c r="A45" s="4">
        <v>42135</v>
      </c>
      <c r="B45" s="4" t="s">
        <v>5</v>
      </c>
      <c r="C45" s="4" t="s">
        <v>10</v>
      </c>
      <c r="D45" s="4" t="s">
        <v>3</v>
      </c>
      <c r="E45" s="4" t="s">
        <v>2</v>
      </c>
      <c r="F45" s="5">
        <v>42174.151134259257</v>
      </c>
      <c r="G45" s="4">
        <v>900</v>
      </c>
      <c r="H45" s="4" t="s">
        <v>1</v>
      </c>
      <c r="I45" s="3" t="s">
        <v>9</v>
      </c>
    </row>
    <row r="46" spans="1:9" x14ac:dyDescent="0.25">
      <c r="A46" s="4">
        <v>42134</v>
      </c>
      <c r="B46" s="4" t="s">
        <v>5</v>
      </c>
      <c r="C46" s="4" t="s">
        <v>10</v>
      </c>
      <c r="D46" s="4" t="s">
        <v>7</v>
      </c>
      <c r="E46" s="4" t="s">
        <v>2</v>
      </c>
      <c r="F46" s="5">
        <v>42174.148368055554</v>
      </c>
      <c r="G46" s="4">
        <v>903</v>
      </c>
      <c r="H46" s="4" t="s">
        <v>1</v>
      </c>
      <c r="I46" s="3" t="s">
        <v>14</v>
      </c>
    </row>
    <row r="47" spans="1:9" ht="60" x14ac:dyDescent="0.25">
      <c r="A47" s="4">
        <v>42133</v>
      </c>
      <c r="B47" s="4" t="s">
        <v>5</v>
      </c>
      <c r="C47" s="4" t="s">
        <v>10</v>
      </c>
      <c r="D47" s="4" t="s">
        <v>3</v>
      </c>
      <c r="E47" s="4" t="s">
        <v>2</v>
      </c>
      <c r="F47" s="5">
        <v>42174.144861111112</v>
      </c>
      <c r="G47" s="4">
        <v>1003</v>
      </c>
      <c r="H47" s="4" t="s">
        <v>1</v>
      </c>
      <c r="I47" s="3" t="s">
        <v>161</v>
      </c>
    </row>
    <row r="48" spans="1:9" x14ac:dyDescent="0.25">
      <c r="A48" s="4">
        <v>42132</v>
      </c>
      <c r="B48" s="4" t="s">
        <v>5</v>
      </c>
      <c r="C48" s="4" t="s">
        <v>10</v>
      </c>
      <c r="D48" s="4" t="s">
        <v>7</v>
      </c>
      <c r="E48" s="4" t="s">
        <v>2</v>
      </c>
      <c r="F48" s="5">
        <v>42174.144861111112</v>
      </c>
      <c r="G48" s="4">
        <v>902</v>
      </c>
      <c r="H48" s="4" t="s">
        <v>1</v>
      </c>
      <c r="I48" s="3" t="s">
        <v>13</v>
      </c>
    </row>
    <row r="49" spans="1:9" ht="409.5" x14ac:dyDescent="0.25">
      <c r="A49" s="4">
        <v>42131</v>
      </c>
      <c r="B49" s="4" t="s">
        <v>5</v>
      </c>
      <c r="C49" s="4" t="s">
        <v>10</v>
      </c>
      <c r="D49" s="4" t="s">
        <v>3</v>
      </c>
      <c r="E49" s="4" t="s">
        <v>2</v>
      </c>
      <c r="F49" s="5">
        <v>42174.144861111112</v>
      </c>
      <c r="G49" s="4">
        <v>1003</v>
      </c>
      <c r="H49" s="4" t="s">
        <v>1</v>
      </c>
      <c r="I49" s="3" t="s">
        <v>12</v>
      </c>
    </row>
    <row r="50" spans="1:9" ht="135" x14ac:dyDescent="0.25">
      <c r="A50" s="4">
        <v>42130</v>
      </c>
      <c r="B50" s="4" t="s">
        <v>5</v>
      </c>
      <c r="C50" s="4" t="s">
        <v>10</v>
      </c>
      <c r="D50" s="4" t="s">
        <v>3</v>
      </c>
      <c r="E50" s="4" t="s">
        <v>2</v>
      </c>
      <c r="F50" s="5">
        <v>42174.144861111112</v>
      </c>
      <c r="G50" s="4">
        <v>1066</v>
      </c>
      <c r="H50" s="4" t="s">
        <v>1</v>
      </c>
      <c r="I50" s="3" t="s">
        <v>11</v>
      </c>
    </row>
    <row r="51" spans="1:9" x14ac:dyDescent="0.25">
      <c r="A51" s="4">
        <v>42129</v>
      </c>
      <c r="B51" s="4" t="s">
        <v>5</v>
      </c>
      <c r="C51" s="4" t="s">
        <v>10</v>
      </c>
      <c r="D51" s="4" t="s">
        <v>3</v>
      </c>
      <c r="E51" s="4" t="s">
        <v>2</v>
      </c>
      <c r="F51" s="5">
        <v>42174.144849537035</v>
      </c>
      <c r="G51" s="4">
        <v>900</v>
      </c>
      <c r="H51" s="4" t="s">
        <v>1</v>
      </c>
      <c r="I51" s="3" t="s">
        <v>9</v>
      </c>
    </row>
    <row r="52" spans="1:9" x14ac:dyDescent="0.25">
      <c r="A52" s="4">
        <v>42128</v>
      </c>
      <c r="B52" s="4" t="s">
        <v>5</v>
      </c>
      <c r="C52" s="4" t="s">
        <v>18</v>
      </c>
      <c r="D52" s="4" t="s">
        <v>3</v>
      </c>
      <c r="E52" s="4" t="s">
        <v>2</v>
      </c>
      <c r="F52" s="5">
        <v>42174.119143518517</v>
      </c>
      <c r="G52" s="4">
        <v>0</v>
      </c>
      <c r="H52" s="4" t="s">
        <v>1</v>
      </c>
      <c r="I52" s="3" t="s">
        <v>17</v>
      </c>
    </row>
    <row r="53" spans="1:9" x14ac:dyDescent="0.25">
      <c r="A53" s="4">
        <v>42127</v>
      </c>
      <c r="B53" s="4" t="s">
        <v>5</v>
      </c>
      <c r="C53" s="4" t="s">
        <v>4</v>
      </c>
      <c r="D53" s="4" t="s">
        <v>3</v>
      </c>
      <c r="E53" s="4" t="s">
        <v>2</v>
      </c>
      <c r="F53" s="5">
        <v>42174.069490740738</v>
      </c>
      <c r="G53" s="4">
        <v>8224</v>
      </c>
      <c r="H53" s="4" t="s">
        <v>1</v>
      </c>
      <c r="I53" s="3" t="s">
        <v>0</v>
      </c>
    </row>
    <row r="54" spans="1:9" ht="180" x14ac:dyDescent="0.25">
      <c r="A54" s="4">
        <v>42126</v>
      </c>
      <c r="B54" s="4" t="s">
        <v>5</v>
      </c>
      <c r="C54" s="4" t="s">
        <v>29</v>
      </c>
      <c r="D54" s="4" t="s">
        <v>28</v>
      </c>
      <c r="E54" s="4" t="s">
        <v>2</v>
      </c>
      <c r="F54" s="5">
        <v>42174.041412037041</v>
      </c>
      <c r="G54" s="4">
        <v>0</v>
      </c>
      <c r="H54" s="4" t="s">
        <v>1</v>
      </c>
      <c r="I54" s="3" t="s">
        <v>140</v>
      </c>
    </row>
    <row r="55" spans="1:9" x14ac:dyDescent="0.25">
      <c r="A55" s="4">
        <v>42125</v>
      </c>
      <c r="B55" s="4" t="s">
        <v>5</v>
      </c>
      <c r="C55" s="4" t="s">
        <v>10</v>
      </c>
      <c r="D55" s="4" t="s">
        <v>7</v>
      </c>
      <c r="E55" s="4" t="s">
        <v>2</v>
      </c>
      <c r="F55" s="5">
        <v>42174.040648148148</v>
      </c>
      <c r="G55" s="4">
        <v>903</v>
      </c>
      <c r="H55" s="4" t="s">
        <v>1</v>
      </c>
      <c r="I55" s="3" t="s">
        <v>14</v>
      </c>
    </row>
    <row r="56" spans="1:9" ht="105" x14ac:dyDescent="0.25">
      <c r="A56" s="4">
        <v>42124</v>
      </c>
      <c r="B56" s="4" t="s">
        <v>5</v>
      </c>
      <c r="C56" s="4" t="s">
        <v>29</v>
      </c>
      <c r="D56" s="4" t="s">
        <v>28</v>
      </c>
      <c r="E56" s="4" t="s">
        <v>2</v>
      </c>
      <c r="F56" s="5">
        <v>42174.039212962962</v>
      </c>
      <c r="G56" s="4">
        <v>0</v>
      </c>
      <c r="H56" s="4" t="s">
        <v>1</v>
      </c>
      <c r="I56" s="3" t="s">
        <v>141</v>
      </c>
    </row>
    <row r="57" spans="1:9" ht="105" x14ac:dyDescent="0.25">
      <c r="A57" s="4">
        <v>42123</v>
      </c>
      <c r="B57" s="4" t="s">
        <v>5</v>
      </c>
      <c r="C57" s="4" t="s">
        <v>29</v>
      </c>
      <c r="D57" s="4" t="s">
        <v>28</v>
      </c>
      <c r="E57" s="4" t="s">
        <v>2</v>
      </c>
      <c r="F57" s="5">
        <v>42174.038495370369</v>
      </c>
      <c r="G57" s="4">
        <v>0</v>
      </c>
      <c r="H57" s="4" t="s">
        <v>1</v>
      </c>
      <c r="I57" s="3" t="s">
        <v>142</v>
      </c>
    </row>
    <row r="58" spans="1:9" ht="195" x14ac:dyDescent="0.25">
      <c r="A58" s="4">
        <v>42122</v>
      </c>
      <c r="B58" s="4" t="s">
        <v>5</v>
      </c>
      <c r="C58" s="4" t="s">
        <v>143</v>
      </c>
      <c r="D58" s="4" t="s">
        <v>3</v>
      </c>
      <c r="E58" s="4" t="s">
        <v>2</v>
      </c>
      <c r="F58" s="5">
        <v>42174.03733796296</v>
      </c>
      <c r="G58" s="4">
        <v>1001</v>
      </c>
      <c r="H58" s="4" t="s">
        <v>1</v>
      </c>
      <c r="I58" s="3" t="s">
        <v>144</v>
      </c>
    </row>
    <row r="59" spans="1:9" ht="195" x14ac:dyDescent="0.25">
      <c r="A59" s="4">
        <v>42121</v>
      </c>
      <c r="B59" s="4" t="s">
        <v>5</v>
      </c>
      <c r="C59" s="4" t="s">
        <v>143</v>
      </c>
      <c r="D59" s="4" t="s">
        <v>3</v>
      </c>
      <c r="E59" s="4" t="s">
        <v>2</v>
      </c>
      <c r="F59" s="5">
        <v>42174.037002314813</v>
      </c>
      <c r="G59" s="4">
        <v>1001</v>
      </c>
      <c r="H59" s="4" t="s">
        <v>1</v>
      </c>
      <c r="I59" s="3" t="s">
        <v>145</v>
      </c>
    </row>
    <row r="60" spans="1:9" ht="105" x14ac:dyDescent="0.25">
      <c r="A60" s="4">
        <v>42120</v>
      </c>
      <c r="B60" s="4" t="s">
        <v>5</v>
      </c>
      <c r="C60" s="4" t="s">
        <v>146</v>
      </c>
      <c r="D60" s="4" t="s">
        <v>28</v>
      </c>
      <c r="E60" s="4" t="s">
        <v>2</v>
      </c>
      <c r="F60" s="5">
        <v>42174.036898148152</v>
      </c>
      <c r="G60" s="4">
        <v>1000</v>
      </c>
      <c r="H60" s="4" t="s">
        <v>1</v>
      </c>
      <c r="I60" s="3" t="s">
        <v>147</v>
      </c>
    </row>
    <row r="61" spans="1:9" x14ac:dyDescent="0.25">
      <c r="A61" s="4">
        <v>42119</v>
      </c>
      <c r="B61" s="4" t="s">
        <v>5</v>
      </c>
      <c r="C61" s="4" t="s">
        <v>94</v>
      </c>
      <c r="D61" s="4" t="s">
        <v>3</v>
      </c>
      <c r="E61" s="4" t="s">
        <v>2</v>
      </c>
      <c r="F61" s="5">
        <v>42174.036504629628</v>
      </c>
      <c r="G61" s="4">
        <v>2000</v>
      </c>
      <c r="H61" s="4" t="s">
        <v>1</v>
      </c>
      <c r="I61" s="3" t="s">
        <v>93</v>
      </c>
    </row>
    <row r="62" spans="1:9" x14ac:dyDescent="0.25">
      <c r="A62" s="4">
        <v>42118</v>
      </c>
      <c r="B62" s="4" t="s">
        <v>5</v>
      </c>
      <c r="C62" s="4" t="s">
        <v>84</v>
      </c>
      <c r="D62" s="4" t="s">
        <v>3</v>
      </c>
      <c r="E62" s="4" t="s">
        <v>2</v>
      </c>
      <c r="F62" s="5">
        <v>42174.036435185182</v>
      </c>
      <c r="G62" s="4">
        <v>1</v>
      </c>
      <c r="H62" s="4" t="s">
        <v>1</v>
      </c>
      <c r="I62" s="3" t="s">
        <v>83</v>
      </c>
    </row>
    <row r="63" spans="1:9" x14ac:dyDescent="0.25">
      <c r="A63" s="4">
        <v>42117</v>
      </c>
      <c r="B63" s="4" t="s">
        <v>5</v>
      </c>
      <c r="C63" s="4" t="s">
        <v>82</v>
      </c>
      <c r="D63" s="4" t="s">
        <v>3</v>
      </c>
      <c r="E63" s="4" t="s">
        <v>2</v>
      </c>
      <c r="F63" s="5">
        <v>42174.036423611113</v>
      </c>
      <c r="G63" s="4">
        <v>0</v>
      </c>
      <c r="H63" s="4" t="s">
        <v>55</v>
      </c>
      <c r="I63" s="3" t="s">
        <v>81</v>
      </c>
    </row>
    <row r="64" spans="1:9" x14ac:dyDescent="0.25">
      <c r="A64" s="4">
        <v>42116</v>
      </c>
      <c r="B64" s="4" t="s">
        <v>5</v>
      </c>
      <c r="C64" s="4" t="s">
        <v>18</v>
      </c>
      <c r="D64" s="4" t="s">
        <v>3</v>
      </c>
      <c r="E64" s="4" t="s">
        <v>2</v>
      </c>
      <c r="F64" s="5">
        <v>42174.036400462966</v>
      </c>
      <c r="G64" s="4">
        <v>0</v>
      </c>
      <c r="H64" s="4" t="s">
        <v>1</v>
      </c>
      <c r="I64" s="3" t="s">
        <v>17</v>
      </c>
    </row>
    <row r="65" spans="1:9" x14ac:dyDescent="0.25">
      <c r="A65" s="4">
        <v>42115</v>
      </c>
      <c r="B65" s="4" t="s">
        <v>5</v>
      </c>
      <c r="C65" s="4" t="s">
        <v>74</v>
      </c>
      <c r="D65" s="4" t="s">
        <v>3</v>
      </c>
      <c r="E65" s="4" t="s">
        <v>2</v>
      </c>
      <c r="F65" s="5">
        <v>42174.036400462966</v>
      </c>
      <c r="G65" s="4">
        <v>101</v>
      </c>
      <c r="H65" s="4" t="s">
        <v>1</v>
      </c>
      <c r="I65" s="3" t="s">
        <v>80</v>
      </c>
    </row>
    <row r="66" spans="1:9" x14ac:dyDescent="0.25">
      <c r="A66" s="4">
        <v>42114</v>
      </c>
      <c r="B66" s="4" t="s">
        <v>5</v>
      </c>
      <c r="C66" s="4" t="s">
        <v>74</v>
      </c>
      <c r="D66" s="4" t="s">
        <v>3</v>
      </c>
      <c r="E66" s="4" t="s">
        <v>2</v>
      </c>
      <c r="F66" s="5">
        <v>42174.03638888889</v>
      </c>
      <c r="G66" s="4">
        <v>103</v>
      </c>
      <c r="H66" s="4" t="s">
        <v>1</v>
      </c>
      <c r="I66" s="3" t="s">
        <v>79</v>
      </c>
    </row>
    <row r="67" spans="1:9" x14ac:dyDescent="0.25">
      <c r="A67" s="4">
        <v>42113</v>
      </c>
      <c r="B67" s="4" t="s">
        <v>5</v>
      </c>
      <c r="C67" s="4" t="s">
        <v>92</v>
      </c>
      <c r="D67" s="4" t="s">
        <v>3</v>
      </c>
      <c r="E67" s="4" t="s">
        <v>2</v>
      </c>
      <c r="F67" s="5">
        <v>42174.036111111112</v>
      </c>
      <c r="G67" s="4">
        <v>1003</v>
      </c>
      <c r="H67" s="4" t="s">
        <v>1</v>
      </c>
      <c r="I67" s="3" t="s">
        <v>91</v>
      </c>
    </row>
    <row r="68" spans="1:9" x14ac:dyDescent="0.25">
      <c r="A68" s="4">
        <v>42112</v>
      </c>
      <c r="B68" s="4" t="s">
        <v>5</v>
      </c>
      <c r="C68" s="4" t="s">
        <v>10</v>
      </c>
      <c r="D68" s="4" t="s">
        <v>7</v>
      </c>
      <c r="E68" s="4" t="s">
        <v>2</v>
      </c>
      <c r="F68" s="5">
        <v>42174.035868055558</v>
      </c>
      <c r="G68" s="4">
        <v>902</v>
      </c>
      <c r="H68" s="4" t="s">
        <v>1</v>
      </c>
      <c r="I68" s="3" t="s">
        <v>13</v>
      </c>
    </row>
    <row r="69" spans="1:9" ht="409.5" x14ac:dyDescent="0.25">
      <c r="A69" s="4">
        <v>42111</v>
      </c>
      <c r="B69" s="4" t="s">
        <v>5</v>
      </c>
      <c r="C69" s="4" t="s">
        <v>10</v>
      </c>
      <c r="D69" s="4" t="s">
        <v>3</v>
      </c>
      <c r="E69" s="4" t="s">
        <v>2</v>
      </c>
      <c r="F69" s="5">
        <v>42174.035868055558</v>
      </c>
      <c r="G69" s="4">
        <v>1003</v>
      </c>
      <c r="H69" s="4" t="s">
        <v>1</v>
      </c>
      <c r="I69" s="3" t="s">
        <v>12</v>
      </c>
    </row>
    <row r="70" spans="1:9" ht="135" x14ac:dyDescent="0.25">
      <c r="A70" s="4">
        <v>42110</v>
      </c>
      <c r="B70" s="4" t="s">
        <v>5</v>
      </c>
      <c r="C70" s="4" t="s">
        <v>10</v>
      </c>
      <c r="D70" s="4" t="s">
        <v>3</v>
      </c>
      <c r="E70" s="4" t="s">
        <v>2</v>
      </c>
      <c r="F70" s="5">
        <v>42174.035856481481</v>
      </c>
      <c r="G70" s="4">
        <v>1066</v>
      </c>
      <c r="H70" s="4" t="s">
        <v>1</v>
      </c>
      <c r="I70" s="3" t="s">
        <v>11</v>
      </c>
    </row>
    <row r="71" spans="1:9" ht="30" x14ac:dyDescent="0.25">
      <c r="A71" s="4">
        <v>42109</v>
      </c>
      <c r="B71" s="4" t="s">
        <v>5</v>
      </c>
      <c r="C71" s="4" t="s">
        <v>86</v>
      </c>
      <c r="D71" s="4" t="s">
        <v>3</v>
      </c>
      <c r="E71" s="4" t="s">
        <v>2</v>
      </c>
      <c r="F71" s="5">
        <v>42174.035821759258</v>
      </c>
      <c r="G71" s="4">
        <v>302</v>
      </c>
      <c r="H71" s="4" t="s">
        <v>1</v>
      </c>
      <c r="I71" s="3" t="s">
        <v>148</v>
      </c>
    </row>
    <row r="72" spans="1:9" x14ac:dyDescent="0.25">
      <c r="A72" s="4">
        <v>42108</v>
      </c>
      <c r="B72" s="4" t="s">
        <v>5</v>
      </c>
      <c r="C72" s="4" t="s">
        <v>10</v>
      </c>
      <c r="D72" s="4" t="s">
        <v>3</v>
      </c>
      <c r="E72" s="4" t="s">
        <v>2</v>
      </c>
      <c r="F72" s="5">
        <v>42174.035810185182</v>
      </c>
      <c r="G72" s="4">
        <v>900</v>
      </c>
      <c r="H72" s="4" t="s">
        <v>1</v>
      </c>
      <c r="I72" s="3" t="s">
        <v>9</v>
      </c>
    </row>
    <row r="73" spans="1:9" ht="30" x14ac:dyDescent="0.25">
      <c r="A73" s="4">
        <v>42107</v>
      </c>
      <c r="B73" s="4" t="s">
        <v>5</v>
      </c>
      <c r="C73" s="4" t="s">
        <v>86</v>
      </c>
      <c r="D73" s="4" t="s">
        <v>3</v>
      </c>
      <c r="E73" s="4" t="s">
        <v>2</v>
      </c>
      <c r="F73" s="5">
        <v>42174.035810185182</v>
      </c>
      <c r="G73" s="4">
        <v>301</v>
      </c>
      <c r="H73" s="4" t="s">
        <v>1</v>
      </c>
      <c r="I73" s="3" t="s">
        <v>149</v>
      </c>
    </row>
    <row r="74" spans="1:9" ht="45" x14ac:dyDescent="0.25">
      <c r="A74" s="4">
        <v>42106</v>
      </c>
      <c r="B74" s="4" t="s">
        <v>5</v>
      </c>
      <c r="C74" s="4" t="s">
        <v>86</v>
      </c>
      <c r="D74" s="4" t="s">
        <v>3</v>
      </c>
      <c r="E74" s="4" t="s">
        <v>2</v>
      </c>
      <c r="F74" s="5">
        <v>42174.035717592589</v>
      </c>
      <c r="G74" s="4">
        <v>301</v>
      </c>
      <c r="H74" s="4" t="s">
        <v>1</v>
      </c>
      <c r="I74" s="3" t="s">
        <v>150</v>
      </c>
    </row>
    <row r="75" spans="1:9" x14ac:dyDescent="0.25">
      <c r="A75" s="4">
        <v>42105</v>
      </c>
      <c r="B75" s="4" t="s">
        <v>5</v>
      </c>
      <c r="C75" s="4" t="s">
        <v>86</v>
      </c>
      <c r="D75" s="4" t="s">
        <v>3</v>
      </c>
      <c r="E75" s="4" t="s">
        <v>2</v>
      </c>
      <c r="F75" s="5">
        <v>42174.035717592589</v>
      </c>
      <c r="G75" s="4">
        <v>300</v>
      </c>
      <c r="H75" s="4" t="s">
        <v>1</v>
      </c>
      <c r="I75" s="3" t="s">
        <v>151</v>
      </c>
    </row>
    <row r="76" spans="1:9" ht="30" x14ac:dyDescent="0.25">
      <c r="A76" s="4">
        <v>42104</v>
      </c>
      <c r="B76" s="4" t="s">
        <v>5</v>
      </c>
      <c r="C76" s="4" t="s">
        <v>86</v>
      </c>
      <c r="D76" s="4" t="s">
        <v>3</v>
      </c>
      <c r="E76" s="4" t="s">
        <v>2</v>
      </c>
      <c r="F76" s="5">
        <v>42174.035717592589</v>
      </c>
      <c r="G76" s="4">
        <v>102</v>
      </c>
      <c r="H76" s="4" t="s">
        <v>1</v>
      </c>
      <c r="I76" s="3" t="s">
        <v>152</v>
      </c>
    </row>
    <row r="77" spans="1:9" ht="30" x14ac:dyDescent="0.25">
      <c r="A77" s="4">
        <v>42103</v>
      </c>
      <c r="B77" s="4" t="s">
        <v>5</v>
      </c>
      <c r="C77" s="4" t="s">
        <v>51</v>
      </c>
      <c r="D77" s="4" t="s">
        <v>3</v>
      </c>
      <c r="E77" s="4" t="s">
        <v>2</v>
      </c>
      <c r="F77" s="5">
        <v>42174.035601851851</v>
      </c>
      <c r="G77" s="4">
        <v>9003</v>
      </c>
      <c r="H77" s="4" t="s">
        <v>1</v>
      </c>
      <c r="I77" s="3" t="s">
        <v>97</v>
      </c>
    </row>
    <row r="78" spans="1:9" ht="30" x14ac:dyDescent="0.25">
      <c r="A78" s="4">
        <v>42102</v>
      </c>
      <c r="B78" s="4" t="s">
        <v>5</v>
      </c>
      <c r="C78" s="4" t="s">
        <v>53</v>
      </c>
      <c r="D78" s="4" t="s">
        <v>3</v>
      </c>
      <c r="E78" s="4" t="s">
        <v>2</v>
      </c>
      <c r="F78" s="5">
        <v>42174.035601851851</v>
      </c>
      <c r="G78" s="4">
        <v>6000</v>
      </c>
      <c r="H78" s="4" t="s">
        <v>1</v>
      </c>
      <c r="I78" s="3" t="s">
        <v>52</v>
      </c>
    </row>
    <row r="79" spans="1:9" x14ac:dyDescent="0.25">
      <c r="A79" s="4">
        <v>42101</v>
      </c>
      <c r="B79" s="4" t="s">
        <v>5</v>
      </c>
      <c r="C79" s="4" t="s">
        <v>96</v>
      </c>
      <c r="D79" s="4" t="s">
        <v>3</v>
      </c>
      <c r="E79" s="4" t="s">
        <v>2</v>
      </c>
      <c r="F79" s="5">
        <v>42174.035590277781</v>
      </c>
      <c r="G79" s="4">
        <v>4101</v>
      </c>
      <c r="H79" s="4" t="s">
        <v>1</v>
      </c>
      <c r="I79" s="3" t="s">
        <v>95</v>
      </c>
    </row>
    <row r="80" spans="1:9" x14ac:dyDescent="0.25">
      <c r="A80" s="4">
        <v>42100</v>
      </c>
      <c r="B80" s="4" t="s">
        <v>5</v>
      </c>
      <c r="C80" s="4" t="s">
        <v>76</v>
      </c>
      <c r="D80" s="4" t="s">
        <v>7</v>
      </c>
      <c r="E80" s="4" t="s">
        <v>2</v>
      </c>
      <c r="F80" s="5">
        <v>42174.035000000003</v>
      </c>
      <c r="G80" s="4">
        <v>5617</v>
      </c>
      <c r="H80" s="4" t="s">
        <v>1</v>
      </c>
      <c r="I80" s="3" t="s">
        <v>75</v>
      </c>
    </row>
    <row r="81" spans="1:9" x14ac:dyDescent="0.25">
      <c r="A81" s="4">
        <v>42099</v>
      </c>
      <c r="B81" s="4" t="s">
        <v>5</v>
      </c>
      <c r="C81" s="4" t="s">
        <v>78</v>
      </c>
      <c r="D81" s="4" t="s">
        <v>3</v>
      </c>
      <c r="E81" s="4" t="s">
        <v>2</v>
      </c>
      <c r="F81" s="5">
        <v>42174.035000000003</v>
      </c>
      <c r="G81" s="4">
        <v>0</v>
      </c>
      <c r="H81" s="4" t="s">
        <v>1</v>
      </c>
      <c r="I81" s="3" t="s">
        <v>77</v>
      </c>
    </row>
    <row r="82" spans="1:9" x14ac:dyDescent="0.25">
      <c r="A82" s="4">
        <v>42098</v>
      </c>
      <c r="B82" s="4" t="s">
        <v>5</v>
      </c>
      <c r="C82" s="4" t="s">
        <v>76</v>
      </c>
      <c r="D82" s="4" t="s">
        <v>7</v>
      </c>
      <c r="E82" s="4" t="s">
        <v>2</v>
      </c>
      <c r="F82" s="5">
        <v>42174.034988425927</v>
      </c>
      <c r="G82" s="4">
        <v>5615</v>
      </c>
      <c r="H82" s="4" t="s">
        <v>1</v>
      </c>
      <c r="I82" s="3" t="s">
        <v>75</v>
      </c>
    </row>
    <row r="83" spans="1:9" x14ac:dyDescent="0.25">
      <c r="A83" s="4">
        <v>42097</v>
      </c>
      <c r="B83" s="4" t="s">
        <v>5</v>
      </c>
      <c r="C83" s="4" t="s">
        <v>74</v>
      </c>
      <c r="D83" s="4" t="s">
        <v>3</v>
      </c>
      <c r="E83" s="4" t="s">
        <v>2</v>
      </c>
      <c r="F83" s="5">
        <v>42174.034988425927</v>
      </c>
      <c r="G83" s="4">
        <v>100</v>
      </c>
      <c r="H83" s="4" t="s">
        <v>1</v>
      </c>
      <c r="I83" s="3" t="s">
        <v>73</v>
      </c>
    </row>
    <row r="84" spans="1:9" x14ac:dyDescent="0.25">
      <c r="A84" s="4">
        <v>42096</v>
      </c>
      <c r="B84" s="4" t="s">
        <v>5</v>
      </c>
      <c r="C84" s="4" t="s">
        <v>72</v>
      </c>
      <c r="D84" s="4" t="s">
        <v>3</v>
      </c>
      <c r="E84" s="4" t="s">
        <v>2</v>
      </c>
      <c r="F84" s="5">
        <v>42174.034988425927</v>
      </c>
      <c r="G84" s="4">
        <v>0</v>
      </c>
      <c r="H84" s="4" t="s">
        <v>1</v>
      </c>
      <c r="I84" s="3" t="s">
        <v>71</v>
      </c>
    </row>
    <row r="85" spans="1:9" ht="409.5" x14ac:dyDescent="0.25">
      <c r="A85" s="4">
        <v>42095</v>
      </c>
      <c r="B85" s="4" t="s">
        <v>5</v>
      </c>
      <c r="C85" s="4" t="s">
        <v>66</v>
      </c>
      <c r="D85" s="4" t="s">
        <v>3</v>
      </c>
      <c r="E85" s="4" t="s">
        <v>2</v>
      </c>
      <c r="F85" s="5">
        <v>42174.034988425927</v>
      </c>
      <c r="G85" s="4">
        <v>50</v>
      </c>
      <c r="H85" s="4" t="s">
        <v>1</v>
      </c>
      <c r="I85" s="3" t="s">
        <v>68</v>
      </c>
    </row>
    <row r="86" spans="1:9" ht="135" x14ac:dyDescent="0.25">
      <c r="A86" s="4">
        <v>42094</v>
      </c>
      <c r="B86" s="4" t="s">
        <v>5</v>
      </c>
      <c r="C86" s="4" t="s">
        <v>66</v>
      </c>
      <c r="D86" s="4" t="s">
        <v>3</v>
      </c>
      <c r="E86" s="4" t="s">
        <v>2</v>
      </c>
      <c r="F86" s="5">
        <v>42174.034988425927</v>
      </c>
      <c r="G86" s="4">
        <v>50</v>
      </c>
      <c r="H86" s="4" t="s">
        <v>1</v>
      </c>
      <c r="I86" s="3" t="s">
        <v>67</v>
      </c>
    </row>
    <row r="87" spans="1:9" ht="105" x14ac:dyDescent="0.25">
      <c r="A87" s="4">
        <v>42093</v>
      </c>
      <c r="B87" s="4" t="s">
        <v>5</v>
      </c>
      <c r="C87" s="4" t="s">
        <v>66</v>
      </c>
      <c r="D87" s="4" t="s">
        <v>3</v>
      </c>
      <c r="E87" s="4" t="s">
        <v>2</v>
      </c>
      <c r="F87" s="5">
        <v>42174.034988425927</v>
      </c>
      <c r="G87" s="4">
        <v>50</v>
      </c>
      <c r="H87" s="4" t="s">
        <v>1</v>
      </c>
      <c r="I87" s="3" t="s">
        <v>65</v>
      </c>
    </row>
    <row r="88" spans="1:9" x14ac:dyDescent="0.25">
      <c r="A88" s="4">
        <v>42092</v>
      </c>
      <c r="B88" s="4" t="s">
        <v>5</v>
      </c>
      <c r="C88" s="4" t="s">
        <v>70</v>
      </c>
      <c r="D88" s="4" t="s">
        <v>3</v>
      </c>
      <c r="E88" s="4" t="s">
        <v>2</v>
      </c>
      <c r="F88" s="5">
        <v>42174.03497685185</v>
      </c>
      <c r="G88" s="4">
        <v>0</v>
      </c>
      <c r="H88" s="4" t="s">
        <v>1</v>
      </c>
      <c r="I88" s="3" t="s">
        <v>69</v>
      </c>
    </row>
    <row r="89" spans="1:9" x14ac:dyDescent="0.25">
      <c r="A89" s="4">
        <v>42091</v>
      </c>
      <c r="B89" s="4" t="s">
        <v>5</v>
      </c>
      <c r="C89" s="4" t="s">
        <v>64</v>
      </c>
      <c r="D89" s="4" t="s">
        <v>3</v>
      </c>
      <c r="E89" s="4" t="s">
        <v>2</v>
      </c>
      <c r="F89" s="5">
        <v>42174.034953703704</v>
      </c>
      <c r="G89" s="4">
        <v>0</v>
      </c>
      <c r="H89" s="4" t="s">
        <v>1</v>
      </c>
      <c r="I89" s="3" t="s">
        <v>63</v>
      </c>
    </row>
    <row r="90" spans="1:9" x14ac:dyDescent="0.25">
      <c r="A90" s="4">
        <v>42090</v>
      </c>
      <c r="B90" s="4" t="s">
        <v>5</v>
      </c>
      <c r="C90" s="4" t="s">
        <v>57</v>
      </c>
      <c r="D90" s="4" t="s">
        <v>3</v>
      </c>
      <c r="E90" s="4" t="s">
        <v>2</v>
      </c>
      <c r="F90" s="5">
        <v>42174.034942129627</v>
      </c>
      <c r="G90" s="4">
        <v>1531</v>
      </c>
      <c r="H90" s="4" t="s">
        <v>55</v>
      </c>
      <c r="I90" s="3" t="s">
        <v>62</v>
      </c>
    </row>
    <row r="91" spans="1:9" ht="30" x14ac:dyDescent="0.25">
      <c r="A91" s="4">
        <v>42089</v>
      </c>
      <c r="B91" s="4" t="s">
        <v>5</v>
      </c>
      <c r="C91" s="4" t="s">
        <v>60</v>
      </c>
      <c r="D91" s="4" t="s">
        <v>3</v>
      </c>
      <c r="E91" s="4" t="s">
        <v>2</v>
      </c>
      <c r="F91" s="5">
        <v>42174.034942129627</v>
      </c>
      <c r="G91" s="4">
        <v>4625</v>
      </c>
      <c r="H91" s="4" t="s">
        <v>1</v>
      </c>
      <c r="I91" s="3" t="s">
        <v>59</v>
      </c>
    </row>
    <row r="92" spans="1:9" x14ac:dyDescent="0.25">
      <c r="A92" s="4">
        <v>42088</v>
      </c>
      <c r="B92" s="4" t="s">
        <v>5</v>
      </c>
      <c r="C92" s="4" t="s">
        <v>57</v>
      </c>
      <c r="D92" s="4" t="s">
        <v>3</v>
      </c>
      <c r="E92" s="4" t="s">
        <v>2</v>
      </c>
      <c r="F92" s="5">
        <v>42174.034409722219</v>
      </c>
      <c r="G92" s="4">
        <v>1532</v>
      </c>
      <c r="H92" s="4" t="s">
        <v>55</v>
      </c>
      <c r="I92" s="3" t="s">
        <v>61</v>
      </c>
    </row>
    <row r="93" spans="1:9" ht="30" x14ac:dyDescent="0.25">
      <c r="A93" s="4">
        <v>42087</v>
      </c>
      <c r="B93" s="4" t="s">
        <v>5</v>
      </c>
      <c r="C93" s="4" t="s">
        <v>53</v>
      </c>
      <c r="D93" s="4" t="s">
        <v>3</v>
      </c>
      <c r="E93" s="4" t="s">
        <v>2</v>
      </c>
      <c r="F93" s="5">
        <v>42174.034317129626</v>
      </c>
      <c r="G93" s="4">
        <v>6000</v>
      </c>
      <c r="H93" s="4" t="s">
        <v>1</v>
      </c>
      <c r="I93" s="3" t="s">
        <v>58</v>
      </c>
    </row>
    <row r="94" spans="1:9" ht="30" x14ac:dyDescent="0.25">
      <c r="A94" s="4">
        <v>42086</v>
      </c>
      <c r="B94" s="4" t="s">
        <v>5</v>
      </c>
      <c r="C94" s="4" t="s">
        <v>53</v>
      </c>
      <c r="D94" s="4" t="s">
        <v>3</v>
      </c>
      <c r="E94" s="4" t="s">
        <v>2</v>
      </c>
      <c r="F94" s="5">
        <v>42174.03429398148</v>
      </c>
      <c r="G94" s="4">
        <v>6000</v>
      </c>
      <c r="H94" s="4" t="s">
        <v>1</v>
      </c>
      <c r="I94" s="3" t="s">
        <v>52</v>
      </c>
    </row>
    <row r="95" spans="1:9" x14ac:dyDescent="0.25">
      <c r="A95" s="4">
        <v>42085</v>
      </c>
      <c r="B95" s="4" t="s">
        <v>5</v>
      </c>
      <c r="C95" s="4" t="s">
        <v>51</v>
      </c>
      <c r="D95" s="4" t="s">
        <v>3</v>
      </c>
      <c r="E95" s="4" t="s">
        <v>2</v>
      </c>
      <c r="F95" s="5">
        <v>42174.03429398148</v>
      </c>
      <c r="G95" s="4">
        <v>9009</v>
      </c>
      <c r="H95" s="4" t="s">
        <v>1</v>
      </c>
      <c r="I95" s="3" t="s">
        <v>50</v>
      </c>
    </row>
    <row r="96" spans="1:9" x14ac:dyDescent="0.25">
      <c r="A96" s="4">
        <v>42084</v>
      </c>
      <c r="B96" s="4" t="s">
        <v>5</v>
      </c>
      <c r="C96" s="4" t="s">
        <v>18</v>
      </c>
      <c r="D96" s="4" t="s">
        <v>3</v>
      </c>
      <c r="E96" s="4" t="s">
        <v>2</v>
      </c>
      <c r="F96" s="5">
        <v>42173.869027777779</v>
      </c>
      <c r="G96" s="4">
        <v>0</v>
      </c>
      <c r="H96" s="4" t="s">
        <v>1</v>
      </c>
      <c r="I96" s="3" t="s">
        <v>17</v>
      </c>
    </row>
    <row r="97" spans="1:9" x14ac:dyDescent="0.25">
      <c r="A97" s="4">
        <v>42083</v>
      </c>
      <c r="B97" s="4" t="s">
        <v>5</v>
      </c>
      <c r="C97" s="4" t="s">
        <v>18</v>
      </c>
      <c r="D97" s="4" t="s">
        <v>3</v>
      </c>
      <c r="E97" s="4" t="s">
        <v>2</v>
      </c>
      <c r="F97" s="5">
        <v>42173.660636574074</v>
      </c>
      <c r="G97" s="4">
        <v>0</v>
      </c>
      <c r="H97" s="4" t="s">
        <v>1</v>
      </c>
      <c r="I97" s="3" t="s">
        <v>17</v>
      </c>
    </row>
    <row r="98" spans="1:9" ht="75" x14ac:dyDescent="0.25">
      <c r="A98" s="4">
        <v>42082</v>
      </c>
      <c r="B98" s="4" t="s">
        <v>5</v>
      </c>
      <c r="C98" s="4" t="s">
        <v>20</v>
      </c>
      <c r="D98" s="4" t="s">
        <v>3</v>
      </c>
      <c r="E98" s="4" t="s">
        <v>2</v>
      </c>
      <c r="F98" s="5">
        <v>42173.585821759261</v>
      </c>
      <c r="G98" s="4">
        <v>45</v>
      </c>
      <c r="H98" s="4" t="s">
        <v>1</v>
      </c>
      <c r="I98" s="3" t="s">
        <v>19</v>
      </c>
    </row>
    <row r="99" spans="1:9" ht="60" x14ac:dyDescent="0.25">
      <c r="A99" s="4">
        <v>42081</v>
      </c>
      <c r="B99" s="4" t="s">
        <v>5</v>
      </c>
      <c r="C99" s="4" t="s">
        <v>22</v>
      </c>
      <c r="D99" s="4" t="s">
        <v>3</v>
      </c>
      <c r="E99" s="4" t="s">
        <v>2</v>
      </c>
      <c r="F99" s="5">
        <v>42173.585821759261</v>
      </c>
      <c r="G99" s="4">
        <v>1003</v>
      </c>
      <c r="H99" s="4" t="s">
        <v>1</v>
      </c>
      <c r="I99" s="3" t="s">
        <v>24</v>
      </c>
    </row>
    <row r="100" spans="1:9" ht="60" x14ac:dyDescent="0.25">
      <c r="A100" s="4">
        <v>42080</v>
      </c>
      <c r="B100" s="4" t="s">
        <v>5</v>
      </c>
      <c r="C100" s="4" t="s">
        <v>22</v>
      </c>
      <c r="D100" s="4" t="s">
        <v>3</v>
      </c>
      <c r="E100" s="4" t="s">
        <v>2</v>
      </c>
      <c r="F100" s="5">
        <v>42173.585821759261</v>
      </c>
      <c r="G100" s="4">
        <v>1003</v>
      </c>
      <c r="H100" s="4" t="s">
        <v>1</v>
      </c>
      <c r="I100" s="3" t="s">
        <v>23</v>
      </c>
    </row>
    <row r="101" spans="1:9" ht="409.5" x14ac:dyDescent="0.25">
      <c r="A101" s="4">
        <v>42079</v>
      </c>
      <c r="B101" s="4" t="s">
        <v>5</v>
      </c>
      <c r="C101" s="4" t="s">
        <v>22</v>
      </c>
      <c r="D101" s="4" t="s">
        <v>3</v>
      </c>
      <c r="E101" s="4" t="s">
        <v>2</v>
      </c>
      <c r="F101" s="5">
        <v>42173.585821759261</v>
      </c>
      <c r="G101" s="4">
        <v>1003</v>
      </c>
      <c r="H101" s="4" t="s">
        <v>1</v>
      </c>
      <c r="I101" s="3" t="s">
        <v>21</v>
      </c>
    </row>
    <row r="102" spans="1:9" x14ac:dyDescent="0.25">
      <c r="A102" s="4">
        <v>42078</v>
      </c>
      <c r="B102" s="4" t="s">
        <v>5</v>
      </c>
      <c r="C102" s="4" t="s">
        <v>22</v>
      </c>
      <c r="D102" s="4" t="s">
        <v>7</v>
      </c>
      <c r="E102" s="4" t="s">
        <v>2</v>
      </c>
      <c r="F102" s="5">
        <v>42173.585821759261</v>
      </c>
      <c r="G102" s="4">
        <v>902</v>
      </c>
      <c r="H102" s="4" t="s">
        <v>1</v>
      </c>
      <c r="I102" s="3" t="s">
        <v>99</v>
      </c>
    </row>
    <row r="103" spans="1:9" ht="135" x14ac:dyDescent="0.25">
      <c r="A103" s="4">
        <v>42077</v>
      </c>
      <c r="B103" s="4" t="s">
        <v>5</v>
      </c>
      <c r="C103" s="4" t="s">
        <v>22</v>
      </c>
      <c r="D103" s="4" t="s">
        <v>3</v>
      </c>
      <c r="E103" s="4" t="s">
        <v>2</v>
      </c>
      <c r="F103" s="5">
        <v>42173.585821759261</v>
      </c>
      <c r="G103" s="4">
        <v>1066</v>
      </c>
      <c r="H103" s="4" t="s">
        <v>1</v>
      </c>
      <c r="I103" s="3" t="s">
        <v>98</v>
      </c>
    </row>
    <row r="104" spans="1:9" x14ac:dyDescent="0.25">
      <c r="A104" s="4">
        <v>42076</v>
      </c>
      <c r="B104" s="4" t="s">
        <v>5</v>
      </c>
      <c r="C104" s="4" t="s">
        <v>22</v>
      </c>
      <c r="D104" s="4" t="s">
        <v>3</v>
      </c>
      <c r="E104" s="4" t="s">
        <v>2</v>
      </c>
      <c r="F104" s="5">
        <v>42173.585810185185</v>
      </c>
      <c r="G104" s="4">
        <v>900</v>
      </c>
      <c r="H104" s="4" t="s">
        <v>1</v>
      </c>
      <c r="I104" s="3" t="s">
        <v>9</v>
      </c>
    </row>
    <row r="105" spans="1:9" x14ac:dyDescent="0.25">
      <c r="A105" s="4">
        <v>42075</v>
      </c>
      <c r="B105" s="4" t="s">
        <v>5</v>
      </c>
      <c r="C105" s="4" t="s">
        <v>4</v>
      </c>
      <c r="D105" s="4" t="s">
        <v>3</v>
      </c>
      <c r="E105" s="4" t="s">
        <v>2</v>
      </c>
      <c r="F105" s="5">
        <v>42173.582754629628</v>
      </c>
      <c r="G105" s="4">
        <v>8224</v>
      </c>
      <c r="H105" s="4" t="s">
        <v>1</v>
      </c>
      <c r="I105" s="3" t="s">
        <v>0</v>
      </c>
    </row>
    <row r="106" spans="1:9" x14ac:dyDescent="0.25">
      <c r="A106" s="4">
        <v>42074</v>
      </c>
      <c r="B106" s="4" t="s">
        <v>5</v>
      </c>
      <c r="C106" s="4" t="s">
        <v>10</v>
      </c>
      <c r="D106" s="4" t="s">
        <v>7</v>
      </c>
      <c r="E106" s="4" t="s">
        <v>2</v>
      </c>
      <c r="F106" s="5">
        <v>42173.549537037034</v>
      </c>
      <c r="G106" s="4">
        <v>903</v>
      </c>
      <c r="H106" s="4" t="s">
        <v>1</v>
      </c>
      <c r="I106" s="3" t="s">
        <v>14</v>
      </c>
    </row>
    <row r="107" spans="1:9" x14ac:dyDescent="0.25">
      <c r="A107" s="4">
        <v>42073</v>
      </c>
      <c r="B107" s="4" t="s">
        <v>5</v>
      </c>
      <c r="C107" s="4" t="s">
        <v>94</v>
      </c>
      <c r="D107" s="4" t="s">
        <v>3</v>
      </c>
      <c r="E107" s="4" t="s">
        <v>2</v>
      </c>
      <c r="F107" s="5">
        <v>42173.545520833337</v>
      </c>
      <c r="G107" s="4">
        <v>2000</v>
      </c>
      <c r="H107" s="4" t="s">
        <v>1</v>
      </c>
      <c r="I107" s="3" t="s">
        <v>93</v>
      </c>
    </row>
    <row r="108" spans="1:9" x14ac:dyDescent="0.25">
      <c r="A108" s="4">
        <v>42072</v>
      </c>
      <c r="B108" s="4" t="s">
        <v>5</v>
      </c>
      <c r="C108" s="4" t="s">
        <v>92</v>
      </c>
      <c r="D108" s="4" t="s">
        <v>3</v>
      </c>
      <c r="E108" s="4" t="s">
        <v>2</v>
      </c>
      <c r="F108" s="5">
        <v>42173.545497685183</v>
      </c>
      <c r="G108" s="4">
        <v>1003</v>
      </c>
      <c r="H108" s="4" t="s">
        <v>1</v>
      </c>
      <c r="I108" s="3" t="s">
        <v>91</v>
      </c>
    </row>
    <row r="109" spans="1:9" ht="30" x14ac:dyDescent="0.25">
      <c r="A109" s="4">
        <v>42071</v>
      </c>
      <c r="B109" s="4" t="s">
        <v>5</v>
      </c>
      <c r="C109" s="4" t="s">
        <v>86</v>
      </c>
      <c r="D109" s="4" t="s">
        <v>3</v>
      </c>
      <c r="E109" s="4" t="s">
        <v>2</v>
      </c>
      <c r="F109" s="5">
        <v>42173.545358796298</v>
      </c>
      <c r="G109" s="4">
        <v>302</v>
      </c>
      <c r="H109" s="4" t="s">
        <v>1</v>
      </c>
      <c r="I109" s="3" t="s">
        <v>153</v>
      </c>
    </row>
    <row r="110" spans="1:9" ht="30" x14ac:dyDescent="0.25">
      <c r="A110" s="4">
        <v>42070</v>
      </c>
      <c r="B110" s="4" t="s">
        <v>5</v>
      </c>
      <c r="C110" s="4" t="s">
        <v>86</v>
      </c>
      <c r="D110" s="4" t="s">
        <v>3</v>
      </c>
      <c r="E110" s="4" t="s">
        <v>2</v>
      </c>
      <c r="F110" s="5">
        <v>42173.545324074075</v>
      </c>
      <c r="G110" s="4">
        <v>301</v>
      </c>
      <c r="H110" s="4" t="s">
        <v>1</v>
      </c>
      <c r="I110" s="3" t="s">
        <v>154</v>
      </c>
    </row>
    <row r="111" spans="1:9" x14ac:dyDescent="0.25">
      <c r="A111" s="4">
        <v>42069</v>
      </c>
      <c r="B111" s="4" t="s">
        <v>5</v>
      </c>
      <c r="C111" s="4" t="s">
        <v>86</v>
      </c>
      <c r="D111" s="4" t="s">
        <v>3</v>
      </c>
      <c r="E111" s="4" t="s">
        <v>2</v>
      </c>
      <c r="F111" s="5">
        <v>42173.545324074075</v>
      </c>
      <c r="G111" s="4">
        <v>300</v>
      </c>
      <c r="H111" s="4" t="s">
        <v>1</v>
      </c>
      <c r="I111" s="3" t="s">
        <v>155</v>
      </c>
    </row>
    <row r="112" spans="1:9" ht="30" x14ac:dyDescent="0.25">
      <c r="A112" s="4">
        <v>42068</v>
      </c>
      <c r="B112" s="4" t="s">
        <v>5</v>
      </c>
      <c r="C112" s="4" t="s">
        <v>86</v>
      </c>
      <c r="D112" s="4" t="s">
        <v>3</v>
      </c>
      <c r="E112" s="4" t="s">
        <v>2</v>
      </c>
      <c r="F112" s="5">
        <v>42173.545324074075</v>
      </c>
      <c r="G112" s="4">
        <v>102</v>
      </c>
      <c r="H112" s="4" t="s">
        <v>1</v>
      </c>
      <c r="I112" s="3" t="s">
        <v>156</v>
      </c>
    </row>
    <row r="113" spans="1:9" x14ac:dyDescent="0.25">
      <c r="A113" s="4">
        <v>42067</v>
      </c>
      <c r="B113" s="4" t="s">
        <v>5</v>
      </c>
      <c r="C113" s="4" t="s">
        <v>10</v>
      </c>
      <c r="D113" s="4" t="s">
        <v>7</v>
      </c>
      <c r="E113" s="4" t="s">
        <v>2</v>
      </c>
      <c r="F113" s="5">
        <v>42173.544942129629</v>
      </c>
      <c r="G113" s="4">
        <v>902</v>
      </c>
      <c r="H113" s="4" t="s">
        <v>1</v>
      </c>
      <c r="I113" s="3" t="s">
        <v>13</v>
      </c>
    </row>
    <row r="114" spans="1:9" ht="409.5" x14ac:dyDescent="0.25">
      <c r="A114" s="4">
        <v>42066</v>
      </c>
      <c r="B114" s="4" t="s">
        <v>5</v>
      </c>
      <c r="C114" s="4" t="s">
        <v>10</v>
      </c>
      <c r="D114" s="4" t="s">
        <v>3</v>
      </c>
      <c r="E114" s="4" t="s">
        <v>2</v>
      </c>
      <c r="F114" s="5">
        <v>42173.544942129629</v>
      </c>
      <c r="G114" s="4">
        <v>1003</v>
      </c>
      <c r="H114" s="4" t="s">
        <v>1</v>
      </c>
      <c r="I114" s="3" t="s">
        <v>12</v>
      </c>
    </row>
    <row r="115" spans="1:9" x14ac:dyDescent="0.25">
      <c r="A115" s="4">
        <v>42065</v>
      </c>
      <c r="B115" s="4" t="s">
        <v>5</v>
      </c>
      <c r="C115" s="4" t="s">
        <v>84</v>
      </c>
      <c r="D115" s="4" t="s">
        <v>3</v>
      </c>
      <c r="E115" s="4" t="s">
        <v>2</v>
      </c>
      <c r="F115" s="5">
        <v>42173.544942129629</v>
      </c>
      <c r="G115" s="4">
        <v>1</v>
      </c>
      <c r="H115" s="4" t="s">
        <v>1</v>
      </c>
      <c r="I115" s="3" t="s">
        <v>83</v>
      </c>
    </row>
    <row r="116" spans="1:9" ht="135" x14ac:dyDescent="0.25">
      <c r="A116" s="4">
        <v>42064</v>
      </c>
      <c r="B116" s="4" t="s">
        <v>5</v>
      </c>
      <c r="C116" s="4" t="s">
        <v>10</v>
      </c>
      <c r="D116" s="4" t="s">
        <v>3</v>
      </c>
      <c r="E116" s="4" t="s">
        <v>2</v>
      </c>
      <c r="F116" s="5">
        <v>42173.544930555552</v>
      </c>
      <c r="G116" s="4">
        <v>1066</v>
      </c>
      <c r="H116" s="4" t="s">
        <v>1</v>
      </c>
      <c r="I116" s="3" t="s">
        <v>11</v>
      </c>
    </row>
    <row r="117" spans="1:9" x14ac:dyDescent="0.25">
      <c r="A117" s="4">
        <v>42063</v>
      </c>
      <c r="B117" s="4" t="s">
        <v>5</v>
      </c>
      <c r="C117" s="4" t="s">
        <v>10</v>
      </c>
      <c r="D117" s="4" t="s">
        <v>3</v>
      </c>
      <c r="E117" s="4" t="s">
        <v>2</v>
      </c>
      <c r="F117" s="5">
        <v>42173.544861111113</v>
      </c>
      <c r="G117" s="4">
        <v>900</v>
      </c>
      <c r="H117" s="4" t="s">
        <v>1</v>
      </c>
      <c r="I117" s="3" t="s">
        <v>9</v>
      </c>
    </row>
    <row r="118" spans="1:9" ht="30" x14ac:dyDescent="0.25">
      <c r="A118" s="4">
        <v>42062</v>
      </c>
      <c r="B118" s="4" t="s">
        <v>5</v>
      </c>
      <c r="C118" s="4" t="s">
        <v>51</v>
      </c>
      <c r="D118" s="4" t="s">
        <v>3</v>
      </c>
      <c r="E118" s="4" t="s">
        <v>2</v>
      </c>
      <c r="F118" s="5">
        <v>42173.544849537036</v>
      </c>
      <c r="G118" s="4">
        <v>9003</v>
      </c>
      <c r="H118" s="4" t="s">
        <v>1</v>
      </c>
      <c r="I118" s="3" t="s">
        <v>97</v>
      </c>
    </row>
    <row r="119" spans="1:9" ht="30" x14ac:dyDescent="0.25">
      <c r="A119" s="4">
        <v>42061</v>
      </c>
      <c r="B119" s="4" t="s">
        <v>5</v>
      </c>
      <c r="C119" s="4" t="s">
        <v>53</v>
      </c>
      <c r="D119" s="4" t="s">
        <v>3</v>
      </c>
      <c r="E119" s="4" t="s">
        <v>2</v>
      </c>
      <c r="F119" s="5">
        <v>42173.544849537036</v>
      </c>
      <c r="G119" s="4">
        <v>6000</v>
      </c>
      <c r="H119" s="4" t="s">
        <v>1</v>
      </c>
      <c r="I119" s="3" t="s">
        <v>52</v>
      </c>
    </row>
    <row r="120" spans="1:9" x14ac:dyDescent="0.25">
      <c r="A120" s="4">
        <v>42060</v>
      </c>
      <c r="B120" s="4" t="s">
        <v>5</v>
      </c>
      <c r="C120" s="4" t="s">
        <v>96</v>
      </c>
      <c r="D120" s="4" t="s">
        <v>3</v>
      </c>
      <c r="E120" s="4" t="s">
        <v>2</v>
      </c>
      <c r="F120" s="5">
        <v>42173.544849537036</v>
      </c>
      <c r="G120" s="4">
        <v>4101</v>
      </c>
      <c r="H120" s="4" t="s">
        <v>1</v>
      </c>
      <c r="I120" s="3" t="s">
        <v>95</v>
      </c>
    </row>
    <row r="121" spans="1:9" x14ac:dyDescent="0.25">
      <c r="A121" s="4">
        <v>42059</v>
      </c>
      <c r="B121" s="4" t="s">
        <v>5</v>
      </c>
      <c r="C121" s="4" t="s">
        <v>82</v>
      </c>
      <c r="D121" s="4" t="s">
        <v>3</v>
      </c>
      <c r="E121" s="4" t="s">
        <v>2</v>
      </c>
      <c r="F121" s="5">
        <v>42173.54483796296</v>
      </c>
      <c r="G121" s="4">
        <v>0</v>
      </c>
      <c r="H121" s="4" t="s">
        <v>55</v>
      </c>
      <c r="I121" s="3" t="s">
        <v>81</v>
      </c>
    </row>
    <row r="122" spans="1:9" x14ac:dyDescent="0.25">
      <c r="A122" s="4">
        <v>42058</v>
      </c>
      <c r="B122" s="4" t="s">
        <v>5</v>
      </c>
      <c r="C122" s="4" t="s">
        <v>18</v>
      </c>
      <c r="D122" s="4" t="s">
        <v>3</v>
      </c>
      <c r="E122" s="4" t="s">
        <v>2</v>
      </c>
      <c r="F122" s="5">
        <v>42173.54483796296</v>
      </c>
      <c r="G122" s="4">
        <v>0</v>
      </c>
      <c r="H122" s="4" t="s">
        <v>1</v>
      </c>
      <c r="I122" s="3" t="s">
        <v>17</v>
      </c>
    </row>
    <row r="123" spans="1:9" x14ac:dyDescent="0.25">
      <c r="A123" s="4">
        <v>42057</v>
      </c>
      <c r="B123" s="4" t="s">
        <v>5</v>
      </c>
      <c r="C123" s="4" t="s">
        <v>74</v>
      </c>
      <c r="D123" s="4" t="s">
        <v>3</v>
      </c>
      <c r="E123" s="4" t="s">
        <v>2</v>
      </c>
      <c r="F123" s="5">
        <v>42173.544814814813</v>
      </c>
      <c r="G123" s="4">
        <v>101</v>
      </c>
      <c r="H123" s="4" t="s">
        <v>1</v>
      </c>
      <c r="I123" s="3" t="s">
        <v>80</v>
      </c>
    </row>
    <row r="124" spans="1:9" x14ac:dyDescent="0.25">
      <c r="A124" s="4">
        <v>42056</v>
      </c>
      <c r="B124" s="4" t="s">
        <v>5</v>
      </c>
      <c r="C124" s="4" t="s">
        <v>74</v>
      </c>
      <c r="D124" s="4" t="s">
        <v>3</v>
      </c>
      <c r="E124" s="4" t="s">
        <v>2</v>
      </c>
      <c r="F124" s="5">
        <v>42173.544803240744</v>
      </c>
      <c r="G124" s="4">
        <v>103</v>
      </c>
      <c r="H124" s="4" t="s">
        <v>1</v>
      </c>
      <c r="I124" s="3" t="s">
        <v>79</v>
      </c>
    </row>
    <row r="125" spans="1:9" x14ac:dyDescent="0.25">
      <c r="A125" s="4">
        <v>42055</v>
      </c>
      <c r="B125" s="4" t="s">
        <v>5</v>
      </c>
      <c r="C125" s="4" t="s">
        <v>76</v>
      </c>
      <c r="D125" s="4" t="s">
        <v>7</v>
      </c>
      <c r="E125" s="4" t="s">
        <v>2</v>
      </c>
      <c r="F125" s="5">
        <v>42173.543402777781</v>
      </c>
      <c r="G125" s="4">
        <v>5617</v>
      </c>
      <c r="H125" s="4" t="s">
        <v>1</v>
      </c>
      <c r="I125" s="3" t="s">
        <v>75</v>
      </c>
    </row>
    <row r="126" spans="1:9" ht="409.5" x14ac:dyDescent="0.25">
      <c r="A126" s="4">
        <v>42054</v>
      </c>
      <c r="B126" s="4" t="s">
        <v>5</v>
      </c>
      <c r="C126" s="4" t="s">
        <v>66</v>
      </c>
      <c r="D126" s="4" t="s">
        <v>3</v>
      </c>
      <c r="E126" s="4" t="s">
        <v>2</v>
      </c>
      <c r="F126" s="5">
        <v>42173.543402777781</v>
      </c>
      <c r="G126" s="4">
        <v>50</v>
      </c>
      <c r="H126" s="4" t="s">
        <v>1</v>
      </c>
      <c r="I126" s="3" t="s">
        <v>68</v>
      </c>
    </row>
    <row r="127" spans="1:9" ht="135" x14ac:dyDescent="0.25">
      <c r="A127" s="4">
        <v>42053</v>
      </c>
      <c r="B127" s="4" t="s">
        <v>5</v>
      </c>
      <c r="C127" s="4" t="s">
        <v>66</v>
      </c>
      <c r="D127" s="4" t="s">
        <v>3</v>
      </c>
      <c r="E127" s="4" t="s">
        <v>2</v>
      </c>
      <c r="F127" s="5">
        <v>42173.543402777781</v>
      </c>
      <c r="G127" s="4">
        <v>50</v>
      </c>
      <c r="H127" s="4" t="s">
        <v>1</v>
      </c>
      <c r="I127" s="3" t="s">
        <v>67</v>
      </c>
    </row>
    <row r="128" spans="1:9" x14ac:dyDescent="0.25">
      <c r="A128" s="4">
        <v>42052</v>
      </c>
      <c r="B128" s="4" t="s">
        <v>5</v>
      </c>
      <c r="C128" s="4" t="s">
        <v>76</v>
      </c>
      <c r="D128" s="4" t="s">
        <v>7</v>
      </c>
      <c r="E128" s="4" t="s">
        <v>2</v>
      </c>
      <c r="F128" s="5">
        <v>42173.543402777781</v>
      </c>
      <c r="G128" s="4">
        <v>5615</v>
      </c>
      <c r="H128" s="4" t="s">
        <v>1</v>
      </c>
      <c r="I128" s="3" t="s">
        <v>75</v>
      </c>
    </row>
    <row r="129" spans="1:9" ht="105" x14ac:dyDescent="0.25">
      <c r="A129" s="4">
        <v>42051</v>
      </c>
      <c r="B129" s="4" t="s">
        <v>5</v>
      </c>
      <c r="C129" s="4" t="s">
        <v>66</v>
      </c>
      <c r="D129" s="4" t="s">
        <v>3</v>
      </c>
      <c r="E129" s="4" t="s">
        <v>2</v>
      </c>
      <c r="F129" s="5">
        <v>42173.543402777781</v>
      </c>
      <c r="G129" s="4">
        <v>50</v>
      </c>
      <c r="H129" s="4" t="s">
        <v>1</v>
      </c>
      <c r="I129" s="3" t="s">
        <v>65</v>
      </c>
    </row>
    <row r="130" spans="1:9" x14ac:dyDescent="0.25">
      <c r="A130" s="4">
        <v>42050</v>
      </c>
      <c r="B130" s="4" t="s">
        <v>5</v>
      </c>
      <c r="C130" s="4" t="s">
        <v>74</v>
      </c>
      <c r="D130" s="4" t="s">
        <v>3</v>
      </c>
      <c r="E130" s="4" t="s">
        <v>2</v>
      </c>
      <c r="F130" s="5">
        <v>42173.543402777781</v>
      </c>
      <c r="G130" s="4">
        <v>100</v>
      </c>
      <c r="H130" s="4" t="s">
        <v>1</v>
      </c>
      <c r="I130" s="3" t="s">
        <v>73</v>
      </c>
    </row>
    <row r="131" spans="1:9" x14ac:dyDescent="0.25">
      <c r="A131" s="4">
        <v>42049</v>
      </c>
      <c r="B131" s="4" t="s">
        <v>5</v>
      </c>
      <c r="C131" s="4" t="s">
        <v>78</v>
      </c>
      <c r="D131" s="4" t="s">
        <v>3</v>
      </c>
      <c r="E131" s="4" t="s">
        <v>2</v>
      </c>
      <c r="F131" s="5">
        <v>42173.543402777781</v>
      </c>
      <c r="G131" s="4">
        <v>0</v>
      </c>
      <c r="H131" s="4" t="s">
        <v>1</v>
      </c>
      <c r="I131" s="3" t="s">
        <v>77</v>
      </c>
    </row>
    <row r="132" spans="1:9" x14ac:dyDescent="0.25">
      <c r="A132" s="4">
        <v>42048</v>
      </c>
      <c r="B132" s="4" t="s">
        <v>5</v>
      </c>
      <c r="C132" s="4" t="s">
        <v>72</v>
      </c>
      <c r="D132" s="4" t="s">
        <v>3</v>
      </c>
      <c r="E132" s="4" t="s">
        <v>2</v>
      </c>
      <c r="F132" s="5">
        <v>42173.543402777781</v>
      </c>
      <c r="G132" s="4">
        <v>0</v>
      </c>
      <c r="H132" s="4" t="s">
        <v>1</v>
      </c>
      <c r="I132" s="3" t="s">
        <v>71</v>
      </c>
    </row>
    <row r="133" spans="1:9" x14ac:dyDescent="0.25">
      <c r="A133" s="4">
        <v>42047</v>
      </c>
      <c r="B133" s="4" t="s">
        <v>5</v>
      </c>
      <c r="C133" s="4" t="s">
        <v>70</v>
      </c>
      <c r="D133" s="4" t="s">
        <v>3</v>
      </c>
      <c r="E133" s="4" t="s">
        <v>2</v>
      </c>
      <c r="F133" s="5">
        <v>42173.543402777781</v>
      </c>
      <c r="G133" s="4">
        <v>0</v>
      </c>
      <c r="H133" s="4" t="s">
        <v>1</v>
      </c>
      <c r="I133" s="3" t="s">
        <v>69</v>
      </c>
    </row>
    <row r="134" spans="1:9" x14ac:dyDescent="0.25">
      <c r="A134" s="4">
        <v>42046</v>
      </c>
      <c r="B134" s="4" t="s">
        <v>5</v>
      </c>
      <c r="C134" s="4" t="s">
        <v>64</v>
      </c>
      <c r="D134" s="4" t="s">
        <v>3</v>
      </c>
      <c r="E134" s="4" t="s">
        <v>2</v>
      </c>
      <c r="F134" s="5">
        <v>42173.543379629627</v>
      </c>
      <c r="G134" s="4">
        <v>0</v>
      </c>
      <c r="H134" s="4" t="s">
        <v>1</v>
      </c>
      <c r="I134" s="3" t="s">
        <v>63</v>
      </c>
    </row>
    <row r="135" spans="1:9" x14ac:dyDescent="0.25">
      <c r="A135" s="4">
        <v>42045</v>
      </c>
      <c r="B135" s="4" t="s">
        <v>5</v>
      </c>
      <c r="C135" s="4" t="s">
        <v>57</v>
      </c>
      <c r="D135" s="4" t="s">
        <v>3</v>
      </c>
      <c r="E135" s="4" t="s">
        <v>2</v>
      </c>
      <c r="F135" s="5">
        <v>42173.543356481481</v>
      </c>
      <c r="G135" s="4">
        <v>1531</v>
      </c>
      <c r="H135" s="4" t="s">
        <v>55</v>
      </c>
      <c r="I135" s="3" t="s">
        <v>62</v>
      </c>
    </row>
    <row r="136" spans="1:9" ht="30" x14ac:dyDescent="0.25">
      <c r="A136" s="4">
        <v>42044</v>
      </c>
      <c r="B136" s="4" t="s">
        <v>5</v>
      </c>
      <c r="C136" s="4" t="s">
        <v>60</v>
      </c>
      <c r="D136" s="4" t="s">
        <v>3</v>
      </c>
      <c r="E136" s="4" t="s">
        <v>2</v>
      </c>
      <c r="F136" s="5">
        <v>42173.543356481481</v>
      </c>
      <c r="G136" s="4">
        <v>4625</v>
      </c>
      <c r="H136" s="4" t="s">
        <v>1</v>
      </c>
      <c r="I136" s="3" t="s">
        <v>59</v>
      </c>
    </row>
    <row r="137" spans="1:9" x14ac:dyDescent="0.25">
      <c r="A137" s="4">
        <v>42043</v>
      </c>
      <c r="B137" s="4" t="s">
        <v>5</v>
      </c>
      <c r="C137" s="4" t="s">
        <v>57</v>
      </c>
      <c r="D137" s="4" t="s">
        <v>3</v>
      </c>
      <c r="E137" s="4" t="s">
        <v>2</v>
      </c>
      <c r="F137" s="5">
        <v>42173.542847222219</v>
      </c>
      <c r="G137" s="4">
        <v>1532</v>
      </c>
      <c r="H137" s="4" t="s">
        <v>55</v>
      </c>
      <c r="I137" s="3" t="s">
        <v>61</v>
      </c>
    </row>
    <row r="138" spans="1:9" ht="30" x14ac:dyDescent="0.25">
      <c r="A138" s="4">
        <v>42042</v>
      </c>
      <c r="B138" s="4" t="s">
        <v>5</v>
      </c>
      <c r="C138" s="4" t="s">
        <v>53</v>
      </c>
      <c r="D138" s="4" t="s">
        <v>3</v>
      </c>
      <c r="E138" s="4" t="s">
        <v>2</v>
      </c>
      <c r="F138" s="5">
        <v>42173.542812500003</v>
      </c>
      <c r="G138" s="4">
        <v>6000</v>
      </c>
      <c r="H138" s="4" t="s">
        <v>1</v>
      </c>
      <c r="I138" s="3" t="s">
        <v>58</v>
      </c>
    </row>
    <row r="139" spans="1:9" ht="270" x14ac:dyDescent="0.25">
      <c r="A139" s="4">
        <v>42041</v>
      </c>
      <c r="B139" s="4" t="s">
        <v>5</v>
      </c>
      <c r="C139" s="4" t="s">
        <v>57</v>
      </c>
      <c r="D139" s="4" t="s">
        <v>56</v>
      </c>
      <c r="E139" s="4" t="s">
        <v>2</v>
      </c>
      <c r="F139" s="5">
        <v>42173.542800925927</v>
      </c>
      <c r="G139" s="4">
        <v>1530</v>
      </c>
      <c r="H139" s="4" t="s">
        <v>55</v>
      </c>
      <c r="I139" s="3" t="s">
        <v>54</v>
      </c>
    </row>
    <row r="140" spans="1:9" ht="30" x14ac:dyDescent="0.25">
      <c r="A140" s="4">
        <v>42040</v>
      </c>
      <c r="B140" s="4" t="s">
        <v>5</v>
      </c>
      <c r="C140" s="4" t="s">
        <v>53</v>
      </c>
      <c r="D140" s="4" t="s">
        <v>3</v>
      </c>
      <c r="E140" s="4" t="s">
        <v>2</v>
      </c>
      <c r="F140" s="5">
        <v>42173.542800925927</v>
      </c>
      <c r="G140" s="4">
        <v>6000</v>
      </c>
      <c r="H140" s="4" t="s">
        <v>1</v>
      </c>
      <c r="I140" s="3" t="s">
        <v>52</v>
      </c>
    </row>
    <row r="141" spans="1:9" x14ac:dyDescent="0.25">
      <c r="A141" s="4">
        <v>42039</v>
      </c>
      <c r="B141" s="4" t="s">
        <v>5</v>
      </c>
      <c r="C141" s="4" t="s">
        <v>51</v>
      </c>
      <c r="D141" s="4" t="s">
        <v>3</v>
      </c>
      <c r="E141" s="4" t="s">
        <v>2</v>
      </c>
      <c r="F141" s="5">
        <v>42173.542800925927</v>
      </c>
      <c r="G141" s="4">
        <v>9009</v>
      </c>
      <c r="H141" s="4" t="s">
        <v>1</v>
      </c>
      <c r="I141" s="3" t="s">
        <v>50</v>
      </c>
    </row>
    <row r="142" spans="1:9" ht="30" x14ac:dyDescent="0.25">
      <c r="A142" s="4">
        <v>42038</v>
      </c>
      <c r="B142" s="4" t="s">
        <v>5</v>
      </c>
      <c r="C142" s="4" t="s">
        <v>96</v>
      </c>
      <c r="D142" s="4" t="s">
        <v>3</v>
      </c>
      <c r="E142" s="4" t="s">
        <v>2</v>
      </c>
      <c r="F142" s="5">
        <v>42173.542303240742</v>
      </c>
      <c r="G142" s="4">
        <v>4004</v>
      </c>
      <c r="H142" s="4" t="s">
        <v>1</v>
      </c>
      <c r="I142" s="3" t="s">
        <v>157</v>
      </c>
    </row>
    <row r="143" spans="1:9" x14ac:dyDescent="0.25">
      <c r="A143" s="4">
        <v>42037</v>
      </c>
      <c r="B143" s="4" t="s">
        <v>5</v>
      </c>
      <c r="C143" s="4" t="s">
        <v>18</v>
      </c>
      <c r="D143" s="4" t="s">
        <v>3</v>
      </c>
      <c r="E143" s="4" t="s">
        <v>2</v>
      </c>
      <c r="F143" s="5">
        <v>42173.452847222223</v>
      </c>
      <c r="G143" s="4">
        <v>0</v>
      </c>
      <c r="H143" s="4" t="s">
        <v>1</v>
      </c>
      <c r="I143" s="3" t="s">
        <v>17</v>
      </c>
    </row>
    <row r="144" spans="1:9" ht="135" x14ac:dyDescent="0.25">
      <c r="A144" s="4">
        <v>42036</v>
      </c>
      <c r="B144" s="4" t="s">
        <v>5</v>
      </c>
      <c r="C144" s="4" t="s">
        <v>29</v>
      </c>
      <c r="D144" s="4" t="s">
        <v>28</v>
      </c>
      <c r="E144" s="4" t="s">
        <v>2</v>
      </c>
      <c r="F144" s="5">
        <v>42173.437928240739</v>
      </c>
      <c r="G144" s="4">
        <v>0</v>
      </c>
      <c r="H144" s="4" t="s">
        <v>1</v>
      </c>
      <c r="I144" s="3" t="s">
        <v>158</v>
      </c>
    </row>
    <row r="145" spans="1:9" x14ac:dyDescent="0.25">
      <c r="A145" s="4">
        <v>42035</v>
      </c>
      <c r="B145" s="4" t="s">
        <v>5</v>
      </c>
      <c r="C145" s="4" t="s">
        <v>10</v>
      </c>
      <c r="D145" s="4" t="s">
        <v>7</v>
      </c>
      <c r="E145" s="4" t="s">
        <v>2</v>
      </c>
      <c r="F145" s="5">
        <v>42173.389918981484</v>
      </c>
      <c r="G145" s="4">
        <v>903</v>
      </c>
      <c r="H145" s="4" t="s">
        <v>1</v>
      </c>
      <c r="I145" s="3" t="s">
        <v>14</v>
      </c>
    </row>
    <row r="146" spans="1:9" x14ac:dyDescent="0.25">
      <c r="A146" s="4">
        <v>42034</v>
      </c>
      <c r="B146" s="4" t="s">
        <v>5</v>
      </c>
      <c r="C146" s="4" t="s">
        <v>10</v>
      </c>
      <c r="D146" s="4" t="s">
        <v>7</v>
      </c>
      <c r="E146" s="4" t="s">
        <v>2</v>
      </c>
      <c r="F146" s="5">
        <v>42173.386435185188</v>
      </c>
      <c r="G146" s="4">
        <v>902</v>
      </c>
      <c r="H146" s="4" t="s">
        <v>1</v>
      </c>
      <c r="I146" s="3" t="s">
        <v>13</v>
      </c>
    </row>
    <row r="147" spans="1:9" ht="409.5" x14ac:dyDescent="0.25">
      <c r="A147" s="4">
        <v>42033</v>
      </c>
      <c r="B147" s="4" t="s">
        <v>5</v>
      </c>
      <c r="C147" s="4" t="s">
        <v>10</v>
      </c>
      <c r="D147" s="4" t="s">
        <v>3</v>
      </c>
      <c r="E147" s="4" t="s">
        <v>2</v>
      </c>
      <c r="F147" s="5">
        <v>42173.386435185188</v>
      </c>
      <c r="G147" s="4">
        <v>1003</v>
      </c>
      <c r="H147" s="4" t="s">
        <v>1</v>
      </c>
      <c r="I147" s="3" t="s">
        <v>12</v>
      </c>
    </row>
    <row r="148" spans="1:9" ht="135" x14ac:dyDescent="0.25">
      <c r="A148" s="4">
        <v>42032</v>
      </c>
      <c r="B148" s="4" t="s">
        <v>5</v>
      </c>
      <c r="C148" s="4" t="s">
        <v>10</v>
      </c>
      <c r="D148" s="4" t="s">
        <v>3</v>
      </c>
      <c r="E148" s="4" t="s">
        <v>2</v>
      </c>
      <c r="F148" s="5">
        <v>42173.386435185188</v>
      </c>
      <c r="G148" s="4">
        <v>1066</v>
      </c>
      <c r="H148" s="4" t="s">
        <v>1</v>
      </c>
      <c r="I148" s="3" t="s">
        <v>11</v>
      </c>
    </row>
    <row r="149" spans="1:9" x14ac:dyDescent="0.25">
      <c r="A149" s="4">
        <v>42031</v>
      </c>
      <c r="B149" s="4" t="s">
        <v>5</v>
      </c>
      <c r="C149" s="4" t="s">
        <v>10</v>
      </c>
      <c r="D149" s="4" t="s">
        <v>3</v>
      </c>
      <c r="E149" s="4" t="s">
        <v>2</v>
      </c>
      <c r="F149" s="5">
        <v>42173.386435185188</v>
      </c>
      <c r="G149" s="4">
        <v>900</v>
      </c>
      <c r="H149" s="4" t="s">
        <v>1</v>
      </c>
      <c r="I149" s="3" t="s">
        <v>9</v>
      </c>
    </row>
    <row r="150" spans="1:9" ht="60" x14ac:dyDescent="0.25">
      <c r="A150" s="4">
        <v>42030</v>
      </c>
      <c r="B150" s="4" t="s">
        <v>5</v>
      </c>
      <c r="C150" s="4" t="s">
        <v>22</v>
      </c>
      <c r="D150" s="4" t="s">
        <v>3</v>
      </c>
      <c r="E150" s="4" t="s">
        <v>2</v>
      </c>
      <c r="F150" s="5">
        <v>42173.330775462964</v>
      </c>
      <c r="G150" s="4">
        <v>1003</v>
      </c>
      <c r="H150" s="4" t="s">
        <v>1</v>
      </c>
      <c r="I150" s="3" t="s">
        <v>24</v>
      </c>
    </row>
    <row r="151" spans="1:9" ht="60" x14ac:dyDescent="0.25">
      <c r="A151" s="4">
        <v>42029</v>
      </c>
      <c r="B151" s="4" t="s">
        <v>5</v>
      </c>
      <c r="C151" s="4" t="s">
        <v>22</v>
      </c>
      <c r="D151" s="4" t="s">
        <v>3</v>
      </c>
      <c r="E151" s="4" t="s">
        <v>2</v>
      </c>
      <c r="F151" s="5">
        <v>42173.330775462964</v>
      </c>
      <c r="G151" s="4">
        <v>1003</v>
      </c>
      <c r="H151" s="4" t="s">
        <v>1</v>
      </c>
      <c r="I151" s="3" t="s">
        <v>23</v>
      </c>
    </row>
    <row r="152" spans="1:9" ht="409.5" x14ac:dyDescent="0.25">
      <c r="A152" s="4">
        <v>42028</v>
      </c>
      <c r="B152" s="4" t="s">
        <v>5</v>
      </c>
      <c r="C152" s="4" t="s">
        <v>22</v>
      </c>
      <c r="D152" s="4" t="s">
        <v>3</v>
      </c>
      <c r="E152" s="4" t="s">
        <v>2</v>
      </c>
      <c r="F152" s="5">
        <v>42173.330775462964</v>
      </c>
      <c r="G152" s="4">
        <v>1003</v>
      </c>
      <c r="H152" s="4" t="s">
        <v>1</v>
      </c>
      <c r="I152" s="3" t="s">
        <v>21</v>
      </c>
    </row>
    <row r="153" spans="1:9" ht="75" x14ac:dyDescent="0.25">
      <c r="A153" s="4">
        <v>42027</v>
      </c>
      <c r="B153" s="4" t="s">
        <v>5</v>
      </c>
      <c r="C153" s="4" t="s">
        <v>20</v>
      </c>
      <c r="D153" s="4" t="s">
        <v>3</v>
      </c>
      <c r="E153" s="4" t="s">
        <v>2</v>
      </c>
      <c r="F153" s="5">
        <v>42173.319953703707</v>
      </c>
      <c r="G153" s="4">
        <v>45</v>
      </c>
      <c r="H153" s="4" t="s">
        <v>1</v>
      </c>
      <c r="I153" s="3" t="s">
        <v>100</v>
      </c>
    </row>
    <row r="154" spans="1:9" ht="60" x14ac:dyDescent="0.25">
      <c r="A154" s="4">
        <v>42026</v>
      </c>
      <c r="B154" s="4" t="s">
        <v>5</v>
      </c>
      <c r="C154" s="4" t="s">
        <v>22</v>
      </c>
      <c r="D154" s="4" t="s">
        <v>3</v>
      </c>
      <c r="E154" s="4" t="s">
        <v>2</v>
      </c>
      <c r="F154" s="5">
        <v>42173.31994212963</v>
      </c>
      <c r="G154" s="4">
        <v>1003</v>
      </c>
      <c r="H154" s="4" t="s">
        <v>1</v>
      </c>
      <c r="I154" s="3" t="s">
        <v>24</v>
      </c>
    </row>
    <row r="155" spans="1:9" ht="60" x14ac:dyDescent="0.25">
      <c r="A155" s="4">
        <v>42025</v>
      </c>
      <c r="B155" s="4" t="s">
        <v>5</v>
      </c>
      <c r="C155" s="4" t="s">
        <v>22</v>
      </c>
      <c r="D155" s="4" t="s">
        <v>3</v>
      </c>
      <c r="E155" s="4" t="s">
        <v>2</v>
      </c>
      <c r="F155" s="5">
        <v>42173.31994212963</v>
      </c>
      <c r="G155" s="4">
        <v>1003</v>
      </c>
      <c r="H155" s="4" t="s">
        <v>1</v>
      </c>
      <c r="I155" s="3" t="s">
        <v>23</v>
      </c>
    </row>
    <row r="156" spans="1:9" ht="409.5" x14ac:dyDescent="0.25">
      <c r="A156" s="4">
        <v>42024</v>
      </c>
      <c r="B156" s="4" t="s">
        <v>5</v>
      </c>
      <c r="C156" s="4" t="s">
        <v>22</v>
      </c>
      <c r="D156" s="4" t="s">
        <v>3</v>
      </c>
      <c r="E156" s="4" t="s">
        <v>2</v>
      </c>
      <c r="F156" s="5">
        <v>42173.31994212963</v>
      </c>
      <c r="G156" s="4">
        <v>1003</v>
      </c>
      <c r="H156" s="4" t="s">
        <v>1</v>
      </c>
      <c r="I156" s="3" t="s">
        <v>21</v>
      </c>
    </row>
    <row r="157" spans="1:9" x14ac:dyDescent="0.25">
      <c r="A157" s="4">
        <v>42023</v>
      </c>
      <c r="B157" s="4" t="s">
        <v>5</v>
      </c>
      <c r="C157" s="4" t="s">
        <v>22</v>
      </c>
      <c r="D157" s="4" t="s">
        <v>7</v>
      </c>
      <c r="E157" s="4" t="s">
        <v>2</v>
      </c>
      <c r="F157" s="5">
        <v>42173.31994212963</v>
      </c>
      <c r="G157" s="4">
        <v>902</v>
      </c>
      <c r="H157" s="4" t="s">
        <v>1</v>
      </c>
      <c r="I157" s="3" t="s">
        <v>99</v>
      </c>
    </row>
    <row r="158" spans="1:9" ht="135" x14ac:dyDescent="0.25">
      <c r="A158" s="4">
        <v>42022</v>
      </c>
      <c r="B158" s="4" t="s">
        <v>5</v>
      </c>
      <c r="C158" s="4" t="s">
        <v>22</v>
      </c>
      <c r="D158" s="4" t="s">
        <v>3</v>
      </c>
      <c r="E158" s="4" t="s">
        <v>2</v>
      </c>
      <c r="F158" s="5">
        <v>42173.31994212963</v>
      </c>
      <c r="G158" s="4">
        <v>1066</v>
      </c>
      <c r="H158" s="4" t="s">
        <v>1</v>
      </c>
      <c r="I158" s="3" t="s">
        <v>98</v>
      </c>
    </row>
    <row r="159" spans="1:9" x14ac:dyDescent="0.25">
      <c r="A159" s="4">
        <v>42021</v>
      </c>
      <c r="B159" s="4" t="s">
        <v>5</v>
      </c>
      <c r="C159" s="4" t="s">
        <v>22</v>
      </c>
      <c r="D159" s="4" t="s">
        <v>3</v>
      </c>
      <c r="E159" s="4" t="s">
        <v>2</v>
      </c>
      <c r="F159" s="5">
        <v>42173.319907407407</v>
      </c>
      <c r="G159" s="4">
        <v>900</v>
      </c>
      <c r="H159" s="4" t="s">
        <v>1</v>
      </c>
      <c r="I159" s="3" t="s">
        <v>9</v>
      </c>
    </row>
    <row r="160" spans="1:9" x14ac:dyDescent="0.25">
      <c r="A160" s="4">
        <v>42020</v>
      </c>
      <c r="B160" s="4" t="s">
        <v>5</v>
      </c>
      <c r="C160" s="4" t="s">
        <v>10</v>
      </c>
      <c r="D160" s="4" t="s">
        <v>7</v>
      </c>
      <c r="E160" s="4" t="s">
        <v>2</v>
      </c>
      <c r="F160" s="5">
        <v>42173.314803240741</v>
      </c>
      <c r="G160" s="4">
        <v>903</v>
      </c>
      <c r="H160" s="4" t="s">
        <v>1</v>
      </c>
      <c r="I160" s="3" t="s">
        <v>14</v>
      </c>
    </row>
    <row r="161" spans="1:9" x14ac:dyDescent="0.25">
      <c r="A161" s="4">
        <v>42019</v>
      </c>
      <c r="B161" s="4" t="s">
        <v>5</v>
      </c>
      <c r="C161" s="4" t="s">
        <v>10</v>
      </c>
      <c r="D161" s="4" t="s">
        <v>7</v>
      </c>
      <c r="E161" s="4" t="s">
        <v>2</v>
      </c>
      <c r="F161" s="5">
        <v>42173.311168981483</v>
      </c>
      <c r="G161" s="4">
        <v>902</v>
      </c>
      <c r="H161" s="4" t="s">
        <v>1</v>
      </c>
      <c r="I161" s="3" t="s">
        <v>13</v>
      </c>
    </row>
    <row r="162" spans="1:9" ht="409.5" x14ac:dyDescent="0.25">
      <c r="A162" s="4">
        <v>42018</v>
      </c>
      <c r="B162" s="4" t="s">
        <v>5</v>
      </c>
      <c r="C162" s="4" t="s">
        <v>10</v>
      </c>
      <c r="D162" s="4" t="s">
        <v>3</v>
      </c>
      <c r="E162" s="4" t="s">
        <v>2</v>
      </c>
      <c r="F162" s="5">
        <v>42173.311168981483</v>
      </c>
      <c r="G162" s="4">
        <v>1003</v>
      </c>
      <c r="H162" s="4" t="s">
        <v>1</v>
      </c>
      <c r="I162" s="3" t="s">
        <v>12</v>
      </c>
    </row>
    <row r="163" spans="1:9" ht="135" x14ac:dyDescent="0.25">
      <c r="A163" s="4">
        <v>42017</v>
      </c>
      <c r="B163" s="4" t="s">
        <v>5</v>
      </c>
      <c r="C163" s="4" t="s">
        <v>10</v>
      </c>
      <c r="D163" s="4" t="s">
        <v>3</v>
      </c>
      <c r="E163" s="4" t="s">
        <v>2</v>
      </c>
      <c r="F163" s="5">
        <v>42173.311168981483</v>
      </c>
      <c r="G163" s="4">
        <v>1066</v>
      </c>
      <c r="H163" s="4" t="s">
        <v>1</v>
      </c>
      <c r="I163" s="3" t="s">
        <v>11</v>
      </c>
    </row>
    <row r="164" spans="1:9" x14ac:dyDescent="0.25">
      <c r="A164" s="4">
        <v>42016</v>
      </c>
      <c r="B164" s="4" t="s">
        <v>5</v>
      </c>
      <c r="C164" s="4" t="s">
        <v>10</v>
      </c>
      <c r="D164" s="4" t="s">
        <v>3</v>
      </c>
      <c r="E164" s="4" t="s">
        <v>2</v>
      </c>
      <c r="F164" s="5">
        <v>42173.311168981483</v>
      </c>
      <c r="G164" s="4">
        <v>900</v>
      </c>
      <c r="H164" s="4" t="s">
        <v>1</v>
      </c>
      <c r="I164" s="3" t="s">
        <v>9</v>
      </c>
    </row>
    <row r="165" spans="1:9" ht="30" x14ac:dyDescent="0.25">
      <c r="A165" s="4">
        <v>42015</v>
      </c>
      <c r="B165" s="4" t="s">
        <v>5</v>
      </c>
      <c r="C165" s="4" t="s">
        <v>51</v>
      </c>
      <c r="D165" s="4" t="s">
        <v>3</v>
      </c>
      <c r="E165" s="4" t="s">
        <v>2</v>
      </c>
      <c r="F165" s="5">
        <v>42173.310983796298</v>
      </c>
      <c r="G165" s="4">
        <v>9003</v>
      </c>
      <c r="H165" s="4" t="s">
        <v>1</v>
      </c>
      <c r="I165" s="3" t="s">
        <v>97</v>
      </c>
    </row>
    <row r="166" spans="1:9" ht="30" x14ac:dyDescent="0.25">
      <c r="A166" s="4">
        <v>42014</v>
      </c>
      <c r="B166" s="4" t="s">
        <v>5</v>
      </c>
      <c r="C166" s="4" t="s">
        <v>53</v>
      </c>
      <c r="D166" s="4" t="s">
        <v>3</v>
      </c>
      <c r="E166" s="4" t="s">
        <v>2</v>
      </c>
      <c r="F166" s="5">
        <v>42173.310983796298</v>
      </c>
      <c r="G166" s="4">
        <v>6000</v>
      </c>
      <c r="H166" s="4" t="s">
        <v>1</v>
      </c>
      <c r="I166" s="3" t="s">
        <v>52</v>
      </c>
    </row>
    <row r="167" spans="1:9" x14ac:dyDescent="0.25">
      <c r="A167" s="4">
        <v>42013</v>
      </c>
      <c r="B167" s="4" t="s">
        <v>5</v>
      </c>
      <c r="C167" s="4" t="s">
        <v>96</v>
      </c>
      <c r="D167" s="4" t="s">
        <v>3</v>
      </c>
      <c r="E167" s="4" t="s">
        <v>2</v>
      </c>
      <c r="F167" s="5">
        <v>42173.310983796298</v>
      </c>
      <c r="G167" s="4">
        <v>4101</v>
      </c>
      <c r="H167" s="4" t="s">
        <v>1</v>
      </c>
      <c r="I167" s="3" t="s">
        <v>95</v>
      </c>
    </row>
    <row r="168" spans="1:9" x14ac:dyDescent="0.25">
      <c r="A168" s="4">
        <v>42012</v>
      </c>
      <c r="B168" s="4" t="s">
        <v>5</v>
      </c>
      <c r="C168" s="4" t="s">
        <v>10</v>
      </c>
      <c r="D168" s="4" t="s">
        <v>7</v>
      </c>
      <c r="E168" s="4" t="s">
        <v>2</v>
      </c>
      <c r="F168" s="5">
        <v>42173.297777777778</v>
      </c>
      <c r="G168" s="4">
        <v>903</v>
      </c>
      <c r="H168" s="4" t="s">
        <v>1</v>
      </c>
      <c r="I168" s="3" t="s">
        <v>14</v>
      </c>
    </row>
    <row r="169" spans="1:9" x14ac:dyDescent="0.25">
      <c r="A169" s="4">
        <v>42011</v>
      </c>
      <c r="B169" s="4" t="s">
        <v>5</v>
      </c>
      <c r="C169" s="4" t="s">
        <v>94</v>
      </c>
      <c r="D169" s="4" t="s">
        <v>3</v>
      </c>
      <c r="E169" s="4" t="s">
        <v>2</v>
      </c>
      <c r="F169" s="5">
        <v>42173.293773148151</v>
      </c>
      <c r="G169" s="4">
        <v>2000</v>
      </c>
      <c r="H169" s="4" t="s">
        <v>1</v>
      </c>
      <c r="I169" s="3" t="s">
        <v>93</v>
      </c>
    </row>
    <row r="170" spans="1:9" x14ac:dyDescent="0.25">
      <c r="A170" s="4">
        <v>42010</v>
      </c>
      <c r="B170" s="4" t="s">
        <v>5</v>
      </c>
      <c r="C170" s="4" t="s">
        <v>92</v>
      </c>
      <c r="D170" s="4" t="s">
        <v>3</v>
      </c>
      <c r="E170" s="4" t="s">
        <v>2</v>
      </c>
      <c r="F170" s="5">
        <v>42173.293761574074</v>
      </c>
      <c r="G170" s="4">
        <v>1003</v>
      </c>
      <c r="H170" s="4" t="s">
        <v>1</v>
      </c>
      <c r="I170" s="3" t="s">
        <v>91</v>
      </c>
    </row>
    <row r="171" spans="1:9" ht="30" x14ac:dyDescent="0.25">
      <c r="A171" s="4">
        <v>42009</v>
      </c>
      <c r="B171" s="4" t="s">
        <v>5</v>
      </c>
      <c r="C171" s="4" t="s">
        <v>86</v>
      </c>
      <c r="D171" s="4" t="s">
        <v>3</v>
      </c>
      <c r="E171" s="4" t="s">
        <v>2</v>
      </c>
      <c r="F171" s="5">
        <v>42173.293692129628</v>
      </c>
      <c r="G171" s="4">
        <v>302</v>
      </c>
      <c r="H171" s="4" t="s">
        <v>1</v>
      </c>
      <c r="I171" s="3" t="s">
        <v>90</v>
      </c>
    </row>
    <row r="172" spans="1:9" ht="30" x14ac:dyDescent="0.25">
      <c r="A172" s="4">
        <v>42008</v>
      </c>
      <c r="B172" s="4" t="s">
        <v>5</v>
      </c>
      <c r="C172" s="4" t="s">
        <v>86</v>
      </c>
      <c r="D172" s="4" t="s">
        <v>3</v>
      </c>
      <c r="E172" s="4" t="s">
        <v>2</v>
      </c>
      <c r="F172" s="5">
        <v>42173.293680555558</v>
      </c>
      <c r="G172" s="4">
        <v>301</v>
      </c>
      <c r="H172" s="4" t="s">
        <v>1</v>
      </c>
      <c r="I172" s="3" t="s">
        <v>89</v>
      </c>
    </row>
    <row r="173" spans="1:9" ht="45" x14ac:dyDescent="0.25">
      <c r="A173" s="4">
        <v>42007</v>
      </c>
      <c r="B173" s="4" t="s">
        <v>5</v>
      </c>
      <c r="C173" s="4" t="s">
        <v>86</v>
      </c>
      <c r="D173" s="4" t="s">
        <v>3</v>
      </c>
      <c r="E173" s="4" t="s">
        <v>2</v>
      </c>
      <c r="F173" s="5">
        <v>42173.293668981481</v>
      </c>
      <c r="G173" s="4">
        <v>301</v>
      </c>
      <c r="H173" s="4" t="s">
        <v>1</v>
      </c>
      <c r="I173" s="3" t="s">
        <v>88</v>
      </c>
    </row>
    <row r="174" spans="1:9" x14ac:dyDescent="0.25">
      <c r="A174" s="4">
        <v>42006</v>
      </c>
      <c r="B174" s="4" t="s">
        <v>5</v>
      </c>
      <c r="C174" s="4" t="s">
        <v>86</v>
      </c>
      <c r="D174" s="4" t="s">
        <v>3</v>
      </c>
      <c r="E174" s="4" t="s">
        <v>2</v>
      </c>
      <c r="F174" s="5">
        <v>42173.293668981481</v>
      </c>
      <c r="G174" s="4">
        <v>300</v>
      </c>
      <c r="H174" s="4" t="s">
        <v>1</v>
      </c>
      <c r="I174" s="3" t="s">
        <v>87</v>
      </c>
    </row>
    <row r="175" spans="1:9" ht="30" x14ac:dyDescent="0.25">
      <c r="A175" s="4">
        <v>42005</v>
      </c>
      <c r="B175" s="4" t="s">
        <v>5</v>
      </c>
      <c r="C175" s="4" t="s">
        <v>86</v>
      </c>
      <c r="D175" s="4" t="s">
        <v>3</v>
      </c>
      <c r="E175" s="4" t="s">
        <v>2</v>
      </c>
      <c r="F175" s="5">
        <v>42173.293668981481</v>
      </c>
      <c r="G175" s="4">
        <v>102</v>
      </c>
      <c r="H175" s="4" t="s">
        <v>1</v>
      </c>
      <c r="I175" s="3" t="s">
        <v>85</v>
      </c>
    </row>
    <row r="176" spans="1:9" x14ac:dyDescent="0.25">
      <c r="A176" s="4">
        <v>42004</v>
      </c>
      <c r="B176" s="4" t="s">
        <v>5</v>
      </c>
      <c r="C176" s="4" t="s">
        <v>10</v>
      </c>
      <c r="D176" s="4" t="s">
        <v>7</v>
      </c>
      <c r="E176" s="4" t="s">
        <v>2</v>
      </c>
      <c r="F176" s="5">
        <v>42173.293668981481</v>
      </c>
      <c r="G176" s="4">
        <v>902</v>
      </c>
      <c r="H176" s="4" t="s">
        <v>1</v>
      </c>
      <c r="I176" s="3" t="s">
        <v>13</v>
      </c>
    </row>
    <row r="177" spans="1:9" ht="409.5" x14ac:dyDescent="0.25">
      <c r="A177" s="4">
        <v>42003</v>
      </c>
      <c r="B177" s="4" t="s">
        <v>5</v>
      </c>
      <c r="C177" s="4" t="s">
        <v>10</v>
      </c>
      <c r="D177" s="4" t="s">
        <v>3</v>
      </c>
      <c r="E177" s="4" t="s">
        <v>2</v>
      </c>
      <c r="F177" s="5">
        <v>42173.293668981481</v>
      </c>
      <c r="G177" s="4">
        <v>1003</v>
      </c>
      <c r="H177" s="4" t="s">
        <v>1</v>
      </c>
      <c r="I177" s="3" t="s">
        <v>12</v>
      </c>
    </row>
    <row r="178" spans="1:9" ht="135" x14ac:dyDescent="0.25">
      <c r="A178" s="4">
        <v>42002</v>
      </c>
      <c r="B178" s="4" t="s">
        <v>5</v>
      </c>
      <c r="C178" s="4" t="s">
        <v>10</v>
      </c>
      <c r="D178" s="4" t="s">
        <v>3</v>
      </c>
      <c r="E178" s="4" t="s">
        <v>2</v>
      </c>
      <c r="F178" s="5">
        <v>42173.293668981481</v>
      </c>
      <c r="G178" s="4">
        <v>1066</v>
      </c>
      <c r="H178" s="4" t="s">
        <v>1</v>
      </c>
      <c r="I178" s="3" t="s">
        <v>11</v>
      </c>
    </row>
    <row r="179" spans="1:9" x14ac:dyDescent="0.25">
      <c r="A179" s="4">
        <v>42001</v>
      </c>
      <c r="B179" s="4" t="s">
        <v>5</v>
      </c>
      <c r="C179" s="4" t="s">
        <v>84</v>
      </c>
      <c r="D179" s="4" t="s">
        <v>3</v>
      </c>
      <c r="E179" s="4" t="s">
        <v>2</v>
      </c>
      <c r="F179" s="5">
        <v>42173.293657407405</v>
      </c>
      <c r="G179" s="4">
        <v>1</v>
      </c>
      <c r="H179" s="4" t="s">
        <v>1</v>
      </c>
      <c r="I179" s="3" t="s">
        <v>83</v>
      </c>
    </row>
    <row r="180" spans="1:9" x14ac:dyDescent="0.25">
      <c r="A180" s="4">
        <v>42000</v>
      </c>
      <c r="B180" s="4" t="s">
        <v>5</v>
      </c>
      <c r="C180" s="4" t="s">
        <v>10</v>
      </c>
      <c r="D180" s="4" t="s">
        <v>3</v>
      </c>
      <c r="E180" s="4" t="s">
        <v>2</v>
      </c>
      <c r="F180" s="5">
        <v>42173.293657407405</v>
      </c>
      <c r="G180" s="4">
        <v>900</v>
      </c>
      <c r="H180" s="4" t="s">
        <v>1</v>
      </c>
      <c r="I180" s="3" t="s">
        <v>9</v>
      </c>
    </row>
    <row r="181" spans="1:9" x14ac:dyDescent="0.25">
      <c r="A181" s="4">
        <v>41999</v>
      </c>
      <c r="B181" s="4" t="s">
        <v>5</v>
      </c>
      <c r="C181" s="4" t="s">
        <v>82</v>
      </c>
      <c r="D181" s="4" t="s">
        <v>3</v>
      </c>
      <c r="E181" s="4" t="s">
        <v>2</v>
      </c>
      <c r="F181" s="5">
        <v>42173.293657407405</v>
      </c>
      <c r="G181" s="4">
        <v>0</v>
      </c>
      <c r="H181" s="4" t="s">
        <v>55</v>
      </c>
      <c r="I181" s="3" t="s">
        <v>81</v>
      </c>
    </row>
    <row r="182" spans="1:9" x14ac:dyDescent="0.25">
      <c r="A182" s="4">
        <v>41998</v>
      </c>
      <c r="B182" s="4" t="s">
        <v>5</v>
      </c>
      <c r="C182" s="4" t="s">
        <v>18</v>
      </c>
      <c r="D182" s="4" t="s">
        <v>3</v>
      </c>
      <c r="E182" s="4" t="s">
        <v>2</v>
      </c>
      <c r="F182" s="5">
        <v>42173.293645833335</v>
      </c>
      <c r="G182" s="4">
        <v>0</v>
      </c>
      <c r="H182" s="4" t="s">
        <v>1</v>
      </c>
      <c r="I182" s="3" t="s">
        <v>17</v>
      </c>
    </row>
    <row r="183" spans="1:9" x14ac:dyDescent="0.25">
      <c r="A183" s="4">
        <v>41997</v>
      </c>
      <c r="B183" s="4" t="s">
        <v>5</v>
      </c>
      <c r="C183" s="4" t="s">
        <v>74</v>
      </c>
      <c r="D183" s="4" t="s">
        <v>3</v>
      </c>
      <c r="E183" s="4" t="s">
        <v>2</v>
      </c>
      <c r="F183" s="5">
        <v>42173.293634259258</v>
      </c>
      <c r="G183" s="4">
        <v>101</v>
      </c>
      <c r="H183" s="4" t="s">
        <v>1</v>
      </c>
      <c r="I183" s="3" t="s">
        <v>80</v>
      </c>
    </row>
    <row r="184" spans="1:9" x14ac:dyDescent="0.25">
      <c r="A184" s="4">
        <v>41996</v>
      </c>
      <c r="B184" s="4" t="s">
        <v>5</v>
      </c>
      <c r="C184" s="4" t="s">
        <v>74</v>
      </c>
      <c r="D184" s="4" t="s">
        <v>3</v>
      </c>
      <c r="E184" s="4" t="s">
        <v>2</v>
      </c>
      <c r="F184" s="5">
        <v>42173.293622685182</v>
      </c>
      <c r="G184" s="4">
        <v>103</v>
      </c>
      <c r="H184" s="4" t="s">
        <v>1</v>
      </c>
      <c r="I184" s="3" t="s">
        <v>79</v>
      </c>
    </row>
    <row r="185" spans="1:9" x14ac:dyDescent="0.25">
      <c r="A185" s="4">
        <v>41995</v>
      </c>
      <c r="B185" s="4" t="s">
        <v>5</v>
      </c>
      <c r="C185" s="4" t="s">
        <v>76</v>
      </c>
      <c r="D185" s="4" t="s">
        <v>7</v>
      </c>
      <c r="E185" s="4" t="s">
        <v>2</v>
      </c>
      <c r="F185" s="5">
        <v>42173.292245370372</v>
      </c>
      <c r="G185" s="4">
        <v>5617</v>
      </c>
      <c r="H185" s="4" t="s">
        <v>1</v>
      </c>
      <c r="I185" s="3" t="s">
        <v>75</v>
      </c>
    </row>
    <row r="186" spans="1:9" x14ac:dyDescent="0.25">
      <c r="A186" s="4">
        <v>41994</v>
      </c>
      <c r="B186" s="4" t="s">
        <v>5</v>
      </c>
      <c r="C186" s="4" t="s">
        <v>78</v>
      </c>
      <c r="D186" s="4" t="s">
        <v>3</v>
      </c>
      <c r="E186" s="4" t="s">
        <v>2</v>
      </c>
      <c r="F186" s="5">
        <v>42173.292245370372</v>
      </c>
      <c r="G186" s="4">
        <v>0</v>
      </c>
      <c r="H186" s="4" t="s">
        <v>1</v>
      </c>
      <c r="I186" s="3" t="s">
        <v>77</v>
      </c>
    </row>
    <row r="187" spans="1:9" x14ac:dyDescent="0.25">
      <c r="A187" s="4">
        <v>41993</v>
      </c>
      <c r="B187" s="4" t="s">
        <v>5</v>
      </c>
      <c r="C187" s="4" t="s">
        <v>76</v>
      </c>
      <c r="D187" s="4" t="s">
        <v>7</v>
      </c>
      <c r="E187" s="4" t="s">
        <v>2</v>
      </c>
      <c r="F187" s="5">
        <v>42173.292233796295</v>
      </c>
      <c r="G187" s="4">
        <v>5615</v>
      </c>
      <c r="H187" s="4" t="s">
        <v>1</v>
      </c>
      <c r="I187" s="3" t="s">
        <v>75</v>
      </c>
    </row>
    <row r="188" spans="1:9" x14ac:dyDescent="0.25">
      <c r="A188" s="4">
        <v>41992</v>
      </c>
      <c r="B188" s="4" t="s">
        <v>5</v>
      </c>
      <c r="C188" s="4" t="s">
        <v>74</v>
      </c>
      <c r="D188" s="4" t="s">
        <v>3</v>
      </c>
      <c r="E188" s="4" t="s">
        <v>2</v>
      </c>
      <c r="F188" s="5">
        <v>42173.292233796295</v>
      </c>
      <c r="G188" s="4">
        <v>100</v>
      </c>
      <c r="H188" s="4" t="s">
        <v>1</v>
      </c>
      <c r="I188" s="3" t="s">
        <v>73</v>
      </c>
    </row>
    <row r="189" spans="1:9" x14ac:dyDescent="0.25">
      <c r="A189" s="4">
        <v>41991</v>
      </c>
      <c r="B189" s="4" t="s">
        <v>5</v>
      </c>
      <c r="C189" s="4" t="s">
        <v>72</v>
      </c>
      <c r="D189" s="4" t="s">
        <v>3</v>
      </c>
      <c r="E189" s="4" t="s">
        <v>2</v>
      </c>
      <c r="F189" s="5">
        <v>42173.292222222219</v>
      </c>
      <c r="G189" s="4">
        <v>0</v>
      </c>
      <c r="H189" s="4" t="s">
        <v>1</v>
      </c>
      <c r="I189" s="3" t="s">
        <v>71</v>
      </c>
    </row>
    <row r="190" spans="1:9" x14ac:dyDescent="0.25">
      <c r="A190" s="4">
        <v>41990</v>
      </c>
      <c r="B190" s="4" t="s">
        <v>5</v>
      </c>
      <c r="C190" s="4" t="s">
        <v>70</v>
      </c>
      <c r="D190" s="4" t="s">
        <v>3</v>
      </c>
      <c r="E190" s="4" t="s">
        <v>2</v>
      </c>
      <c r="F190" s="5">
        <v>42173.292222222219</v>
      </c>
      <c r="G190" s="4">
        <v>0</v>
      </c>
      <c r="H190" s="4" t="s">
        <v>1</v>
      </c>
      <c r="I190" s="3" t="s">
        <v>69</v>
      </c>
    </row>
    <row r="191" spans="1:9" ht="409.5" x14ac:dyDescent="0.25">
      <c r="A191" s="4">
        <v>41989</v>
      </c>
      <c r="B191" s="4" t="s">
        <v>5</v>
      </c>
      <c r="C191" s="4" t="s">
        <v>66</v>
      </c>
      <c r="D191" s="4" t="s">
        <v>3</v>
      </c>
      <c r="E191" s="4" t="s">
        <v>2</v>
      </c>
      <c r="F191" s="5">
        <v>42173.292199074072</v>
      </c>
      <c r="G191" s="4">
        <v>50</v>
      </c>
      <c r="H191" s="4" t="s">
        <v>1</v>
      </c>
      <c r="I191" s="3" t="s">
        <v>68</v>
      </c>
    </row>
    <row r="192" spans="1:9" ht="135" x14ac:dyDescent="0.25">
      <c r="A192" s="4">
        <v>41988</v>
      </c>
      <c r="B192" s="4" t="s">
        <v>5</v>
      </c>
      <c r="C192" s="4" t="s">
        <v>66</v>
      </c>
      <c r="D192" s="4" t="s">
        <v>3</v>
      </c>
      <c r="E192" s="4" t="s">
        <v>2</v>
      </c>
      <c r="F192" s="5">
        <v>42173.292199074072</v>
      </c>
      <c r="G192" s="4">
        <v>50</v>
      </c>
      <c r="H192" s="4" t="s">
        <v>1</v>
      </c>
      <c r="I192" s="3" t="s">
        <v>67</v>
      </c>
    </row>
    <row r="193" spans="1:9" ht="105" x14ac:dyDescent="0.25">
      <c r="A193" s="4">
        <v>41987</v>
      </c>
      <c r="B193" s="4" t="s">
        <v>5</v>
      </c>
      <c r="C193" s="4" t="s">
        <v>66</v>
      </c>
      <c r="D193" s="4" t="s">
        <v>3</v>
      </c>
      <c r="E193" s="4" t="s">
        <v>2</v>
      </c>
      <c r="F193" s="5">
        <v>42173.292199074072</v>
      </c>
      <c r="G193" s="4">
        <v>50</v>
      </c>
      <c r="H193" s="4" t="s">
        <v>1</v>
      </c>
      <c r="I193" s="3" t="s">
        <v>65</v>
      </c>
    </row>
    <row r="194" spans="1:9" x14ac:dyDescent="0.25">
      <c r="A194" s="4">
        <v>41986</v>
      </c>
      <c r="B194" s="4" t="s">
        <v>5</v>
      </c>
      <c r="C194" s="4" t="s">
        <v>64</v>
      </c>
      <c r="D194" s="4" t="s">
        <v>3</v>
      </c>
      <c r="E194" s="4" t="s">
        <v>2</v>
      </c>
      <c r="F194" s="5">
        <v>42173.292129629626</v>
      </c>
      <c r="G194" s="4">
        <v>0</v>
      </c>
      <c r="H194" s="4" t="s">
        <v>1</v>
      </c>
      <c r="I194" s="3" t="s">
        <v>63</v>
      </c>
    </row>
    <row r="195" spans="1:9" x14ac:dyDescent="0.25">
      <c r="A195" s="4">
        <v>41985</v>
      </c>
      <c r="B195" s="4" t="s">
        <v>5</v>
      </c>
      <c r="C195" s="4" t="s">
        <v>57</v>
      </c>
      <c r="D195" s="4" t="s">
        <v>3</v>
      </c>
      <c r="E195" s="4" t="s">
        <v>2</v>
      </c>
      <c r="F195" s="5">
        <v>42173.292071759257</v>
      </c>
      <c r="G195" s="4">
        <v>1531</v>
      </c>
      <c r="H195" s="4" t="s">
        <v>55</v>
      </c>
      <c r="I195" s="3" t="s">
        <v>62</v>
      </c>
    </row>
    <row r="196" spans="1:9" x14ac:dyDescent="0.25">
      <c r="A196" s="4">
        <v>41984</v>
      </c>
      <c r="B196" s="4" t="s">
        <v>5</v>
      </c>
      <c r="C196" s="4" t="s">
        <v>57</v>
      </c>
      <c r="D196" s="4" t="s">
        <v>3</v>
      </c>
      <c r="E196" s="4" t="s">
        <v>2</v>
      </c>
      <c r="F196" s="5">
        <v>42173.291585648149</v>
      </c>
      <c r="G196" s="4">
        <v>1532</v>
      </c>
      <c r="H196" s="4" t="s">
        <v>55</v>
      </c>
      <c r="I196" s="3" t="s">
        <v>61</v>
      </c>
    </row>
    <row r="197" spans="1:9" ht="30" x14ac:dyDescent="0.25">
      <c r="A197" s="4">
        <v>41983</v>
      </c>
      <c r="B197" s="4" t="s">
        <v>5</v>
      </c>
      <c r="C197" s="4" t="s">
        <v>60</v>
      </c>
      <c r="D197" s="4" t="s">
        <v>3</v>
      </c>
      <c r="E197" s="4" t="s">
        <v>2</v>
      </c>
      <c r="F197" s="5">
        <v>42173.292083333334</v>
      </c>
      <c r="G197" s="4">
        <v>4625</v>
      </c>
      <c r="H197" s="4" t="s">
        <v>1</v>
      </c>
      <c r="I197" s="3" t="s">
        <v>59</v>
      </c>
    </row>
    <row r="198" spans="1:9" ht="30" x14ac:dyDescent="0.25">
      <c r="A198" s="4">
        <v>41982</v>
      </c>
      <c r="B198" s="4" t="s">
        <v>5</v>
      </c>
      <c r="C198" s="4" t="s">
        <v>53</v>
      </c>
      <c r="D198" s="4" t="s">
        <v>3</v>
      </c>
      <c r="E198" s="4" t="s">
        <v>2</v>
      </c>
      <c r="F198" s="5">
        <v>42173.291562500002</v>
      </c>
      <c r="G198" s="4">
        <v>6000</v>
      </c>
      <c r="H198" s="4" t="s">
        <v>1</v>
      </c>
      <c r="I198" s="3" t="s">
        <v>58</v>
      </c>
    </row>
    <row r="199" spans="1:9" ht="270" x14ac:dyDescent="0.25">
      <c r="A199" s="4">
        <v>41981</v>
      </c>
      <c r="B199" s="4" t="s">
        <v>5</v>
      </c>
      <c r="C199" s="4" t="s">
        <v>57</v>
      </c>
      <c r="D199" s="4" t="s">
        <v>56</v>
      </c>
      <c r="E199" s="4" t="s">
        <v>2</v>
      </c>
      <c r="F199" s="5">
        <v>42173.291550925926</v>
      </c>
      <c r="G199" s="4">
        <v>1530</v>
      </c>
      <c r="H199" s="4" t="s">
        <v>55</v>
      </c>
      <c r="I199" s="3" t="s">
        <v>54</v>
      </c>
    </row>
    <row r="200" spans="1:9" ht="30" x14ac:dyDescent="0.25">
      <c r="A200" s="4">
        <v>41980</v>
      </c>
      <c r="B200" s="4" t="s">
        <v>5</v>
      </c>
      <c r="C200" s="4" t="s">
        <v>53</v>
      </c>
      <c r="D200" s="4" t="s">
        <v>3</v>
      </c>
      <c r="E200" s="4" t="s">
        <v>2</v>
      </c>
      <c r="F200" s="5">
        <v>42173.291550925926</v>
      </c>
      <c r="G200" s="4">
        <v>6000</v>
      </c>
      <c r="H200" s="4" t="s">
        <v>1</v>
      </c>
      <c r="I200" s="3" t="s">
        <v>52</v>
      </c>
    </row>
    <row r="201" spans="1:9" x14ac:dyDescent="0.25">
      <c r="A201" s="4">
        <v>41979</v>
      </c>
      <c r="B201" s="4" t="s">
        <v>5</v>
      </c>
      <c r="C201" s="4" t="s">
        <v>51</v>
      </c>
      <c r="D201" s="4" t="s">
        <v>3</v>
      </c>
      <c r="E201" s="4" t="s">
        <v>2</v>
      </c>
      <c r="F201" s="5">
        <v>42173.291550925926</v>
      </c>
      <c r="G201" s="4">
        <v>9009</v>
      </c>
      <c r="H201" s="4" t="s">
        <v>1</v>
      </c>
      <c r="I201" s="3" t="s">
        <v>50</v>
      </c>
    </row>
    <row r="202" spans="1:9" x14ac:dyDescent="0.25">
      <c r="A202" s="4">
        <v>41978</v>
      </c>
      <c r="B202" s="4" t="s">
        <v>5</v>
      </c>
      <c r="C202" s="4" t="s">
        <v>18</v>
      </c>
      <c r="D202" s="4" t="s">
        <v>3</v>
      </c>
      <c r="E202" s="4" t="s">
        <v>2</v>
      </c>
      <c r="F202" s="5">
        <v>42173.24422453704</v>
      </c>
      <c r="G202" s="4">
        <v>0</v>
      </c>
      <c r="H202" s="4" t="s">
        <v>1</v>
      </c>
      <c r="I202" s="3" t="s">
        <v>17</v>
      </c>
    </row>
    <row r="203" spans="1:9" x14ac:dyDescent="0.25">
      <c r="A203" s="4">
        <v>41977</v>
      </c>
      <c r="B203" s="4" t="s">
        <v>5</v>
      </c>
      <c r="C203" s="4" t="s">
        <v>8</v>
      </c>
      <c r="D203" s="4" t="s">
        <v>7</v>
      </c>
      <c r="E203" s="4" t="s">
        <v>2</v>
      </c>
      <c r="F203" s="5">
        <v>42173.172060185185</v>
      </c>
      <c r="G203" s="4">
        <v>258</v>
      </c>
      <c r="H203" s="4" t="s">
        <v>1</v>
      </c>
      <c r="I203" s="3" t="s">
        <v>49</v>
      </c>
    </row>
    <row r="204" spans="1:9" x14ac:dyDescent="0.25">
      <c r="A204" s="4">
        <v>41976</v>
      </c>
      <c r="B204" s="4" t="s">
        <v>5</v>
      </c>
      <c r="C204" s="4" t="s">
        <v>10</v>
      </c>
      <c r="D204" s="4" t="s">
        <v>7</v>
      </c>
      <c r="E204" s="4" t="s">
        <v>2</v>
      </c>
      <c r="F204" s="5">
        <v>42173.136666666665</v>
      </c>
      <c r="G204" s="4">
        <v>903</v>
      </c>
      <c r="H204" s="4" t="s">
        <v>1</v>
      </c>
      <c r="I204" s="3" t="s">
        <v>14</v>
      </c>
    </row>
    <row r="205" spans="1:9" x14ac:dyDescent="0.25">
      <c r="A205" s="4">
        <v>41975</v>
      </c>
      <c r="B205" s="4" t="s">
        <v>5</v>
      </c>
      <c r="C205" s="4" t="s">
        <v>10</v>
      </c>
      <c r="D205" s="4" t="s">
        <v>7</v>
      </c>
      <c r="E205" s="4" t="s">
        <v>2</v>
      </c>
      <c r="F205" s="5">
        <v>42173.133194444446</v>
      </c>
      <c r="G205" s="4">
        <v>902</v>
      </c>
      <c r="H205" s="4" t="s">
        <v>1</v>
      </c>
      <c r="I205" s="3" t="s">
        <v>13</v>
      </c>
    </row>
    <row r="206" spans="1:9" ht="409.5" x14ac:dyDescent="0.25">
      <c r="A206" s="4">
        <v>41974</v>
      </c>
      <c r="B206" s="4" t="s">
        <v>5</v>
      </c>
      <c r="C206" s="4" t="s">
        <v>10</v>
      </c>
      <c r="D206" s="4" t="s">
        <v>3</v>
      </c>
      <c r="E206" s="4" t="s">
        <v>2</v>
      </c>
      <c r="F206" s="5">
        <v>42173.133194444446</v>
      </c>
      <c r="G206" s="4">
        <v>1003</v>
      </c>
      <c r="H206" s="4" t="s">
        <v>1</v>
      </c>
      <c r="I206" s="3" t="s">
        <v>12</v>
      </c>
    </row>
    <row r="207" spans="1:9" ht="135" x14ac:dyDescent="0.25">
      <c r="A207" s="4">
        <v>41973</v>
      </c>
      <c r="B207" s="4" t="s">
        <v>5</v>
      </c>
      <c r="C207" s="4" t="s">
        <v>10</v>
      </c>
      <c r="D207" s="4" t="s">
        <v>3</v>
      </c>
      <c r="E207" s="4" t="s">
        <v>2</v>
      </c>
      <c r="F207" s="5">
        <v>42173.133194444446</v>
      </c>
      <c r="G207" s="4">
        <v>1066</v>
      </c>
      <c r="H207" s="4" t="s">
        <v>1</v>
      </c>
      <c r="I207" s="3" t="s">
        <v>11</v>
      </c>
    </row>
    <row r="208" spans="1:9" x14ac:dyDescent="0.25">
      <c r="A208" s="4">
        <v>41972</v>
      </c>
      <c r="B208" s="4" t="s">
        <v>5</v>
      </c>
      <c r="C208" s="4" t="s">
        <v>10</v>
      </c>
      <c r="D208" s="4" t="s">
        <v>3</v>
      </c>
      <c r="E208" s="4" t="s">
        <v>2</v>
      </c>
      <c r="F208" s="5">
        <v>42173.13318287037</v>
      </c>
      <c r="G208" s="4">
        <v>900</v>
      </c>
      <c r="H208" s="4" t="s">
        <v>1</v>
      </c>
      <c r="I208" s="3" t="s">
        <v>9</v>
      </c>
    </row>
    <row r="209" spans="1:9" x14ac:dyDescent="0.25">
      <c r="A209" s="4">
        <v>41971</v>
      </c>
      <c r="B209" s="4" t="s">
        <v>5</v>
      </c>
      <c r="C209" s="4" t="s">
        <v>18</v>
      </c>
      <c r="D209" s="4" t="s">
        <v>3</v>
      </c>
      <c r="E209" s="4" t="s">
        <v>2</v>
      </c>
      <c r="F209" s="5">
        <v>42173.036064814813</v>
      </c>
      <c r="G209" s="4">
        <v>0</v>
      </c>
      <c r="H209" s="4" t="s">
        <v>1</v>
      </c>
      <c r="I209" s="3" t="s">
        <v>17</v>
      </c>
    </row>
    <row r="210" spans="1:9" x14ac:dyDescent="0.25">
      <c r="A210" s="4">
        <v>41970</v>
      </c>
      <c r="B210" s="4" t="s">
        <v>5</v>
      </c>
      <c r="C210" s="4" t="s">
        <v>4</v>
      </c>
      <c r="D210" s="4" t="s">
        <v>3</v>
      </c>
      <c r="E210" s="4" t="s">
        <v>2</v>
      </c>
      <c r="F210" s="5">
        <v>42173.011030092595</v>
      </c>
      <c r="G210" s="4">
        <v>8224</v>
      </c>
      <c r="H210" s="4" t="s">
        <v>1</v>
      </c>
      <c r="I210" s="3" t="s">
        <v>0</v>
      </c>
    </row>
  </sheetData>
  <conditionalFormatting sqref="A2:I210">
    <cfRule type="expression" dxfId="89" priority="1">
      <formula>$D2="ERROR"</formula>
    </cfRule>
    <cfRule type="expression" dxfId="88" priority="2">
      <formula>$D2="WARNING"</formula>
    </cfRule>
  </conditionalFormatting>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A1:I176"/>
  <sheetViews>
    <sheetView workbookViewId="0">
      <pane xSplit="1" ySplit="1" topLeftCell="D2" activePane="bottomRight" state="frozen"/>
      <selection pane="topRight" activeCell="B1" sqref="B1"/>
      <selection pane="bottomLeft" activeCell="A2" sqref="A2"/>
      <selection pane="bottomRight" activeCell="J2" sqref="J2"/>
    </sheetView>
  </sheetViews>
  <sheetFormatPr defaultRowHeight="15" x14ac:dyDescent="0.25"/>
  <cols>
    <col min="1" max="1" width="10.125" style="1" bestFit="1" customWidth="1"/>
    <col min="2" max="2" width="11.875" style="1" bestFit="1" customWidth="1"/>
    <col min="3" max="3" width="49" style="1" bestFit="1" customWidth="1"/>
    <col min="4" max="4" width="13" style="1" bestFit="1" customWidth="1"/>
    <col min="5" max="5" width="8.875" style="1" bestFit="1" customWidth="1"/>
    <col min="6" max="6" width="20.125" style="1" bestFit="1" customWidth="1"/>
    <col min="7" max="7" width="6.375" style="1" bestFit="1" customWidth="1"/>
    <col min="8" max="8" width="20.1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ht="165" x14ac:dyDescent="0.25">
      <c r="A2" s="4">
        <v>42358</v>
      </c>
      <c r="B2" s="4" t="s">
        <v>5</v>
      </c>
      <c r="C2" s="4" t="s">
        <v>143</v>
      </c>
      <c r="D2" s="4" t="s">
        <v>3</v>
      </c>
      <c r="E2" s="4" t="s">
        <v>2</v>
      </c>
      <c r="F2" s="5">
        <v>42176.741956018515</v>
      </c>
      <c r="G2" s="4">
        <v>1001</v>
      </c>
      <c r="H2" s="4" t="s">
        <v>1</v>
      </c>
      <c r="I2" s="3" t="s">
        <v>455</v>
      </c>
    </row>
    <row r="3" spans="1:9" ht="195" x14ac:dyDescent="0.25">
      <c r="A3" s="4">
        <v>42357</v>
      </c>
      <c r="B3" s="4" t="s">
        <v>5</v>
      </c>
      <c r="C3" s="4" t="s">
        <v>29</v>
      </c>
      <c r="D3" s="4" t="s">
        <v>28</v>
      </c>
      <c r="E3" s="4" t="s">
        <v>2</v>
      </c>
      <c r="F3" s="5">
        <v>42176.741701388892</v>
      </c>
      <c r="G3" s="4">
        <v>0</v>
      </c>
      <c r="H3" s="4" t="s">
        <v>1</v>
      </c>
      <c r="I3" s="3" t="s">
        <v>456</v>
      </c>
    </row>
    <row r="4" spans="1:9" ht="105" x14ac:dyDescent="0.25">
      <c r="A4" s="4">
        <v>42356</v>
      </c>
      <c r="B4" s="4" t="s">
        <v>5</v>
      </c>
      <c r="C4" s="4" t="s">
        <v>29</v>
      </c>
      <c r="D4" s="4" t="s">
        <v>28</v>
      </c>
      <c r="E4" s="4" t="s">
        <v>2</v>
      </c>
      <c r="F4" s="5">
        <v>42176.739548611113</v>
      </c>
      <c r="G4" s="4">
        <v>0</v>
      </c>
      <c r="H4" s="4" t="s">
        <v>1</v>
      </c>
      <c r="I4" s="3" t="s">
        <v>457</v>
      </c>
    </row>
    <row r="5" spans="1:9" ht="105" x14ac:dyDescent="0.25">
      <c r="A5" s="4">
        <v>42355</v>
      </c>
      <c r="B5" s="4" t="s">
        <v>5</v>
      </c>
      <c r="C5" s="4" t="s">
        <v>29</v>
      </c>
      <c r="D5" s="4" t="s">
        <v>28</v>
      </c>
      <c r="E5" s="4" t="s">
        <v>2</v>
      </c>
      <c r="F5" s="5">
        <v>42176.739537037036</v>
      </c>
      <c r="G5" s="4">
        <v>0</v>
      </c>
      <c r="H5" s="4" t="s">
        <v>1</v>
      </c>
      <c r="I5" s="3" t="s">
        <v>458</v>
      </c>
    </row>
    <row r="6" spans="1:9" ht="105" x14ac:dyDescent="0.25">
      <c r="A6" s="4">
        <v>42354</v>
      </c>
      <c r="B6" s="4" t="s">
        <v>5</v>
      </c>
      <c r="C6" s="4" t="s">
        <v>29</v>
      </c>
      <c r="D6" s="4" t="s">
        <v>28</v>
      </c>
      <c r="E6" s="4" t="s">
        <v>2</v>
      </c>
      <c r="F6" s="5">
        <v>42176.735462962963</v>
      </c>
      <c r="G6" s="4">
        <v>0</v>
      </c>
      <c r="H6" s="4" t="s">
        <v>1</v>
      </c>
      <c r="I6" s="3" t="s">
        <v>457</v>
      </c>
    </row>
    <row r="7" spans="1:9" ht="105" x14ac:dyDescent="0.25">
      <c r="A7" s="4">
        <v>42353</v>
      </c>
      <c r="B7" s="4" t="s">
        <v>5</v>
      </c>
      <c r="C7" s="4" t="s">
        <v>29</v>
      </c>
      <c r="D7" s="4" t="s">
        <v>28</v>
      </c>
      <c r="E7" s="4" t="s">
        <v>2</v>
      </c>
      <c r="F7" s="5">
        <v>42176.735451388886</v>
      </c>
      <c r="G7" s="4">
        <v>0</v>
      </c>
      <c r="H7" s="4" t="s">
        <v>1</v>
      </c>
      <c r="I7" s="3" t="s">
        <v>458</v>
      </c>
    </row>
    <row r="8" spans="1:9" ht="105" x14ac:dyDescent="0.25">
      <c r="A8" s="4">
        <v>42352</v>
      </c>
      <c r="B8" s="4" t="s">
        <v>5</v>
      </c>
      <c r="C8" s="4" t="s">
        <v>29</v>
      </c>
      <c r="D8" s="4" t="s">
        <v>28</v>
      </c>
      <c r="E8" s="4" t="s">
        <v>2</v>
      </c>
      <c r="F8" s="5">
        <v>42176.733912037038</v>
      </c>
      <c r="G8" s="4">
        <v>0</v>
      </c>
      <c r="H8" s="4" t="s">
        <v>1</v>
      </c>
      <c r="I8" s="3" t="s">
        <v>457</v>
      </c>
    </row>
    <row r="9" spans="1:9" ht="105" x14ac:dyDescent="0.25">
      <c r="A9" s="4">
        <v>42351</v>
      </c>
      <c r="B9" s="4" t="s">
        <v>5</v>
      </c>
      <c r="C9" s="4" t="s">
        <v>29</v>
      </c>
      <c r="D9" s="4" t="s">
        <v>28</v>
      </c>
      <c r="E9" s="4" t="s">
        <v>2</v>
      </c>
      <c r="F9" s="5">
        <v>42176.733900462961</v>
      </c>
      <c r="G9" s="4">
        <v>0</v>
      </c>
      <c r="H9" s="4" t="s">
        <v>1</v>
      </c>
      <c r="I9" s="3" t="s">
        <v>458</v>
      </c>
    </row>
    <row r="10" spans="1:9" ht="105" x14ac:dyDescent="0.25">
      <c r="A10" s="4">
        <v>42350</v>
      </c>
      <c r="B10" s="4" t="s">
        <v>5</v>
      </c>
      <c r="C10" s="4" t="s">
        <v>29</v>
      </c>
      <c r="D10" s="4" t="s">
        <v>28</v>
      </c>
      <c r="E10" s="4" t="s">
        <v>2</v>
      </c>
      <c r="F10" s="5">
        <v>42176.72587962963</v>
      </c>
      <c r="G10" s="4">
        <v>0</v>
      </c>
      <c r="H10" s="4" t="s">
        <v>1</v>
      </c>
      <c r="I10" s="3" t="s">
        <v>457</v>
      </c>
    </row>
    <row r="11" spans="1:9" ht="105" x14ac:dyDescent="0.25">
      <c r="A11" s="4">
        <v>42349</v>
      </c>
      <c r="B11" s="4" t="s">
        <v>5</v>
      </c>
      <c r="C11" s="4" t="s">
        <v>29</v>
      </c>
      <c r="D11" s="4" t="s">
        <v>28</v>
      </c>
      <c r="E11" s="4" t="s">
        <v>2</v>
      </c>
      <c r="F11" s="5">
        <v>42176.725868055553</v>
      </c>
      <c r="G11" s="4">
        <v>0</v>
      </c>
      <c r="H11" s="4" t="s">
        <v>1</v>
      </c>
      <c r="I11" s="3" t="s">
        <v>458</v>
      </c>
    </row>
    <row r="12" spans="1:9" ht="105" x14ac:dyDescent="0.25">
      <c r="A12" s="4">
        <v>42348</v>
      </c>
      <c r="B12" s="4" t="s">
        <v>5</v>
      </c>
      <c r="C12" s="4" t="s">
        <v>29</v>
      </c>
      <c r="D12" s="4" t="s">
        <v>28</v>
      </c>
      <c r="E12" s="4" t="s">
        <v>2</v>
      </c>
      <c r="F12" s="5">
        <v>42176.724641203706</v>
      </c>
      <c r="G12" s="4">
        <v>0</v>
      </c>
      <c r="H12" s="4" t="s">
        <v>1</v>
      </c>
      <c r="I12" s="3" t="s">
        <v>457</v>
      </c>
    </row>
    <row r="13" spans="1:9" ht="105" x14ac:dyDescent="0.25">
      <c r="A13" s="4">
        <v>42347</v>
      </c>
      <c r="B13" s="4" t="s">
        <v>5</v>
      </c>
      <c r="C13" s="4" t="s">
        <v>29</v>
      </c>
      <c r="D13" s="4" t="s">
        <v>28</v>
      </c>
      <c r="E13" s="4" t="s">
        <v>2</v>
      </c>
      <c r="F13" s="5">
        <v>42176.724629629629</v>
      </c>
      <c r="G13" s="4">
        <v>0</v>
      </c>
      <c r="H13" s="4" t="s">
        <v>1</v>
      </c>
      <c r="I13" s="3" t="s">
        <v>458</v>
      </c>
    </row>
    <row r="14" spans="1:9" ht="105" x14ac:dyDescent="0.25">
      <c r="A14" s="4">
        <v>42346</v>
      </c>
      <c r="B14" s="4" t="s">
        <v>5</v>
      </c>
      <c r="C14" s="4" t="s">
        <v>29</v>
      </c>
      <c r="D14" s="4" t="s">
        <v>28</v>
      </c>
      <c r="E14" s="4" t="s">
        <v>2</v>
      </c>
      <c r="F14" s="5">
        <v>42176.720706018517</v>
      </c>
      <c r="G14" s="4">
        <v>0</v>
      </c>
      <c r="H14" s="4" t="s">
        <v>1</v>
      </c>
      <c r="I14" s="3" t="s">
        <v>457</v>
      </c>
    </row>
    <row r="15" spans="1:9" ht="105" x14ac:dyDescent="0.25">
      <c r="A15" s="4">
        <v>42345</v>
      </c>
      <c r="B15" s="4" t="s">
        <v>5</v>
      </c>
      <c r="C15" s="4" t="s">
        <v>29</v>
      </c>
      <c r="D15" s="4" t="s">
        <v>28</v>
      </c>
      <c r="E15" s="4" t="s">
        <v>2</v>
      </c>
      <c r="F15" s="5">
        <v>42176.720694444448</v>
      </c>
      <c r="G15" s="4">
        <v>0</v>
      </c>
      <c r="H15" s="4" t="s">
        <v>1</v>
      </c>
      <c r="I15" s="3" t="s">
        <v>458</v>
      </c>
    </row>
    <row r="16" spans="1:9" ht="105" x14ac:dyDescent="0.25">
      <c r="A16" s="4">
        <v>42344</v>
      </c>
      <c r="B16" s="4" t="s">
        <v>5</v>
      </c>
      <c r="C16" s="4" t="s">
        <v>29</v>
      </c>
      <c r="D16" s="4" t="s">
        <v>28</v>
      </c>
      <c r="E16" s="4" t="s">
        <v>2</v>
      </c>
      <c r="F16" s="5">
        <v>42176.716238425928</v>
      </c>
      <c r="G16" s="4">
        <v>0</v>
      </c>
      <c r="H16" s="4" t="s">
        <v>1</v>
      </c>
      <c r="I16" s="3" t="s">
        <v>457</v>
      </c>
    </row>
    <row r="17" spans="1:9" ht="105" x14ac:dyDescent="0.25">
      <c r="A17" s="4">
        <v>42343</v>
      </c>
      <c r="B17" s="4" t="s">
        <v>5</v>
      </c>
      <c r="C17" s="4" t="s">
        <v>29</v>
      </c>
      <c r="D17" s="4" t="s">
        <v>28</v>
      </c>
      <c r="E17" s="4" t="s">
        <v>2</v>
      </c>
      <c r="F17" s="5">
        <v>42176.715949074074</v>
      </c>
      <c r="G17" s="4">
        <v>0</v>
      </c>
      <c r="H17" s="4" t="s">
        <v>1</v>
      </c>
      <c r="I17" s="3" t="s">
        <v>458</v>
      </c>
    </row>
    <row r="18" spans="1:9" x14ac:dyDescent="0.25">
      <c r="A18" s="4">
        <v>42342</v>
      </c>
      <c r="B18" s="4" t="s">
        <v>5</v>
      </c>
      <c r="C18" s="4" t="s">
        <v>18</v>
      </c>
      <c r="D18" s="4" t="s">
        <v>3</v>
      </c>
      <c r="E18" s="4" t="s">
        <v>2</v>
      </c>
      <c r="F18" s="5">
        <v>42176.702349537038</v>
      </c>
      <c r="G18" s="4">
        <v>0</v>
      </c>
      <c r="H18" s="4" t="s">
        <v>1</v>
      </c>
      <c r="I18" s="3" t="s">
        <v>17</v>
      </c>
    </row>
    <row r="19" spans="1:9" ht="225" x14ac:dyDescent="0.25">
      <c r="A19" s="4">
        <v>42341</v>
      </c>
      <c r="B19" s="4" t="s">
        <v>5</v>
      </c>
      <c r="C19" s="4" t="s">
        <v>29</v>
      </c>
      <c r="D19" s="4" t="s">
        <v>28</v>
      </c>
      <c r="E19" s="4" t="s">
        <v>2</v>
      </c>
      <c r="F19" s="5">
        <v>42176.686180555553</v>
      </c>
      <c r="G19" s="4">
        <v>0</v>
      </c>
      <c r="H19" s="4" t="s">
        <v>1</v>
      </c>
      <c r="I19" s="3" t="s">
        <v>459</v>
      </c>
    </row>
    <row r="20" spans="1:9" ht="225" x14ac:dyDescent="0.25">
      <c r="A20" s="4">
        <v>42340</v>
      </c>
      <c r="B20" s="4" t="s">
        <v>5</v>
      </c>
      <c r="C20" s="4" t="s">
        <v>29</v>
      </c>
      <c r="D20" s="4" t="s">
        <v>28</v>
      </c>
      <c r="E20" s="4" t="s">
        <v>2</v>
      </c>
      <c r="F20" s="5">
        <v>42176.684166666666</v>
      </c>
      <c r="G20" s="4">
        <v>0</v>
      </c>
      <c r="H20" s="4" t="s">
        <v>1</v>
      </c>
      <c r="I20" s="3" t="s">
        <v>460</v>
      </c>
    </row>
    <row r="21" spans="1:9" ht="225" x14ac:dyDescent="0.25">
      <c r="A21" s="4">
        <v>42339</v>
      </c>
      <c r="B21" s="4" t="s">
        <v>5</v>
      </c>
      <c r="C21" s="4" t="s">
        <v>29</v>
      </c>
      <c r="D21" s="4" t="s">
        <v>28</v>
      </c>
      <c r="E21" s="4" t="s">
        <v>2</v>
      </c>
      <c r="F21" s="5">
        <v>42176.675578703704</v>
      </c>
      <c r="G21" s="4">
        <v>0</v>
      </c>
      <c r="H21" s="4" t="s">
        <v>1</v>
      </c>
      <c r="I21" s="3" t="s">
        <v>461</v>
      </c>
    </row>
    <row r="22" spans="1:9" ht="180" x14ac:dyDescent="0.25">
      <c r="A22" s="4">
        <v>42338</v>
      </c>
      <c r="B22" s="4" t="s">
        <v>5</v>
      </c>
      <c r="C22" s="4" t="s">
        <v>29</v>
      </c>
      <c r="D22" s="4" t="s">
        <v>28</v>
      </c>
      <c r="E22" s="4" t="s">
        <v>2</v>
      </c>
      <c r="F22" s="5">
        <v>42176.588206018518</v>
      </c>
      <c r="G22" s="4">
        <v>0</v>
      </c>
      <c r="H22" s="4" t="s">
        <v>1</v>
      </c>
      <c r="I22" s="3" t="s">
        <v>462</v>
      </c>
    </row>
    <row r="23" spans="1:9" ht="60" x14ac:dyDescent="0.25">
      <c r="A23" s="4">
        <v>42337</v>
      </c>
      <c r="B23" s="4" t="s">
        <v>5</v>
      </c>
      <c r="C23" s="4" t="s">
        <v>22</v>
      </c>
      <c r="D23" s="4" t="s">
        <v>3</v>
      </c>
      <c r="E23" s="4" t="s">
        <v>2</v>
      </c>
      <c r="F23" s="5">
        <v>42176.544687499998</v>
      </c>
      <c r="G23" s="4">
        <v>1003</v>
      </c>
      <c r="H23" s="4" t="s">
        <v>1</v>
      </c>
      <c r="I23" s="3" t="s">
        <v>24</v>
      </c>
    </row>
    <row r="24" spans="1:9" ht="60" x14ac:dyDescent="0.25">
      <c r="A24" s="4">
        <v>42336</v>
      </c>
      <c r="B24" s="4" t="s">
        <v>5</v>
      </c>
      <c r="C24" s="4" t="s">
        <v>22</v>
      </c>
      <c r="D24" s="4" t="s">
        <v>3</v>
      </c>
      <c r="E24" s="4" t="s">
        <v>2</v>
      </c>
      <c r="F24" s="5">
        <v>42176.544687499998</v>
      </c>
      <c r="G24" s="4">
        <v>1003</v>
      </c>
      <c r="H24" s="4" t="s">
        <v>1</v>
      </c>
      <c r="I24" s="3" t="s">
        <v>23</v>
      </c>
    </row>
    <row r="25" spans="1:9" ht="409.5" x14ac:dyDescent="0.25">
      <c r="A25" s="4">
        <v>42335</v>
      </c>
      <c r="B25" s="4" t="s">
        <v>5</v>
      </c>
      <c r="C25" s="4" t="s">
        <v>22</v>
      </c>
      <c r="D25" s="4" t="s">
        <v>3</v>
      </c>
      <c r="E25" s="4" t="s">
        <v>2</v>
      </c>
      <c r="F25" s="5">
        <v>42176.544687499998</v>
      </c>
      <c r="G25" s="4">
        <v>1003</v>
      </c>
      <c r="H25" s="4" t="s">
        <v>1</v>
      </c>
      <c r="I25" s="3" t="s">
        <v>21</v>
      </c>
    </row>
    <row r="26" spans="1:9" x14ac:dyDescent="0.25">
      <c r="A26" s="4">
        <v>42334</v>
      </c>
      <c r="B26" s="4" t="s">
        <v>5</v>
      </c>
      <c r="C26" s="4" t="s">
        <v>22</v>
      </c>
      <c r="D26" s="4" t="s">
        <v>7</v>
      </c>
      <c r="E26" s="4" t="s">
        <v>2</v>
      </c>
      <c r="F26" s="5">
        <v>42176.544687499998</v>
      </c>
      <c r="G26" s="4">
        <v>902</v>
      </c>
      <c r="H26" s="4" t="s">
        <v>1</v>
      </c>
      <c r="I26" s="3" t="s">
        <v>99</v>
      </c>
    </row>
    <row r="27" spans="1:9" ht="135" x14ac:dyDescent="0.25">
      <c r="A27" s="4">
        <v>42333</v>
      </c>
      <c r="B27" s="4" t="s">
        <v>5</v>
      </c>
      <c r="C27" s="4" t="s">
        <v>22</v>
      </c>
      <c r="D27" s="4" t="s">
        <v>3</v>
      </c>
      <c r="E27" s="4" t="s">
        <v>2</v>
      </c>
      <c r="F27" s="5">
        <v>42176.544687499998</v>
      </c>
      <c r="G27" s="4">
        <v>1066</v>
      </c>
      <c r="H27" s="4" t="s">
        <v>1</v>
      </c>
      <c r="I27" s="3" t="s">
        <v>98</v>
      </c>
    </row>
    <row r="28" spans="1:9" x14ac:dyDescent="0.25">
      <c r="A28" s="4">
        <v>42332</v>
      </c>
      <c r="B28" s="4" t="s">
        <v>5</v>
      </c>
      <c r="C28" s="4" t="s">
        <v>22</v>
      </c>
      <c r="D28" s="4" t="s">
        <v>3</v>
      </c>
      <c r="E28" s="4" t="s">
        <v>2</v>
      </c>
      <c r="F28" s="5">
        <v>42176.544675925928</v>
      </c>
      <c r="G28" s="4">
        <v>900</v>
      </c>
      <c r="H28" s="4" t="s">
        <v>1</v>
      </c>
      <c r="I28" s="3" t="s">
        <v>9</v>
      </c>
    </row>
    <row r="29" spans="1:9" ht="105" x14ac:dyDescent="0.25">
      <c r="A29" s="4">
        <v>42331</v>
      </c>
      <c r="B29" s="4" t="s">
        <v>5</v>
      </c>
      <c r="C29" s="4" t="s">
        <v>29</v>
      </c>
      <c r="D29" s="4" t="s">
        <v>28</v>
      </c>
      <c r="E29" s="4" t="s">
        <v>2</v>
      </c>
      <c r="F29" s="5">
        <v>42176.510671296295</v>
      </c>
      <c r="G29" s="4">
        <v>0</v>
      </c>
      <c r="H29" s="4" t="s">
        <v>1</v>
      </c>
      <c r="I29" s="3" t="s">
        <v>457</v>
      </c>
    </row>
    <row r="30" spans="1:9" ht="105" x14ac:dyDescent="0.25">
      <c r="A30" s="4">
        <v>42330</v>
      </c>
      <c r="B30" s="4" t="s">
        <v>5</v>
      </c>
      <c r="C30" s="4" t="s">
        <v>29</v>
      </c>
      <c r="D30" s="4" t="s">
        <v>28</v>
      </c>
      <c r="E30" s="4" t="s">
        <v>2</v>
      </c>
      <c r="F30" s="5">
        <v>42176.510439814818</v>
      </c>
      <c r="G30" s="4">
        <v>0</v>
      </c>
      <c r="H30" s="4" t="s">
        <v>1</v>
      </c>
      <c r="I30" s="3" t="s">
        <v>458</v>
      </c>
    </row>
    <row r="31" spans="1:9" ht="105" x14ac:dyDescent="0.25">
      <c r="A31" s="4">
        <v>42329</v>
      </c>
      <c r="B31" s="4" t="s">
        <v>5</v>
      </c>
      <c r="C31" s="4" t="s">
        <v>29</v>
      </c>
      <c r="D31" s="4" t="s">
        <v>28</v>
      </c>
      <c r="E31" s="4" t="s">
        <v>2</v>
      </c>
      <c r="F31" s="5">
        <v>42176.50886574074</v>
      </c>
      <c r="G31" s="4">
        <v>0</v>
      </c>
      <c r="H31" s="4" t="s">
        <v>1</v>
      </c>
      <c r="I31" s="3" t="s">
        <v>457</v>
      </c>
    </row>
    <row r="32" spans="1:9" ht="105" x14ac:dyDescent="0.25">
      <c r="A32" s="4">
        <v>42328</v>
      </c>
      <c r="B32" s="4" t="s">
        <v>5</v>
      </c>
      <c r="C32" s="4" t="s">
        <v>29</v>
      </c>
      <c r="D32" s="4" t="s">
        <v>28</v>
      </c>
      <c r="E32" s="4" t="s">
        <v>2</v>
      </c>
      <c r="F32" s="5">
        <v>42176.508842592593</v>
      </c>
      <c r="G32" s="4">
        <v>0</v>
      </c>
      <c r="H32" s="4" t="s">
        <v>1</v>
      </c>
      <c r="I32" s="3" t="s">
        <v>458</v>
      </c>
    </row>
    <row r="33" spans="1:9" x14ac:dyDescent="0.25">
      <c r="A33" s="4">
        <v>42327</v>
      </c>
      <c r="B33" s="4" t="s">
        <v>5</v>
      </c>
      <c r="C33" s="4" t="s">
        <v>18</v>
      </c>
      <c r="D33" s="4" t="s">
        <v>3</v>
      </c>
      <c r="E33" s="4" t="s">
        <v>2</v>
      </c>
      <c r="F33" s="5">
        <v>42176.494363425925</v>
      </c>
      <c r="G33" s="4">
        <v>0</v>
      </c>
      <c r="H33" s="4" t="s">
        <v>1</v>
      </c>
      <c r="I33" s="3" t="s">
        <v>17</v>
      </c>
    </row>
    <row r="34" spans="1:9" ht="105" x14ac:dyDescent="0.25">
      <c r="A34" s="4">
        <v>42326</v>
      </c>
      <c r="B34" s="4" t="s">
        <v>5</v>
      </c>
      <c r="C34" s="4" t="s">
        <v>29</v>
      </c>
      <c r="D34" s="4" t="s">
        <v>28</v>
      </c>
      <c r="E34" s="4" t="s">
        <v>2</v>
      </c>
      <c r="F34" s="5">
        <v>42176.480104166665</v>
      </c>
      <c r="G34" s="4">
        <v>0</v>
      </c>
      <c r="H34" s="4" t="s">
        <v>1</v>
      </c>
      <c r="I34" s="3" t="s">
        <v>457</v>
      </c>
    </row>
    <row r="35" spans="1:9" ht="105" x14ac:dyDescent="0.25">
      <c r="A35" s="4">
        <v>42325</v>
      </c>
      <c r="B35" s="4" t="s">
        <v>5</v>
      </c>
      <c r="C35" s="4" t="s">
        <v>29</v>
      </c>
      <c r="D35" s="4" t="s">
        <v>28</v>
      </c>
      <c r="E35" s="4" t="s">
        <v>2</v>
      </c>
      <c r="F35" s="5">
        <v>42176.480000000003</v>
      </c>
      <c r="G35" s="4">
        <v>0</v>
      </c>
      <c r="H35" s="4" t="s">
        <v>1</v>
      </c>
      <c r="I35" s="3" t="s">
        <v>458</v>
      </c>
    </row>
    <row r="36" spans="1:9" ht="105" x14ac:dyDescent="0.25">
      <c r="A36" s="4">
        <v>42324</v>
      </c>
      <c r="B36" s="4" t="s">
        <v>5</v>
      </c>
      <c r="C36" s="4" t="s">
        <v>29</v>
      </c>
      <c r="D36" s="4" t="s">
        <v>28</v>
      </c>
      <c r="E36" s="4" t="s">
        <v>2</v>
      </c>
      <c r="F36" s="5">
        <v>42176.474594907406</v>
      </c>
      <c r="G36" s="4">
        <v>0</v>
      </c>
      <c r="H36" s="4" t="s">
        <v>1</v>
      </c>
      <c r="I36" s="3" t="s">
        <v>457</v>
      </c>
    </row>
    <row r="37" spans="1:9" ht="105" x14ac:dyDescent="0.25">
      <c r="A37" s="4">
        <v>42323</v>
      </c>
      <c r="B37" s="4" t="s">
        <v>5</v>
      </c>
      <c r="C37" s="4" t="s">
        <v>29</v>
      </c>
      <c r="D37" s="4" t="s">
        <v>28</v>
      </c>
      <c r="E37" s="4" t="s">
        <v>2</v>
      </c>
      <c r="F37" s="5">
        <v>42176.474236111113</v>
      </c>
      <c r="G37" s="4">
        <v>0</v>
      </c>
      <c r="H37" s="4" t="s">
        <v>1</v>
      </c>
      <c r="I37" s="3" t="s">
        <v>458</v>
      </c>
    </row>
    <row r="38" spans="1:9" ht="105" x14ac:dyDescent="0.25">
      <c r="A38" s="4">
        <v>42322</v>
      </c>
      <c r="B38" s="4" t="s">
        <v>5</v>
      </c>
      <c r="C38" s="4" t="s">
        <v>29</v>
      </c>
      <c r="D38" s="4" t="s">
        <v>28</v>
      </c>
      <c r="E38" s="4" t="s">
        <v>2</v>
      </c>
      <c r="F38" s="5">
        <v>42176.468356481484</v>
      </c>
      <c r="G38" s="4">
        <v>0</v>
      </c>
      <c r="H38" s="4" t="s">
        <v>1</v>
      </c>
      <c r="I38" s="3" t="s">
        <v>457</v>
      </c>
    </row>
    <row r="39" spans="1:9" ht="105" x14ac:dyDescent="0.25">
      <c r="A39" s="4">
        <v>42321</v>
      </c>
      <c r="B39" s="4" t="s">
        <v>5</v>
      </c>
      <c r="C39" s="4" t="s">
        <v>29</v>
      </c>
      <c r="D39" s="4" t="s">
        <v>28</v>
      </c>
      <c r="E39" s="4" t="s">
        <v>2</v>
      </c>
      <c r="F39" s="5">
        <v>42176.468310185184</v>
      </c>
      <c r="G39" s="4">
        <v>0</v>
      </c>
      <c r="H39" s="4" t="s">
        <v>1</v>
      </c>
      <c r="I39" s="3" t="s">
        <v>458</v>
      </c>
    </row>
    <row r="40" spans="1:9" ht="105" x14ac:dyDescent="0.25">
      <c r="A40" s="4">
        <v>42320</v>
      </c>
      <c r="B40" s="4" t="s">
        <v>5</v>
      </c>
      <c r="C40" s="4" t="s">
        <v>29</v>
      </c>
      <c r="D40" s="4" t="s">
        <v>28</v>
      </c>
      <c r="E40" s="4" t="s">
        <v>2</v>
      </c>
      <c r="F40" s="5">
        <v>42176.468159722222</v>
      </c>
      <c r="G40" s="4">
        <v>0</v>
      </c>
      <c r="H40" s="4" t="s">
        <v>1</v>
      </c>
      <c r="I40" s="3" t="s">
        <v>458</v>
      </c>
    </row>
    <row r="41" spans="1:9" x14ac:dyDescent="0.25">
      <c r="A41" s="4">
        <v>42319</v>
      </c>
      <c r="B41" s="4" t="s">
        <v>5</v>
      </c>
      <c r="C41" s="4" t="s">
        <v>10</v>
      </c>
      <c r="D41" s="4" t="s">
        <v>7</v>
      </c>
      <c r="E41" s="4" t="s">
        <v>2</v>
      </c>
      <c r="F41" s="5">
        <v>42176.450972222221</v>
      </c>
      <c r="G41" s="4">
        <v>903</v>
      </c>
      <c r="H41" s="4" t="s">
        <v>1</v>
      </c>
      <c r="I41" s="3" t="s">
        <v>14</v>
      </c>
    </row>
    <row r="42" spans="1:9" x14ac:dyDescent="0.25">
      <c r="A42" s="4">
        <v>42318</v>
      </c>
      <c r="B42" s="4" t="s">
        <v>5</v>
      </c>
      <c r="C42" s="4" t="s">
        <v>10</v>
      </c>
      <c r="D42" s="4" t="s">
        <v>7</v>
      </c>
      <c r="E42" s="4" t="s">
        <v>2</v>
      </c>
      <c r="F42" s="5">
        <v>42176.447314814817</v>
      </c>
      <c r="G42" s="4">
        <v>902</v>
      </c>
      <c r="H42" s="4" t="s">
        <v>1</v>
      </c>
      <c r="I42" s="3" t="s">
        <v>13</v>
      </c>
    </row>
    <row r="43" spans="1:9" ht="409.5" x14ac:dyDescent="0.25">
      <c r="A43" s="4">
        <v>42317</v>
      </c>
      <c r="B43" s="4" t="s">
        <v>5</v>
      </c>
      <c r="C43" s="4" t="s">
        <v>10</v>
      </c>
      <c r="D43" s="4" t="s">
        <v>3</v>
      </c>
      <c r="E43" s="4" t="s">
        <v>2</v>
      </c>
      <c r="F43" s="5">
        <v>42176.447314814817</v>
      </c>
      <c r="G43" s="4">
        <v>1003</v>
      </c>
      <c r="H43" s="4" t="s">
        <v>1</v>
      </c>
      <c r="I43" s="3" t="s">
        <v>12</v>
      </c>
    </row>
    <row r="44" spans="1:9" ht="135" x14ac:dyDescent="0.25">
      <c r="A44" s="4">
        <v>42316</v>
      </c>
      <c r="B44" s="4" t="s">
        <v>5</v>
      </c>
      <c r="C44" s="4" t="s">
        <v>10</v>
      </c>
      <c r="D44" s="4" t="s">
        <v>3</v>
      </c>
      <c r="E44" s="4" t="s">
        <v>2</v>
      </c>
      <c r="F44" s="5">
        <v>42176.447314814817</v>
      </c>
      <c r="G44" s="4">
        <v>1066</v>
      </c>
      <c r="H44" s="4" t="s">
        <v>1</v>
      </c>
      <c r="I44" s="3" t="s">
        <v>11</v>
      </c>
    </row>
    <row r="45" spans="1:9" x14ac:dyDescent="0.25">
      <c r="A45" s="4">
        <v>42315</v>
      </c>
      <c r="B45" s="4" t="s">
        <v>5</v>
      </c>
      <c r="C45" s="4" t="s">
        <v>10</v>
      </c>
      <c r="D45" s="4" t="s">
        <v>3</v>
      </c>
      <c r="E45" s="4" t="s">
        <v>2</v>
      </c>
      <c r="F45" s="5">
        <v>42176.447314814817</v>
      </c>
      <c r="G45" s="4">
        <v>900</v>
      </c>
      <c r="H45" s="4" t="s">
        <v>1</v>
      </c>
      <c r="I45" s="3" t="s">
        <v>9</v>
      </c>
    </row>
    <row r="46" spans="1:9" ht="30" x14ac:dyDescent="0.25">
      <c r="A46" s="4">
        <v>42314</v>
      </c>
      <c r="B46" s="4" t="s">
        <v>5</v>
      </c>
      <c r="C46" s="4" t="s">
        <v>51</v>
      </c>
      <c r="D46" s="4" t="s">
        <v>3</v>
      </c>
      <c r="E46" s="4" t="s">
        <v>2</v>
      </c>
      <c r="F46" s="5">
        <v>42176.447141203702</v>
      </c>
      <c r="G46" s="4">
        <v>9003</v>
      </c>
      <c r="H46" s="4" t="s">
        <v>1</v>
      </c>
      <c r="I46" s="3" t="s">
        <v>97</v>
      </c>
    </row>
    <row r="47" spans="1:9" ht="30" x14ac:dyDescent="0.25">
      <c r="A47" s="4">
        <v>42313</v>
      </c>
      <c r="B47" s="4" t="s">
        <v>5</v>
      </c>
      <c r="C47" s="4" t="s">
        <v>53</v>
      </c>
      <c r="D47" s="4" t="s">
        <v>3</v>
      </c>
      <c r="E47" s="4" t="s">
        <v>2</v>
      </c>
      <c r="F47" s="5">
        <v>42176.447129629632</v>
      </c>
      <c r="G47" s="4">
        <v>6000</v>
      </c>
      <c r="H47" s="4" t="s">
        <v>1</v>
      </c>
      <c r="I47" s="3" t="s">
        <v>52</v>
      </c>
    </row>
    <row r="48" spans="1:9" x14ac:dyDescent="0.25">
      <c r="A48" s="4">
        <v>42312</v>
      </c>
      <c r="B48" s="4" t="s">
        <v>5</v>
      </c>
      <c r="C48" s="4" t="s">
        <v>96</v>
      </c>
      <c r="D48" s="4" t="s">
        <v>3</v>
      </c>
      <c r="E48" s="4" t="s">
        <v>2</v>
      </c>
      <c r="F48" s="5">
        <v>42176.447129629632</v>
      </c>
      <c r="G48" s="4">
        <v>4101</v>
      </c>
      <c r="H48" s="4" t="s">
        <v>1</v>
      </c>
      <c r="I48" s="3" t="s">
        <v>95</v>
      </c>
    </row>
    <row r="49" spans="1:9" x14ac:dyDescent="0.25">
      <c r="A49" s="4">
        <v>42311</v>
      </c>
      <c r="B49" s="4" t="s">
        <v>5</v>
      </c>
      <c r="C49" s="4" t="s">
        <v>10</v>
      </c>
      <c r="D49" s="4" t="s">
        <v>7</v>
      </c>
      <c r="E49" s="4" t="s">
        <v>2</v>
      </c>
      <c r="F49" s="5">
        <v>42176.384722222225</v>
      </c>
      <c r="G49" s="4">
        <v>903</v>
      </c>
      <c r="H49" s="4" t="s">
        <v>1</v>
      </c>
      <c r="I49" s="3" t="s">
        <v>14</v>
      </c>
    </row>
    <row r="50" spans="1:9" x14ac:dyDescent="0.25">
      <c r="A50" s="4">
        <v>42310</v>
      </c>
      <c r="B50" s="4" t="s">
        <v>5</v>
      </c>
      <c r="C50" s="4" t="s">
        <v>10</v>
      </c>
      <c r="D50" s="4" t="s">
        <v>7</v>
      </c>
      <c r="E50" s="4" t="s">
        <v>2</v>
      </c>
      <c r="F50" s="5">
        <v>42176.381249999999</v>
      </c>
      <c r="G50" s="4">
        <v>902</v>
      </c>
      <c r="H50" s="4" t="s">
        <v>1</v>
      </c>
      <c r="I50" s="3" t="s">
        <v>13</v>
      </c>
    </row>
    <row r="51" spans="1:9" ht="409.5" x14ac:dyDescent="0.25">
      <c r="A51" s="4">
        <v>42309</v>
      </c>
      <c r="B51" s="4" t="s">
        <v>5</v>
      </c>
      <c r="C51" s="4" t="s">
        <v>10</v>
      </c>
      <c r="D51" s="4" t="s">
        <v>3</v>
      </c>
      <c r="E51" s="4" t="s">
        <v>2</v>
      </c>
      <c r="F51" s="5">
        <v>42176.381249999999</v>
      </c>
      <c r="G51" s="4">
        <v>1003</v>
      </c>
      <c r="H51" s="4" t="s">
        <v>1</v>
      </c>
      <c r="I51" s="3" t="s">
        <v>12</v>
      </c>
    </row>
    <row r="52" spans="1:9" ht="135" x14ac:dyDescent="0.25">
      <c r="A52" s="4">
        <v>42308</v>
      </c>
      <c r="B52" s="4" t="s">
        <v>5</v>
      </c>
      <c r="C52" s="4" t="s">
        <v>10</v>
      </c>
      <c r="D52" s="4" t="s">
        <v>3</v>
      </c>
      <c r="E52" s="4" t="s">
        <v>2</v>
      </c>
      <c r="F52" s="5">
        <v>42176.381249999999</v>
      </c>
      <c r="G52" s="4">
        <v>1066</v>
      </c>
      <c r="H52" s="4" t="s">
        <v>1</v>
      </c>
      <c r="I52" s="3" t="s">
        <v>11</v>
      </c>
    </row>
    <row r="53" spans="1:9" x14ac:dyDescent="0.25">
      <c r="A53" s="4">
        <v>42307</v>
      </c>
      <c r="B53" s="4" t="s">
        <v>5</v>
      </c>
      <c r="C53" s="4" t="s">
        <v>10</v>
      </c>
      <c r="D53" s="4" t="s">
        <v>3</v>
      </c>
      <c r="E53" s="4" t="s">
        <v>2</v>
      </c>
      <c r="F53" s="5">
        <v>42176.381238425929</v>
      </c>
      <c r="G53" s="4">
        <v>900</v>
      </c>
      <c r="H53" s="4" t="s">
        <v>1</v>
      </c>
      <c r="I53" s="3" t="s">
        <v>9</v>
      </c>
    </row>
    <row r="54" spans="1:9" x14ac:dyDescent="0.25">
      <c r="A54" s="4">
        <v>42306</v>
      </c>
      <c r="B54" s="4" t="s">
        <v>5</v>
      </c>
      <c r="C54" s="4" t="s">
        <v>8</v>
      </c>
      <c r="D54" s="4" t="s">
        <v>7</v>
      </c>
      <c r="E54" s="4" t="s">
        <v>2</v>
      </c>
      <c r="F54" s="5">
        <v>42176.32135416667</v>
      </c>
      <c r="G54" s="4">
        <v>258</v>
      </c>
      <c r="H54" s="4" t="s">
        <v>1</v>
      </c>
      <c r="I54" s="3" t="s">
        <v>49</v>
      </c>
    </row>
    <row r="55" spans="1:9" x14ac:dyDescent="0.25">
      <c r="A55" s="4">
        <v>42305</v>
      </c>
      <c r="B55" s="4" t="s">
        <v>5</v>
      </c>
      <c r="C55" s="4" t="s">
        <v>18</v>
      </c>
      <c r="D55" s="4" t="s">
        <v>3</v>
      </c>
      <c r="E55" s="4" t="s">
        <v>2</v>
      </c>
      <c r="F55" s="5">
        <v>42176.286030092589</v>
      </c>
      <c r="G55" s="4">
        <v>0</v>
      </c>
      <c r="H55" s="4" t="s">
        <v>1</v>
      </c>
      <c r="I55" s="3" t="s">
        <v>17</v>
      </c>
    </row>
    <row r="56" spans="1:9" x14ac:dyDescent="0.25">
      <c r="A56" s="4">
        <v>42304</v>
      </c>
      <c r="B56" s="4" t="s">
        <v>5</v>
      </c>
      <c r="C56" s="4" t="s">
        <v>4</v>
      </c>
      <c r="D56" s="4" t="s">
        <v>3</v>
      </c>
      <c r="E56" s="4" t="s">
        <v>2</v>
      </c>
      <c r="F56" s="5">
        <v>42176.141226851854</v>
      </c>
      <c r="G56" s="4">
        <v>8224</v>
      </c>
      <c r="H56" s="4" t="s">
        <v>1</v>
      </c>
      <c r="I56" s="3" t="s">
        <v>0</v>
      </c>
    </row>
    <row r="57" spans="1:9" x14ac:dyDescent="0.25">
      <c r="A57" s="4">
        <v>42303</v>
      </c>
      <c r="B57" s="4" t="s">
        <v>5</v>
      </c>
      <c r="C57" s="4" t="s">
        <v>10</v>
      </c>
      <c r="D57" s="4" t="s">
        <v>7</v>
      </c>
      <c r="E57" s="4" t="s">
        <v>2</v>
      </c>
      <c r="F57" s="5">
        <v>42176.120150462964</v>
      </c>
      <c r="G57" s="4">
        <v>903</v>
      </c>
      <c r="H57" s="4" t="s">
        <v>1</v>
      </c>
      <c r="I57" s="3" t="s">
        <v>14</v>
      </c>
    </row>
    <row r="58" spans="1:9" x14ac:dyDescent="0.25">
      <c r="A58" s="4">
        <v>42302</v>
      </c>
      <c r="B58" s="4" t="s">
        <v>5</v>
      </c>
      <c r="C58" s="4" t="s">
        <v>94</v>
      </c>
      <c r="D58" s="4" t="s">
        <v>3</v>
      </c>
      <c r="E58" s="4" t="s">
        <v>2</v>
      </c>
      <c r="F58" s="5">
        <v>42176.115416666667</v>
      </c>
      <c r="G58" s="4">
        <v>2000</v>
      </c>
      <c r="H58" s="4" t="s">
        <v>1</v>
      </c>
      <c r="I58" s="3" t="s">
        <v>93</v>
      </c>
    </row>
    <row r="59" spans="1:9" x14ac:dyDescent="0.25">
      <c r="A59" s="4">
        <v>42301</v>
      </c>
      <c r="B59" s="4" t="s">
        <v>5</v>
      </c>
      <c r="C59" s="4" t="s">
        <v>92</v>
      </c>
      <c r="D59" s="4" t="s">
        <v>3</v>
      </c>
      <c r="E59" s="4" t="s">
        <v>2</v>
      </c>
      <c r="F59" s="5">
        <v>42176.115393518521</v>
      </c>
      <c r="G59" s="4">
        <v>1003</v>
      </c>
      <c r="H59" s="4" t="s">
        <v>1</v>
      </c>
      <c r="I59" s="3" t="s">
        <v>91</v>
      </c>
    </row>
    <row r="60" spans="1:9" ht="30" x14ac:dyDescent="0.25">
      <c r="A60" s="4">
        <v>42300</v>
      </c>
      <c r="B60" s="4" t="s">
        <v>5</v>
      </c>
      <c r="C60" s="4" t="s">
        <v>86</v>
      </c>
      <c r="D60" s="4" t="s">
        <v>3</v>
      </c>
      <c r="E60" s="4" t="s">
        <v>2</v>
      </c>
      <c r="F60" s="5">
        <v>42176.115300925929</v>
      </c>
      <c r="G60" s="4">
        <v>302</v>
      </c>
      <c r="H60" s="4" t="s">
        <v>1</v>
      </c>
      <c r="I60" s="3" t="s">
        <v>463</v>
      </c>
    </row>
    <row r="61" spans="1:9" ht="30" x14ac:dyDescent="0.25">
      <c r="A61" s="4">
        <v>42299</v>
      </c>
      <c r="B61" s="4" t="s">
        <v>5</v>
      </c>
      <c r="C61" s="4" t="s">
        <v>86</v>
      </c>
      <c r="D61" s="4" t="s">
        <v>3</v>
      </c>
      <c r="E61" s="4" t="s">
        <v>2</v>
      </c>
      <c r="F61" s="5">
        <v>42176.115300925929</v>
      </c>
      <c r="G61" s="4">
        <v>301</v>
      </c>
      <c r="H61" s="4" t="s">
        <v>1</v>
      </c>
      <c r="I61" s="3" t="s">
        <v>464</v>
      </c>
    </row>
    <row r="62" spans="1:9" ht="45" x14ac:dyDescent="0.25">
      <c r="A62" s="4">
        <v>42298</v>
      </c>
      <c r="B62" s="4" t="s">
        <v>5</v>
      </c>
      <c r="C62" s="4" t="s">
        <v>86</v>
      </c>
      <c r="D62" s="4" t="s">
        <v>3</v>
      </c>
      <c r="E62" s="4" t="s">
        <v>2</v>
      </c>
      <c r="F62" s="5">
        <v>42176.115289351852</v>
      </c>
      <c r="G62" s="4">
        <v>301</v>
      </c>
      <c r="H62" s="4" t="s">
        <v>1</v>
      </c>
      <c r="I62" s="3" t="s">
        <v>465</v>
      </c>
    </row>
    <row r="63" spans="1:9" x14ac:dyDescent="0.25">
      <c r="A63" s="4">
        <v>42297</v>
      </c>
      <c r="B63" s="4" t="s">
        <v>5</v>
      </c>
      <c r="C63" s="4" t="s">
        <v>86</v>
      </c>
      <c r="D63" s="4" t="s">
        <v>3</v>
      </c>
      <c r="E63" s="4" t="s">
        <v>2</v>
      </c>
      <c r="F63" s="5">
        <v>42176.115289351852</v>
      </c>
      <c r="G63" s="4">
        <v>300</v>
      </c>
      <c r="H63" s="4" t="s">
        <v>1</v>
      </c>
      <c r="I63" s="3" t="s">
        <v>466</v>
      </c>
    </row>
    <row r="64" spans="1:9" ht="30" x14ac:dyDescent="0.25">
      <c r="A64" s="4">
        <v>42296</v>
      </c>
      <c r="B64" s="4" t="s">
        <v>5</v>
      </c>
      <c r="C64" s="4" t="s">
        <v>86</v>
      </c>
      <c r="D64" s="4" t="s">
        <v>3</v>
      </c>
      <c r="E64" s="4" t="s">
        <v>2</v>
      </c>
      <c r="F64" s="5">
        <v>42176.115289351852</v>
      </c>
      <c r="G64" s="4">
        <v>102</v>
      </c>
      <c r="H64" s="4" t="s">
        <v>1</v>
      </c>
      <c r="I64" s="3" t="s">
        <v>467</v>
      </c>
    </row>
    <row r="65" spans="1:9" x14ac:dyDescent="0.25">
      <c r="A65" s="4">
        <v>42295</v>
      </c>
      <c r="B65" s="4" t="s">
        <v>5</v>
      </c>
      <c r="C65" s="4" t="s">
        <v>10</v>
      </c>
      <c r="D65" s="4" t="s">
        <v>7</v>
      </c>
      <c r="E65" s="4" t="s">
        <v>2</v>
      </c>
      <c r="F65" s="5">
        <v>42176.115289351852</v>
      </c>
      <c r="G65" s="4">
        <v>902</v>
      </c>
      <c r="H65" s="4" t="s">
        <v>1</v>
      </c>
      <c r="I65" s="3" t="s">
        <v>13</v>
      </c>
    </row>
    <row r="66" spans="1:9" ht="409.5" x14ac:dyDescent="0.25">
      <c r="A66" s="4">
        <v>42294</v>
      </c>
      <c r="B66" s="4" t="s">
        <v>5</v>
      </c>
      <c r="C66" s="4" t="s">
        <v>10</v>
      </c>
      <c r="D66" s="4" t="s">
        <v>3</v>
      </c>
      <c r="E66" s="4" t="s">
        <v>2</v>
      </c>
      <c r="F66" s="5">
        <v>42176.115289351852</v>
      </c>
      <c r="G66" s="4">
        <v>1003</v>
      </c>
      <c r="H66" s="4" t="s">
        <v>1</v>
      </c>
      <c r="I66" s="3" t="s">
        <v>12</v>
      </c>
    </row>
    <row r="67" spans="1:9" ht="135" x14ac:dyDescent="0.25">
      <c r="A67" s="4">
        <v>42293</v>
      </c>
      <c r="B67" s="4" t="s">
        <v>5</v>
      </c>
      <c r="C67" s="4" t="s">
        <v>10</v>
      </c>
      <c r="D67" s="4" t="s">
        <v>3</v>
      </c>
      <c r="E67" s="4" t="s">
        <v>2</v>
      </c>
      <c r="F67" s="5">
        <v>42176.115289351852</v>
      </c>
      <c r="G67" s="4">
        <v>1066</v>
      </c>
      <c r="H67" s="4" t="s">
        <v>1</v>
      </c>
      <c r="I67" s="3" t="s">
        <v>11</v>
      </c>
    </row>
    <row r="68" spans="1:9" x14ac:dyDescent="0.25">
      <c r="A68" s="4">
        <v>42292</v>
      </c>
      <c r="B68" s="4" t="s">
        <v>5</v>
      </c>
      <c r="C68" s="4" t="s">
        <v>84</v>
      </c>
      <c r="D68" s="4" t="s">
        <v>3</v>
      </c>
      <c r="E68" s="4" t="s">
        <v>2</v>
      </c>
      <c r="F68" s="5">
        <v>42176.115277777775</v>
      </c>
      <c r="G68" s="4">
        <v>1</v>
      </c>
      <c r="H68" s="4" t="s">
        <v>1</v>
      </c>
      <c r="I68" s="3" t="s">
        <v>83</v>
      </c>
    </row>
    <row r="69" spans="1:9" x14ac:dyDescent="0.25">
      <c r="A69" s="4">
        <v>42291</v>
      </c>
      <c r="B69" s="4" t="s">
        <v>5</v>
      </c>
      <c r="C69" s="4" t="s">
        <v>10</v>
      </c>
      <c r="D69" s="4" t="s">
        <v>3</v>
      </c>
      <c r="E69" s="4" t="s">
        <v>2</v>
      </c>
      <c r="F69" s="5">
        <v>42176.115277777775</v>
      </c>
      <c r="G69" s="4">
        <v>900</v>
      </c>
      <c r="H69" s="4" t="s">
        <v>1</v>
      </c>
      <c r="I69" s="3" t="s">
        <v>9</v>
      </c>
    </row>
    <row r="70" spans="1:9" x14ac:dyDescent="0.25">
      <c r="A70" s="4">
        <v>42290</v>
      </c>
      <c r="B70" s="4" t="s">
        <v>5</v>
      </c>
      <c r="C70" s="4" t="s">
        <v>82</v>
      </c>
      <c r="D70" s="4" t="s">
        <v>3</v>
      </c>
      <c r="E70" s="4" t="s">
        <v>2</v>
      </c>
      <c r="F70" s="5">
        <v>42176.115277777775</v>
      </c>
      <c r="G70" s="4">
        <v>0</v>
      </c>
      <c r="H70" s="4" t="s">
        <v>55</v>
      </c>
      <c r="I70" s="3" t="s">
        <v>81</v>
      </c>
    </row>
    <row r="71" spans="1:9" x14ac:dyDescent="0.25">
      <c r="A71" s="4">
        <v>42289</v>
      </c>
      <c r="B71" s="4" t="s">
        <v>5</v>
      </c>
      <c r="C71" s="4" t="s">
        <v>18</v>
      </c>
      <c r="D71" s="4" t="s">
        <v>3</v>
      </c>
      <c r="E71" s="4" t="s">
        <v>2</v>
      </c>
      <c r="F71" s="5">
        <v>42176.115266203706</v>
      </c>
      <c r="G71" s="4">
        <v>0</v>
      </c>
      <c r="H71" s="4" t="s">
        <v>1</v>
      </c>
      <c r="I71" s="3" t="s">
        <v>17</v>
      </c>
    </row>
    <row r="72" spans="1:9" x14ac:dyDescent="0.25">
      <c r="A72" s="4">
        <v>42288</v>
      </c>
      <c r="B72" s="4" t="s">
        <v>5</v>
      </c>
      <c r="C72" s="4" t="s">
        <v>74</v>
      </c>
      <c r="D72" s="4" t="s">
        <v>3</v>
      </c>
      <c r="E72" s="4" t="s">
        <v>2</v>
      </c>
      <c r="F72" s="5">
        <v>42176.115219907406</v>
      </c>
      <c r="G72" s="4">
        <v>101</v>
      </c>
      <c r="H72" s="4" t="s">
        <v>1</v>
      </c>
      <c r="I72" s="3" t="s">
        <v>80</v>
      </c>
    </row>
    <row r="73" spans="1:9" x14ac:dyDescent="0.25">
      <c r="A73" s="4">
        <v>42287</v>
      </c>
      <c r="B73" s="4" t="s">
        <v>5</v>
      </c>
      <c r="C73" s="4" t="s">
        <v>74</v>
      </c>
      <c r="D73" s="4" t="s">
        <v>3</v>
      </c>
      <c r="E73" s="4" t="s">
        <v>2</v>
      </c>
      <c r="F73" s="5">
        <v>42176.115208333336</v>
      </c>
      <c r="G73" s="4">
        <v>103</v>
      </c>
      <c r="H73" s="4" t="s">
        <v>1</v>
      </c>
      <c r="I73" s="3" t="s">
        <v>79</v>
      </c>
    </row>
    <row r="74" spans="1:9" x14ac:dyDescent="0.25">
      <c r="A74" s="4">
        <v>42286</v>
      </c>
      <c r="B74" s="4" t="s">
        <v>5</v>
      </c>
      <c r="C74" s="4" t="s">
        <v>76</v>
      </c>
      <c r="D74" s="4" t="s">
        <v>7</v>
      </c>
      <c r="E74" s="4" t="s">
        <v>2</v>
      </c>
      <c r="F74" s="5">
        <v>42176.113877314812</v>
      </c>
      <c r="G74" s="4">
        <v>5617</v>
      </c>
      <c r="H74" s="4" t="s">
        <v>1</v>
      </c>
      <c r="I74" s="3" t="s">
        <v>75</v>
      </c>
    </row>
    <row r="75" spans="1:9" x14ac:dyDescent="0.25">
      <c r="A75" s="4">
        <v>42285</v>
      </c>
      <c r="B75" s="4" t="s">
        <v>5</v>
      </c>
      <c r="C75" s="4" t="s">
        <v>78</v>
      </c>
      <c r="D75" s="4" t="s">
        <v>3</v>
      </c>
      <c r="E75" s="4" t="s">
        <v>2</v>
      </c>
      <c r="F75" s="5">
        <v>42176.113865740743</v>
      </c>
      <c r="G75" s="4">
        <v>0</v>
      </c>
      <c r="H75" s="4" t="s">
        <v>1</v>
      </c>
      <c r="I75" s="3" t="s">
        <v>77</v>
      </c>
    </row>
    <row r="76" spans="1:9" x14ac:dyDescent="0.25">
      <c r="A76" s="4">
        <v>42284</v>
      </c>
      <c r="B76" s="4" t="s">
        <v>5</v>
      </c>
      <c r="C76" s="4" t="s">
        <v>76</v>
      </c>
      <c r="D76" s="4" t="s">
        <v>7</v>
      </c>
      <c r="E76" s="4" t="s">
        <v>2</v>
      </c>
      <c r="F76" s="5">
        <v>42176.113842592589</v>
      </c>
      <c r="G76" s="4">
        <v>5615</v>
      </c>
      <c r="H76" s="4" t="s">
        <v>1</v>
      </c>
      <c r="I76" s="3" t="s">
        <v>75</v>
      </c>
    </row>
    <row r="77" spans="1:9" ht="409.5" x14ac:dyDescent="0.25">
      <c r="A77" s="4">
        <v>42283</v>
      </c>
      <c r="B77" s="4" t="s">
        <v>5</v>
      </c>
      <c r="C77" s="4" t="s">
        <v>66</v>
      </c>
      <c r="D77" s="4" t="s">
        <v>3</v>
      </c>
      <c r="E77" s="4" t="s">
        <v>2</v>
      </c>
      <c r="F77" s="5">
        <v>42176.113842592589</v>
      </c>
      <c r="G77" s="4">
        <v>50</v>
      </c>
      <c r="H77" s="4" t="s">
        <v>1</v>
      </c>
      <c r="I77" s="3" t="s">
        <v>68</v>
      </c>
    </row>
    <row r="78" spans="1:9" ht="135" x14ac:dyDescent="0.25">
      <c r="A78" s="4">
        <v>42282</v>
      </c>
      <c r="B78" s="4" t="s">
        <v>5</v>
      </c>
      <c r="C78" s="4" t="s">
        <v>66</v>
      </c>
      <c r="D78" s="4" t="s">
        <v>3</v>
      </c>
      <c r="E78" s="4" t="s">
        <v>2</v>
      </c>
      <c r="F78" s="5">
        <v>42176.113842592589</v>
      </c>
      <c r="G78" s="4">
        <v>50</v>
      </c>
      <c r="H78" s="4" t="s">
        <v>1</v>
      </c>
      <c r="I78" s="3" t="s">
        <v>67</v>
      </c>
    </row>
    <row r="79" spans="1:9" ht="105" x14ac:dyDescent="0.25">
      <c r="A79" s="4">
        <v>42281</v>
      </c>
      <c r="B79" s="4" t="s">
        <v>5</v>
      </c>
      <c r="C79" s="4" t="s">
        <v>66</v>
      </c>
      <c r="D79" s="4" t="s">
        <v>3</v>
      </c>
      <c r="E79" s="4" t="s">
        <v>2</v>
      </c>
      <c r="F79" s="5">
        <v>42176.11383101852</v>
      </c>
      <c r="G79" s="4">
        <v>50</v>
      </c>
      <c r="H79" s="4" t="s">
        <v>1</v>
      </c>
      <c r="I79" s="3" t="s">
        <v>65</v>
      </c>
    </row>
    <row r="80" spans="1:9" x14ac:dyDescent="0.25">
      <c r="A80" s="4">
        <v>42280</v>
      </c>
      <c r="B80" s="4" t="s">
        <v>5</v>
      </c>
      <c r="C80" s="4" t="s">
        <v>74</v>
      </c>
      <c r="D80" s="4" t="s">
        <v>3</v>
      </c>
      <c r="E80" s="4" t="s">
        <v>2</v>
      </c>
      <c r="F80" s="5">
        <v>42176.113819444443</v>
      </c>
      <c r="G80" s="4">
        <v>100</v>
      </c>
      <c r="H80" s="4" t="s">
        <v>1</v>
      </c>
      <c r="I80" s="3" t="s">
        <v>73</v>
      </c>
    </row>
    <row r="81" spans="1:9" x14ac:dyDescent="0.25">
      <c r="A81" s="4">
        <v>42279</v>
      </c>
      <c r="B81" s="4" t="s">
        <v>5</v>
      </c>
      <c r="C81" s="4" t="s">
        <v>72</v>
      </c>
      <c r="D81" s="4" t="s">
        <v>3</v>
      </c>
      <c r="E81" s="4" t="s">
        <v>2</v>
      </c>
      <c r="F81" s="5">
        <v>42176.113807870373</v>
      </c>
      <c r="G81" s="4">
        <v>0</v>
      </c>
      <c r="H81" s="4" t="s">
        <v>1</v>
      </c>
      <c r="I81" s="3" t="s">
        <v>71</v>
      </c>
    </row>
    <row r="82" spans="1:9" x14ac:dyDescent="0.25">
      <c r="A82" s="4">
        <v>42278</v>
      </c>
      <c r="B82" s="4" t="s">
        <v>5</v>
      </c>
      <c r="C82" s="4" t="s">
        <v>70</v>
      </c>
      <c r="D82" s="4" t="s">
        <v>3</v>
      </c>
      <c r="E82" s="4" t="s">
        <v>2</v>
      </c>
      <c r="F82" s="5">
        <v>42176.113807870373</v>
      </c>
      <c r="G82" s="4">
        <v>0</v>
      </c>
      <c r="H82" s="4" t="s">
        <v>1</v>
      </c>
      <c r="I82" s="3" t="s">
        <v>69</v>
      </c>
    </row>
    <row r="83" spans="1:9" x14ac:dyDescent="0.25">
      <c r="A83" s="4">
        <v>42277</v>
      </c>
      <c r="B83" s="4" t="s">
        <v>5</v>
      </c>
      <c r="C83" s="4" t="s">
        <v>64</v>
      </c>
      <c r="D83" s="4" t="s">
        <v>3</v>
      </c>
      <c r="E83" s="4" t="s">
        <v>2</v>
      </c>
      <c r="F83" s="5">
        <v>42176.113761574074</v>
      </c>
      <c r="G83" s="4">
        <v>0</v>
      </c>
      <c r="H83" s="4" t="s">
        <v>1</v>
      </c>
      <c r="I83" s="3" t="s">
        <v>63</v>
      </c>
    </row>
    <row r="84" spans="1:9" x14ac:dyDescent="0.25">
      <c r="A84" s="4">
        <v>42276</v>
      </c>
      <c r="B84" s="4" t="s">
        <v>5</v>
      </c>
      <c r="C84" s="4" t="s">
        <v>57</v>
      </c>
      <c r="D84" s="4" t="s">
        <v>3</v>
      </c>
      <c r="E84" s="4" t="s">
        <v>2</v>
      </c>
      <c r="F84" s="5">
        <v>42176.113715277781</v>
      </c>
      <c r="G84" s="4">
        <v>1531</v>
      </c>
      <c r="H84" s="4" t="s">
        <v>55</v>
      </c>
      <c r="I84" s="3" t="s">
        <v>62</v>
      </c>
    </row>
    <row r="85" spans="1:9" ht="30" x14ac:dyDescent="0.25">
      <c r="A85" s="4">
        <v>42275</v>
      </c>
      <c r="B85" s="4" t="s">
        <v>5</v>
      </c>
      <c r="C85" s="4" t="s">
        <v>60</v>
      </c>
      <c r="D85" s="4" t="s">
        <v>3</v>
      </c>
      <c r="E85" s="4" t="s">
        <v>2</v>
      </c>
      <c r="F85" s="5">
        <v>42176.113715277781</v>
      </c>
      <c r="G85" s="4">
        <v>4625</v>
      </c>
      <c r="H85" s="4" t="s">
        <v>1</v>
      </c>
      <c r="I85" s="3" t="s">
        <v>59</v>
      </c>
    </row>
    <row r="86" spans="1:9" x14ac:dyDescent="0.25">
      <c r="A86" s="4">
        <v>42274</v>
      </c>
      <c r="B86" s="4" t="s">
        <v>5</v>
      </c>
      <c r="C86" s="4" t="s">
        <v>57</v>
      </c>
      <c r="D86" s="4" t="s">
        <v>3</v>
      </c>
      <c r="E86" s="4" t="s">
        <v>2</v>
      </c>
      <c r="F86" s="5">
        <v>42176.113182870373</v>
      </c>
      <c r="G86" s="4">
        <v>1532</v>
      </c>
      <c r="H86" s="4" t="s">
        <v>55</v>
      </c>
      <c r="I86" s="3" t="s">
        <v>61</v>
      </c>
    </row>
    <row r="87" spans="1:9" ht="30" x14ac:dyDescent="0.25">
      <c r="A87" s="4">
        <v>42273</v>
      </c>
      <c r="B87" s="4" t="s">
        <v>5</v>
      </c>
      <c r="C87" s="4" t="s">
        <v>53</v>
      </c>
      <c r="D87" s="4" t="s">
        <v>3</v>
      </c>
      <c r="E87" s="4" t="s">
        <v>2</v>
      </c>
      <c r="F87" s="5">
        <v>42176.11309027778</v>
      </c>
      <c r="G87" s="4">
        <v>6000</v>
      </c>
      <c r="H87" s="4" t="s">
        <v>1</v>
      </c>
      <c r="I87" s="3" t="s">
        <v>58</v>
      </c>
    </row>
    <row r="88" spans="1:9" ht="30" x14ac:dyDescent="0.25">
      <c r="A88" s="4">
        <v>42272</v>
      </c>
      <c r="B88" s="4" t="s">
        <v>5</v>
      </c>
      <c r="C88" s="4" t="s">
        <v>53</v>
      </c>
      <c r="D88" s="4" t="s">
        <v>3</v>
      </c>
      <c r="E88" s="4" t="s">
        <v>2</v>
      </c>
      <c r="F88" s="5">
        <v>42176.113067129627</v>
      </c>
      <c r="G88" s="4">
        <v>6000</v>
      </c>
      <c r="H88" s="4" t="s">
        <v>1</v>
      </c>
      <c r="I88" s="3" t="s">
        <v>52</v>
      </c>
    </row>
    <row r="89" spans="1:9" x14ac:dyDescent="0.25">
      <c r="A89" s="4">
        <v>42271</v>
      </c>
      <c r="B89" s="4" t="s">
        <v>5</v>
      </c>
      <c r="C89" s="4" t="s">
        <v>51</v>
      </c>
      <c r="D89" s="4" t="s">
        <v>3</v>
      </c>
      <c r="E89" s="4" t="s">
        <v>2</v>
      </c>
      <c r="F89" s="5">
        <v>42176.113067129627</v>
      </c>
      <c r="G89" s="4">
        <v>9009</v>
      </c>
      <c r="H89" s="4" t="s">
        <v>1</v>
      </c>
      <c r="I89" s="3" t="s">
        <v>50</v>
      </c>
    </row>
    <row r="90" spans="1:9" ht="105" x14ac:dyDescent="0.25">
      <c r="A90" s="4">
        <v>42270</v>
      </c>
      <c r="B90" s="4" t="s">
        <v>5</v>
      </c>
      <c r="C90" s="4" t="s">
        <v>29</v>
      </c>
      <c r="D90" s="4" t="s">
        <v>28</v>
      </c>
      <c r="E90" s="4" t="s">
        <v>2</v>
      </c>
      <c r="F90" s="5">
        <v>42176.097303240742</v>
      </c>
      <c r="G90" s="4">
        <v>0</v>
      </c>
      <c r="H90" s="4" t="s">
        <v>1</v>
      </c>
      <c r="I90" s="3" t="s">
        <v>457</v>
      </c>
    </row>
    <row r="91" spans="1:9" ht="105" x14ac:dyDescent="0.25">
      <c r="A91" s="4">
        <v>42269</v>
      </c>
      <c r="B91" s="4" t="s">
        <v>5</v>
      </c>
      <c r="C91" s="4" t="s">
        <v>29</v>
      </c>
      <c r="D91" s="4" t="s">
        <v>28</v>
      </c>
      <c r="E91" s="4" t="s">
        <v>2</v>
      </c>
      <c r="F91" s="5">
        <v>42176.097291666665</v>
      </c>
      <c r="G91" s="4">
        <v>0</v>
      </c>
      <c r="H91" s="4" t="s">
        <v>1</v>
      </c>
      <c r="I91" s="3" t="s">
        <v>458</v>
      </c>
    </row>
    <row r="92" spans="1:9" ht="105" x14ac:dyDescent="0.25">
      <c r="A92" s="4">
        <v>42268</v>
      </c>
      <c r="B92" s="4" t="s">
        <v>5</v>
      </c>
      <c r="C92" s="4" t="s">
        <v>29</v>
      </c>
      <c r="D92" s="4" t="s">
        <v>28</v>
      </c>
      <c r="E92" s="4" t="s">
        <v>2</v>
      </c>
      <c r="F92" s="5">
        <v>42176.096319444441</v>
      </c>
      <c r="G92" s="4">
        <v>0</v>
      </c>
      <c r="H92" s="4" t="s">
        <v>1</v>
      </c>
      <c r="I92" s="3" t="s">
        <v>457</v>
      </c>
    </row>
    <row r="93" spans="1:9" ht="105" x14ac:dyDescent="0.25">
      <c r="A93" s="4">
        <v>42267</v>
      </c>
      <c r="B93" s="4" t="s">
        <v>5</v>
      </c>
      <c r="C93" s="4" t="s">
        <v>29</v>
      </c>
      <c r="D93" s="4" t="s">
        <v>28</v>
      </c>
      <c r="E93" s="4" t="s">
        <v>2</v>
      </c>
      <c r="F93" s="5">
        <v>42176.096307870372</v>
      </c>
      <c r="G93" s="4">
        <v>0</v>
      </c>
      <c r="H93" s="4" t="s">
        <v>1</v>
      </c>
      <c r="I93" s="3" t="s">
        <v>458</v>
      </c>
    </row>
    <row r="94" spans="1:9" ht="105" x14ac:dyDescent="0.25">
      <c r="A94" s="4">
        <v>42266</v>
      </c>
      <c r="B94" s="4" t="s">
        <v>5</v>
      </c>
      <c r="C94" s="4" t="s">
        <v>29</v>
      </c>
      <c r="D94" s="4" t="s">
        <v>28</v>
      </c>
      <c r="E94" s="4" t="s">
        <v>2</v>
      </c>
      <c r="F94" s="5">
        <v>42176.089050925926</v>
      </c>
      <c r="G94" s="4">
        <v>0</v>
      </c>
      <c r="H94" s="4" t="s">
        <v>1</v>
      </c>
      <c r="I94" s="3" t="s">
        <v>468</v>
      </c>
    </row>
    <row r="95" spans="1:9" ht="105" x14ac:dyDescent="0.25">
      <c r="A95" s="4">
        <v>42265</v>
      </c>
      <c r="B95" s="4" t="s">
        <v>5</v>
      </c>
      <c r="C95" s="4" t="s">
        <v>29</v>
      </c>
      <c r="D95" s="4" t="s">
        <v>28</v>
      </c>
      <c r="E95" s="4" t="s">
        <v>2</v>
      </c>
      <c r="F95" s="5">
        <v>42176.089039351849</v>
      </c>
      <c r="G95" s="4">
        <v>0</v>
      </c>
      <c r="H95" s="4" t="s">
        <v>1</v>
      </c>
      <c r="I95" s="3" t="s">
        <v>469</v>
      </c>
    </row>
    <row r="96" spans="1:9" ht="105" x14ac:dyDescent="0.25">
      <c r="A96" s="4">
        <v>42264</v>
      </c>
      <c r="B96" s="4" t="s">
        <v>5</v>
      </c>
      <c r="C96" s="4" t="s">
        <v>29</v>
      </c>
      <c r="D96" s="4" t="s">
        <v>28</v>
      </c>
      <c r="E96" s="4" t="s">
        <v>2</v>
      </c>
      <c r="F96" s="5">
        <v>42176.088217592594</v>
      </c>
      <c r="G96" s="4">
        <v>0</v>
      </c>
      <c r="H96" s="4" t="s">
        <v>1</v>
      </c>
      <c r="I96" s="3" t="s">
        <v>468</v>
      </c>
    </row>
    <row r="97" spans="1:9" ht="105" x14ac:dyDescent="0.25">
      <c r="A97" s="4">
        <v>42263</v>
      </c>
      <c r="B97" s="4" t="s">
        <v>5</v>
      </c>
      <c r="C97" s="4" t="s">
        <v>29</v>
      </c>
      <c r="D97" s="4" t="s">
        <v>28</v>
      </c>
      <c r="E97" s="4" t="s">
        <v>2</v>
      </c>
      <c r="F97" s="5">
        <v>42176.088206018518</v>
      </c>
      <c r="G97" s="4">
        <v>0</v>
      </c>
      <c r="H97" s="4" t="s">
        <v>1</v>
      </c>
      <c r="I97" s="3" t="s">
        <v>469</v>
      </c>
    </row>
    <row r="98" spans="1:9" ht="105" x14ac:dyDescent="0.25">
      <c r="A98" s="4">
        <v>42262</v>
      </c>
      <c r="B98" s="4" t="s">
        <v>5</v>
      </c>
      <c r="C98" s="4" t="s">
        <v>29</v>
      </c>
      <c r="D98" s="4" t="s">
        <v>28</v>
      </c>
      <c r="E98" s="4" t="s">
        <v>2</v>
      </c>
      <c r="F98" s="5">
        <v>42176.087407407409</v>
      </c>
      <c r="G98" s="4">
        <v>0</v>
      </c>
      <c r="H98" s="4" t="s">
        <v>1</v>
      </c>
      <c r="I98" s="3" t="s">
        <v>468</v>
      </c>
    </row>
    <row r="99" spans="1:9" ht="105" x14ac:dyDescent="0.25">
      <c r="A99" s="4">
        <v>42261</v>
      </c>
      <c r="B99" s="4" t="s">
        <v>5</v>
      </c>
      <c r="C99" s="4" t="s">
        <v>29</v>
      </c>
      <c r="D99" s="4" t="s">
        <v>28</v>
      </c>
      <c r="E99" s="4" t="s">
        <v>2</v>
      </c>
      <c r="F99" s="5">
        <v>42176.087395833332</v>
      </c>
      <c r="G99" s="4">
        <v>0</v>
      </c>
      <c r="H99" s="4" t="s">
        <v>1</v>
      </c>
      <c r="I99" s="3" t="s">
        <v>469</v>
      </c>
    </row>
    <row r="100" spans="1:9" ht="105" x14ac:dyDescent="0.25">
      <c r="A100" s="4">
        <v>42260</v>
      </c>
      <c r="B100" s="4" t="s">
        <v>5</v>
      </c>
      <c r="C100" s="4" t="s">
        <v>29</v>
      </c>
      <c r="D100" s="4" t="s">
        <v>28</v>
      </c>
      <c r="E100" s="4" t="s">
        <v>2</v>
      </c>
      <c r="F100" s="5">
        <v>42176.087152777778</v>
      </c>
      <c r="G100" s="4">
        <v>0</v>
      </c>
      <c r="H100" s="4" t="s">
        <v>1</v>
      </c>
      <c r="I100" s="3" t="s">
        <v>468</v>
      </c>
    </row>
    <row r="101" spans="1:9" ht="105" x14ac:dyDescent="0.25">
      <c r="A101" s="4">
        <v>42259</v>
      </c>
      <c r="B101" s="4" t="s">
        <v>5</v>
      </c>
      <c r="C101" s="4" t="s">
        <v>29</v>
      </c>
      <c r="D101" s="4" t="s">
        <v>28</v>
      </c>
      <c r="E101" s="4" t="s">
        <v>2</v>
      </c>
      <c r="F101" s="5">
        <v>42176.087141203701</v>
      </c>
      <c r="G101" s="4">
        <v>0</v>
      </c>
      <c r="H101" s="4" t="s">
        <v>1</v>
      </c>
      <c r="I101" s="3" t="s">
        <v>469</v>
      </c>
    </row>
    <row r="102" spans="1:9" ht="105" x14ac:dyDescent="0.25">
      <c r="A102" s="4">
        <v>42258</v>
      </c>
      <c r="B102" s="4" t="s">
        <v>5</v>
      </c>
      <c r="C102" s="4" t="s">
        <v>29</v>
      </c>
      <c r="D102" s="4" t="s">
        <v>28</v>
      </c>
      <c r="E102" s="4" t="s">
        <v>2</v>
      </c>
      <c r="F102" s="5">
        <v>42176.086562500001</v>
      </c>
      <c r="G102" s="4">
        <v>0</v>
      </c>
      <c r="H102" s="4" t="s">
        <v>1</v>
      </c>
      <c r="I102" s="3" t="s">
        <v>468</v>
      </c>
    </row>
    <row r="103" spans="1:9" ht="105" x14ac:dyDescent="0.25">
      <c r="A103" s="4">
        <v>42257</v>
      </c>
      <c r="B103" s="4" t="s">
        <v>5</v>
      </c>
      <c r="C103" s="4" t="s">
        <v>29</v>
      </c>
      <c r="D103" s="4" t="s">
        <v>28</v>
      </c>
      <c r="E103" s="4" t="s">
        <v>2</v>
      </c>
      <c r="F103" s="5">
        <v>42176.086550925924</v>
      </c>
      <c r="G103" s="4">
        <v>0</v>
      </c>
      <c r="H103" s="4" t="s">
        <v>1</v>
      </c>
      <c r="I103" s="3" t="s">
        <v>469</v>
      </c>
    </row>
    <row r="104" spans="1:9" ht="105" x14ac:dyDescent="0.25">
      <c r="A104" s="4">
        <v>42256</v>
      </c>
      <c r="B104" s="4" t="s">
        <v>5</v>
      </c>
      <c r="C104" s="4" t="s">
        <v>29</v>
      </c>
      <c r="D104" s="4" t="s">
        <v>28</v>
      </c>
      <c r="E104" s="4" t="s">
        <v>2</v>
      </c>
      <c r="F104" s="5">
        <v>42176.08625</v>
      </c>
      <c r="G104" s="4">
        <v>0</v>
      </c>
      <c r="H104" s="4" t="s">
        <v>1</v>
      </c>
      <c r="I104" s="3" t="s">
        <v>468</v>
      </c>
    </row>
    <row r="105" spans="1:9" ht="105" x14ac:dyDescent="0.25">
      <c r="A105" s="4">
        <v>42255</v>
      </c>
      <c r="B105" s="4" t="s">
        <v>5</v>
      </c>
      <c r="C105" s="4" t="s">
        <v>29</v>
      </c>
      <c r="D105" s="4" t="s">
        <v>28</v>
      </c>
      <c r="E105" s="4" t="s">
        <v>2</v>
      </c>
      <c r="F105" s="5">
        <v>42176.086238425924</v>
      </c>
      <c r="G105" s="4">
        <v>0</v>
      </c>
      <c r="H105" s="4" t="s">
        <v>1</v>
      </c>
      <c r="I105" s="3" t="s">
        <v>469</v>
      </c>
    </row>
    <row r="106" spans="1:9" ht="105" x14ac:dyDescent="0.25">
      <c r="A106" s="4">
        <v>42254</v>
      </c>
      <c r="B106" s="4" t="s">
        <v>5</v>
      </c>
      <c r="C106" s="4" t="s">
        <v>29</v>
      </c>
      <c r="D106" s="4" t="s">
        <v>28</v>
      </c>
      <c r="E106" s="4" t="s">
        <v>2</v>
      </c>
      <c r="F106" s="5">
        <v>42176.085844907408</v>
      </c>
      <c r="G106" s="4">
        <v>0</v>
      </c>
      <c r="H106" s="4" t="s">
        <v>1</v>
      </c>
      <c r="I106" s="3" t="s">
        <v>468</v>
      </c>
    </row>
    <row r="107" spans="1:9" ht="105" x14ac:dyDescent="0.25">
      <c r="A107" s="4">
        <v>42253</v>
      </c>
      <c r="B107" s="4" t="s">
        <v>5</v>
      </c>
      <c r="C107" s="4" t="s">
        <v>29</v>
      </c>
      <c r="D107" s="4" t="s">
        <v>28</v>
      </c>
      <c r="E107" s="4" t="s">
        <v>2</v>
      </c>
      <c r="F107" s="5">
        <v>42176.085844907408</v>
      </c>
      <c r="G107" s="4">
        <v>0</v>
      </c>
      <c r="H107" s="4" t="s">
        <v>1</v>
      </c>
      <c r="I107" s="3" t="s">
        <v>469</v>
      </c>
    </row>
    <row r="108" spans="1:9" ht="105" x14ac:dyDescent="0.25">
      <c r="A108" s="4">
        <v>42252</v>
      </c>
      <c r="B108" s="4" t="s">
        <v>5</v>
      </c>
      <c r="C108" s="4" t="s">
        <v>29</v>
      </c>
      <c r="D108" s="4" t="s">
        <v>28</v>
      </c>
      <c r="E108" s="4" t="s">
        <v>2</v>
      </c>
      <c r="F108" s="5">
        <v>42176.084340277775</v>
      </c>
      <c r="G108" s="4">
        <v>0</v>
      </c>
      <c r="H108" s="4" t="s">
        <v>1</v>
      </c>
      <c r="I108" s="3" t="s">
        <v>468</v>
      </c>
    </row>
    <row r="109" spans="1:9" ht="105" x14ac:dyDescent="0.25">
      <c r="A109" s="4">
        <v>42251</v>
      </c>
      <c r="B109" s="4" t="s">
        <v>5</v>
      </c>
      <c r="C109" s="4" t="s">
        <v>29</v>
      </c>
      <c r="D109" s="4" t="s">
        <v>28</v>
      </c>
      <c r="E109" s="4" t="s">
        <v>2</v>
      </c>
      <c r="F109" s="5">
        <v>42176.084328703706</v>
      </c>
      <c r="G109" s="4">
        <v>0</v>
      </c>
      <c r="H109" s="4" t="s">
        <v>1</v>
      </c>
      <c r="I109" s="3" t="s">
        <v>469</v>
      </c>
    </row>
    <row r="110" spans="1:9" ht="105" x14ac:dyDescent="0.25">
      <c r="A110" s="4">
        <v>42250</v>
      </c>
      <c r="B110" s="4" t="s">
        <v>5</v>
      </c>
      <c r="C110" s="4" t="s">
        <v>29</v>
      </c>
      <c r="D110" s="4" t="s">
        <v>28</v>
      </c>
      <c r="E110" s="4" t="s">
        <v>2</v>
      </c>
      <c r="F110" s="5">
        <v>42176.083414351851</v>
      </c>
      <c r="G110" s="4">
        <v>0</v>
      </c>
      <c r="H110" s="4" t="s">
        <v>1</v>
      </c>
      <c r="I110" s="3" t="s">
        <v>468</v>
      </c>
    </row>
    <row r="111" spans="1:9" ht="105" x14ac:dyDescent="0.25">
      <c r="A111" s="4">
        <v>42249</v>
      </c>
      <c r="B111" s="4" t="s">
        <v>5</v>
      </c>
      <c r="C111" s="4" t="s">
        <v>29</v>
      </c>
      <c r="D111" s="4" t="s">
        <v>28</v>
      </c>
      <c r="E111" s="4" t="s">
        <v>2</v>
      </c>
      <c r="F111" s="5">
        <v>42176.083402777775</v>
      </c>
      <c r="G111" s="4">
        <v>0</v>
      </c>
      <c r="H111" s="4" t="s">
        <v>1</v>
      </c>
      <c r="I111" s="3" t="s">
        <v>469</v>
      </c>
    </row>
    <row r="112" spans="1:9" ht="105" x14ac:dyDescent="0.25">
      <c r="A112" s="4">
        <v>42248</v>
      </c>
      <c r="B112" s="4" t="s">
        <v>5</v>
      </c>
      <c r="C112" s="4" t="s">
        <v>29</v>
      </c>
      <c r="D112" s="4" t="s">
        <v>28</v>
      </c>
      <c r="E112" s="4" t="s">
        <v>2</v>
      </c>
      <c r="F112" s="5">
        <v>42176.082754629628</v>
      </c>
      <c r="G112" s="4">
        <v>0</v>
      </c>
      <c r="H112" s="4" t="s">
        <v>1</v>
      </c>
      <c r="I112" s="3" t="s">
        <v>468</v>
      </c>
    </row>
    <row r="113" spans="1:9" ht="105" x14ac:dyDescent="0.25">
      <c r="A113" s="4">
        <v>42247</v>
      </c>
      <c r="B113" s="4" t="s">
        <v>5</v>
      </c>
      <c r="C113" s="4" t="s">
        <v>29</v>
      </c>
      <c r="D113" s="4" t="s">
        <v>28</v>
      </c>
      <c r="E113" s="4" t="s">
        <v>2</v>
      </c>
      <c r="F113" s="5">
        <v>42176.082743055558</v>
      </c>
      <c r="G113" s="4">
        <v>0</v>
      </c>
      <c r="H113" s="4" t="s">
        <v>1</v>
      </c>
      <c r="I113" s="3" t="s">
        <v>469</v>
      </c>
    </row>
    <row r="114" spans="1:9" x14ac:dyDescent="0.25">
      <c r="A114" s="4">
        <v>42246</v>
      </c>
      <c r="B114" s="4" t="s">
        <v>5</v>
      </c>
      <c r="C114" s="4" t="s">
        <v>18</v>
      </c>
      <c r="D114" s="4" t="s">
        <v>3</v>
      </c>
      <c r="E114" s="4" t="s">
        <v>2</v>
      </c>
      <c r="F114" s="5">
        <v>42176.077673611115</v>
      </c>
      <c r="G114" s="4">
        <v>0</v>
      </c>
      <c r="H114" s="4" t="s">
        <v>1</v>
      </c>
      <c r="I114" s="3" t="s">
        <v>17</v>
      </c>
    </row>
    <row r="115" spans="1:9" ht="60" x14ac:dyDescent="0.25">
      <c r="A115" s="4">
        <v>42245</v>
      </c>
      <c r="B115" s="4" t="s">
        <v>5</v>
      </c>
      <c r="C115" s="4" t="s">
        <v>22</v>
      </c>
      <c r="D115" s="4" t="s">
        <v>3</v>
      </c>
      <c r="E115" s="4" t="s">
        <v>2</v>
      </c>
      <c r="F115" s="5">
        <v>42176.063078703701</v>
      </c>
      <c r="G115" s="4">
        <v>1003</v>
      </c>
      <c r="H115" s="4" t="s">
        <v>1</v>
      </c>
      <c r="I115" s="3" t="s">
        <v>24</v>
      </c>
    </row>
    <row r="116" spans="1:9" ht="60" x14ac:dyDescent="0.25">
      <c r="A116" s="4">
        <v>42244</v>
      </c>
      <c r="B116" s="4" t="s">
        <v>5</v>
      </c>
      <c r="C116" s="4" t="s">
        <v>22</v>
      </c>
      <c r="D116" s="4" t="s">
        <v>3</v>
      </c>
      <c r="E116" s="4" t="s">
        <v>2</v>
      </c>
      <c r="F116" s="5">
        <v>42176.063078703701</v>
      </c>
      <c r="G116" s="4">
        <v>1003</v>
      </c>
      <c r="H116" s="4" t="s">
        <v>1</v>
      </c>
      <c r="I116" s="3" t="s">
        <v>23</v>
      </c>
    </row>
    <row r="117" spans="1:9" ht="409.5" x14ac:dyDescent="0.25">
      <c r="A117" s="4">
        <v>42243</v>
      </c>
      <c r="B117" s="4" t="s">
        <v>5</v>
      </c>
      <c r="C117" s="4" t="s">
        <v>22</v>
      </c>
      <c r="D117" s="4" t="s">
        <v>3</v>
      </c>
      <c r="E117" s="4" t="s">
        <v>2</v>
      </c>
      <c r="F117" s="5">
        <v>42176.063078703701</v>
      </c>
      <c r="G117" s="4">
        <v>1003</v>
      </c>
      <c r="H117" s="4" t="s">
        <v>1</v>
      </c>
      <c r="I117" s="3" t="s">
        <v>21</v>
      </c>
    </row>
    <row r="118" spans="1:9" ht="105" x14ac:dyDescent="0.25">
      <c r="A118" s="4">
        <v>42242</v>
      </c>
      <c r="B118" s="4" t="s">
        <v>5</v>
      </c>
      <c r="C118" s="4" t="s">
        <v>29</v>
      </c>
      <c r="D118" s="4" t="s">
        <v>28</v>
      </c>
      <c r="E118" s="4" t="s">
        <v>2</v>
      </c>
      <c r="F118" s="5">
        <v>42176.062071759261</v>
      </c>
      <c r="G118" s="4">
        <v>0</v>
      </c>
      <c r="H118" s="4" t="s">
        <v>1</v>
      </c>
      <c r="I118" s="3" t="s">
        <v>468</v>
      </c>
    </row>
    <row r="119" spans="1:9" ht="105" x14ac:dyDescent="0.25">
      <c r="A119" s="4">
        <v>42241</v>
      </c>
      <c r="B119" s="4" t="s">
        <v>5</v>
      </c>
      <c r="C119" s="4" t="s">
        <v>29</v>
      </c>
      <c r="D119" s="4" t="s">
        <v>28</v>
      </c>
      <c r="E119" s="4" t="s">
        <v>2</v>
      </c>
      <c r="F119" s="5">
        <v>42176.061701388891</v>
      </c>
      <c r="G119" s="4">
        <v>0</v>
      </c>
      <c r="H119" s="4" t="s">
        <v>1</v>
      </c>
      <c r="I119" s="3" t="s">
        <v>469</v>
      </c>
    </row>
    <row r="120" spans="1:9" ht="105" x14ac:dyDescent="0.25">
      <c r="A120" s="4">
        <v>42240</v>
      </c>
      <c r="B120" s="4" t="s">
        <v>5</v>
      </c>
      <c r="C120" s="4" t="s">
        <v>29</v>
      </c>
      <c r="D120" s="4" t="s">
        <v>28</v>
      </c>
      <c r="E120" s="4" t="s">
        <v>2</v>
      </c>
      <c r="F120" s="5">
        <v>42176.055162037039</v>
      </c>
      <c r="G120" s="4">
        <v>0</v>
      </c>
      <c r="H120" s="4" t="s">
        <v>1</v>
      </c>
      <c r="I120" s="3" t="s">
        <v>470</v>
      </c>
    </row>
    <row r="121" spans="1:9" ht="105" x14ac:dyDescent="0.25">
      <c r="A121" s="4">
        <v>42239</v>
      </c>
      <c r="B121" s="4" t="s">
        <v>5</v>
      </c>
      <c r="C121" s="4" t="s">
        <v>29</v>
      </c>
      <c r="D121" s="4" t="s">
        <v>28</v>
      </c>
      <c r="E121" s="4" t="s">
        <v>2</v>
      </c>
      <c r="F121" s="5">
        <v>42176.055138888885</v>
      </c>
      <c r="G121" s="4">
        <v>0</v>
      </c>
      <c r="H121" s="4" t="s">
        <v>1</v>
      </c>
      <c r="I121" s="3" t="s">
        <v>471</v>
      </c>
    </row>
    <row r="122" spans="1:9" ht="60" x14ac:dyDescent="0.25">
      <c r="A122" s="4">
        <v>42238</v>
      </c>
      <c r="B122" s="4" t="s">
        <v>5</v>
      </c>
      <c r="C122" s="4" t="s">
        <v>22</v>
      </c>
      <c r="D122" s="4" t="s">
        <v>3</v>
      </c>
      <c r="E122" s="4" t="s">
        <v>2</v>
      </c>
      <c r="F122" s="5">
        <v>42176.045798611114</v>
      </c>
      <c r="G122" s="4">
        <v>1003</v>
      </c>
      <c r="H122" s="4" t="s">
        <v>1</v>
      </c>
      <c r="I122" s="3" t="s">
        <v>24</v>
      </c>
    </row>
    <row r="123" spans="1:9" ht="60" x14ac:dyDescent="0.25">
      <c r="A123" s="4">
        <v>42237</v>
      </c>
      <c r="B123" s="4" t="s">
        <v>5</v>
      </c>
      <c r="C123" s="4" t="s">
        <v>22</v>
      </c>
      <c r="D123" s="4" t="s">
        <v>3</v>
      </c>
      <c r="E123" s="4" t="s">
        <v>2</v>
      </c>
      <c r="F123" s="5">
        <v>42176.045798611114</v>
      </c>
      <c r="G123" s="4">
        <v>1003</v>
      </c>
      <c r="H123" s="4" t="s">
        <v>1</v>
      </c>
      <c r="I123" s="3" t="s">
        <v>23</v>
      </c>
    </row>
    <row r="124" spans="1:9" ht="409.5" x14ac:dyDescent="0.25">
      <c r="A124" s="4">
        <v>42236</v>
      </c>
      <c r="B124" s="4" t="s">
        <v>5</v>
      </c>
      <c r="C124" s="4" t="s">
        <v>22</v>
      </c>
      <c r="D124" s="4" t="s">
        <v>3</v>
      </c>
      <c r="E124" s="4" t="s">
        <v>2</v>
      </c>
      <c r="F124" s="5">
        <v>42176.045798611114</v>
      </c>
      <c r="G124" s="4">
        <v>1003</v>
      </c>
      <c r="H124" s="4" t="s">
        <v>1</v>
      </c>
      <c r="I124" s="3" t="s">
        <v>21</v>
      </c>
    </row>
    <row r="125" spans="1:9" ht="105" x14ac:dyDescent="0.25">
      <c r="A125" s="4">
        <v>42235</v>
      </c>
      <c r="B125" s="4" t="s">
        <v>5</v>
      </c>
      <c r="C125" s="4" t="s">
        <v>29</v>
      </c>
      <c r="D125" s="4" t="s">
        <v>28</v>
      </c>
      <c r="E125" s="4" t="s">
        <v>2</v>
      </c>
      <c r="F125" s="5">
        <v>42176.038877314815</v>
      </c>
      <c r="G125" s="4">
        <v>0</v>
      </c>
      <c r="H125" s="4" t="s">
        <v>1</v>
      </c>
      <c r="I125" s="3" t="s">
        <v>470</v>
      </c>
    </row>
    <row r="126" spans="1:9" ht="105" x14ac:dyDescent="0.25">
      <c r="A126" s="4">
        <v>42234</v>
      </c>
      <c r="B126" s="4" t="s">
        <v>5</v>
      </c>
      <c r="C126" s="4" t="s">
        <v>29</v>
      </c>
      <c r="D126" s="4" t="s">
        <v>28</v>
      </c>
      <c r="E126" s="4" t="s">
        <v>2</v>
      </c>
      <c r="F126" s="5">
        <v>42176.037800925929</v>
      </c>
      <c r="G126" s="4">
        <v>0</v>
      </c>
      <c r="H126" s="4" t="s">
        <v>1</v>
      </c>
      <c r="I126" s="3" t="s">
        <v>471</v>
      </c>
    </row>
    <row r="127" spans="1:9" ht="105" x14ac:dyDescent="0.25">
      <c r="A127" s="4">
        <v>42233</v>
      </c>
      <c r="B127" s="4" t="s">
        <v>5</v>
      </c>
      <c r="C127" s="4" t="s">
        <v>29</v>
      </c>
      <c r="D127" s="4" t="s">
        <v>28</v>
      </c>
      <c r="E127" s="4" t="s">
        <v>2</v>
      </c>
      <c r="F127" s="5">
        <v>42176.011886574073</v>
      </c>
      <c r="G127" s="4">
        <v>0</v>
      </c>
      <c r="H127" s="4" t="s">
        <v>1</v>
      </c>
      <c r="I127" s="3" t="s">
        <v>470</v>
      </c>
    </row>
    <row r="128" spans="1:9" ht="105" x14ac:dyDescent="0.25">
      <c r="A128" s="4">
        <v>42232</v>
      </c>
      <c r="B128" s="4" t="s">
        <v>5</v>
      </c>
      <c r="C128" s="4" t="s">
        <v>29</v>
      </c>
      <c r="D128" s="4" t="s">
        <v>28</v>
      </c>
      <c r="E128" s="4" t="s">
        <v>2</v>
      </c>
      <c r="F128" s="5">
        <v>42176.011192129627</v>
      </c>
      <c r="G128" s="4">
        <v>0</v>
      </c>
      <c r="H128" s="4" t="s">
        <v>1</v>
      </c>
      <c r="I128" s="3" t="s">
        <v>471</v>
      </c>
    </row>
    <row r="129" spans="1:9" ht="105" x14ac:dyDescent="0.25">
      <c r="A129" s="4">
        <v>42231</v>
      </c>
      <c r="B129" s="4" t="s">
        <v>5</v>
      </c>
      <c r="C129" s="4" t="s">
        <v>29</v>
      </c>
      <c r="D129" s="4" t="s">
        <v>28</v>
      </c>
      <c r="E129" s="4" t="s">
        <v>2</v>
      </c>
      <c r="F129" s="5">
        <v>42176.005844907406</v>
      </c>
      <c r="G129" s="4">
        <v>0</v>
      </c>
      <c r="H129" s="4" t="s">
        <v>1</v>
      </c>
      <c r="I129" s="3" t="s">
        <v>470</v>
      </c>
    </row>
    <row r="130" spans="1:9" ht="105" x14ac:dyDescent="0.25">
      <c r="A130" s="4">
        <v>42230</v>
      </c>
      <c r="B130" s="4" t="s">
        <v>5</v>
      </c>
      <c r="C130" s="4" t="s">
        <v>29</v>
      </c>
      <c r="D130" s="4" t="s">
        <v>28</v>
      </c>
      <c r="E130" s="4" t="s">
        <v>2</v>
      </c>
      <c r="F130" s="5">
        <v>42176.005740740744</v>
      </c>
      <c r="G130" s="4">
        <v>0</v>
      </c>
      <c r="H130" s="4" t="s">
        <v>1</v>
      </c>
      <c r="I130" s="3" t="s">
        <v>471</v>
      </c>
    </row>
    <row r="131" spans="1:9" ht="105" x14ac:dyDescent="0.25">
      <c r="A131" s="4">
        <v>42229</v>
      </c>
      <c r="B131" s="4" t="s">
        <v>5</v>
      </c>
      <c r="C131" s="4" t="s">
        <v>29</v>
      </c>
      <c r="D131" s="4" t="s">
        <v>28</v>
      </c>
      <c r="E131" s="4" t="s">
        <v>2</v>
      </c>
      <c r="F131" s="5">
        <v>42176.004050925927</v>
      </c>
      <c r="G131" s="4">
        <v>0</v>
      </c>
      <c r="H131" s="4" t="s">
        <v>1</v>
      </c>
      <c r="I131" s="3" t="s">
        <v>470</v>
      </c>
    </row>
    <row r="132" spans="1:9" ht="105" x14ac:dyDescent="0.25">
      <c r="A132" s="4">
        <v>42228</v>
      </c>
      <c r="B132" s="4" t="s">
        <v>5</v>
      </c>
      <c r="C132" s="4" t="s">
        <v>29</v>
      </c>
      <c r="D132" s="4" t="s">
        <v>28</v>
      </c>
      <c r="E132" s="4" t="s">
        <v>2</v>
      </c>
      <c r="F132" s="5">
        <v>42176.00371527778</v>
      </c>
      <c r="G132" s="4">
        <v>0</v>
      </c>
      <c r="H132" s="4" t="s">
        <v>1</v>
      </c>
      <c r="I132" s="3" t="s">
        <v>471</v>
      </c>
    </row>
    <row r="133" spans="1:9" ht="105" x14ac:dyDescent="0.25">
      <c r="A133" s="4">
        <v>42227</v>
      </c>
      <c r="B133" s="4" t="s">
        <v>5</v>
      </c>
      <c r="C133" s="4" t="s">
        <v>29</v>
      </c>
      <c r="D133" s="4" t="s">
        <v>28</v>
      </c>
      <c r="E133" s="4" t="s">
        <v>2</v>
      </c>
      <c r="F133" s="5">
        <v>42176.000914351855</v>
      </c>
      <c r="G133" s="4">
        <v>0</v>
      </c>
      <c r="H133" s="4" t="s">
        <v>1</v>
      </c>
      <c r="I133" s="3" t="s">
        <v>470</v>
      </c>
    </row>
    <row r="134" spans="1:9" ht="105" x14ac:dyDescent="0.25">
      <c r="A134" s="4">
        <v>42226</v>
      </c>
      <c r="B134" s="4" t="s">
        <v>5</v>
      </c>
      <c r="C134" s="4" t="s">
        <v>29</v>
      </c>
      <c r="D134" s="4" t="s">
        <v>28</v>
      </c>
      <c r="E134" s="4" t="s">
        <v>2</v>
      </c>
      <c r="F134" s="5">
        <v>42176.000555555554</v>
      </c>
      <c r="G134" s="4">
        <v>0</v>
      </c>
      <c r="H134" s="4" t="s">
        <v>1</v>
      </c>
      <c r="I134" s="3" t="s">
        <v>471</v>
      </c>
    </row>
    <row r="135" spans="1:9" ht="105" x14ac:dyDescent="0.25">
      <c r="A135" s="4">
        <v>42225</v>
      </c>
      <c r="B135" s="4" t="s">
        <v>5</v>
      </c>
      <c r="C135" s="4" t="s">
        <v>29</v>
      </c>
      <c r="D135" s="4" t="s">
        <v>28</v>
      </c>
      <c r="E135" s="4" t="s">
        <v>2</v>
      </c>
      <c r="F135" s="5">
        <v>42175.999710648146</v>
      </c>
      <c r="G135" s="4">
        <v>0</v>
      </c>
      <c r="H135" s="4" t="s">
        <v>1</v>
      </c>
      <c r="I135" s="3" t="s">
        <v>470</v>
      </c>
    </row>
    <row r="136" spans="1:9" ht="105" x14ac:dyDescent="0.25">
      <c r="A136" s="4">
        <v>42224</v>
      </c>
      <c r="B136" s="4" t="s">
        <v>5</v>
      </c>
      <c r="C136" s="4" t="s">
        <v>29</v>
      </c>
      <c r="D136" s="4" t="s">
        <v>28</v>
      </c>
      <c r="E136" s="4" t="s">
        <v>2</v>
      </c>
      <c r="F136" s="5">
        <v>42175.998553240737</v>
      </c>
      <c r="G136" s="4">
        <v>0</v>
      </c>
      <c r="H136" s="4" t="s">
        <v>1</v>
      </c>
      <c r="I136" s="3" t="s">
        <v>471</v>
      </c>
    </row>
    <row r="137" spans="1:9" ht="105" x14ac:dyDescent="0.25">
      <c r="A137" s="4">
        <v>42223</v>
      </c>
      <c r="B137" s="4" t="s">
        <v>5</v>
      </c>
      <c r="C137" s="4" t="s">
        <v>29</v>
      </c>
      <c r="D137" s="4" t="s">
        <v>28</v>
      </c>
      <c r="E137" s="4" t="s">
        <v>2</v>
      </c>
      <c r="F137" s="5">
        <v>42175.992997685185</v>
      </c>
      <c r="G137" s="4">
        <v>0</v>
      </c>
      <c r="H137" s="4" t="s">
        <v>1</v>
      </c>
      <c r="I137" s="3" t="s">
        <v>470</v>
      </c>
    </row>
    <row r="138" spans="1:9" ht="105" x14ac:dyDescent="0.25">
      <c r="A138" s="4">
        <v>42222</v>
      </c>
      <c r="B138" s="4" t="s">
        <v>5</v>
      </c>
      <c r="C138" s="4" t="s">
        <v>29</v>
      </c>
      <c r="D138" s="4" t="s">
        <v>28</v>
      </c>
      <c r="E138" s="4" t="s">
        <v>2</v>
      </c>
      <c r="F138" s="5">
        <v>42175.992685185185</v>
      </c>
      <c r="G138" s="4">
        <v>0</v>
      </c>
      <c r="H138" s="4" t="s">
        <v>1</v>
      </c>
      <c r="I138" s="3" t="s">
        <v>471</v>
      </c>
    </row>
    <row r="139" spans="1:9" ht="105" x14ac:dyDescent="0.25">
      <c r="A139" s="4">
        <v>42221</v>
      </c>
      <c r="B139" s="4" t="s">
        <v>5</v>
      </c>
      <c r="C139" s="4" t="s">
        <v>29</v>
      </c>
      <c r="D139" s="4" t="s">
        <v>28</v>
      </c>
      <c r="E139" s="4" t="s">
        <v>2</v>
      </c>
      <c r="F139" s="5">
        <v>42175.982627314814</v>
      </c>
      <c r="G139" s="4">
        <v>0</v>
      </c>
      <c r="H139" s="4" t="s">
        <v>1</v>
      </c>
      <c r="I139" s="3" t="s">
        <v>471</v>
      </c>
    </row>
    <row r="140" spans="1:9" ht="105" x14ac:dyDescent="0.25">
      <c r="A140" s="4">
        <v>42220</v>
      </c>
      <c r="B140" s="4" t="s">
        <v>5</v>
      </c>
      <c r="C140" s="4" t="s">
        <v>29</v>
      </c>
      <c r="D140" s="4" t="s">
        <v>28</v>
      </c>
      <c r="E140" s="4" t="s">
        <v>2</v>
      </c>
      <c r="F140" s="5">
        <v>42175.981134259258</v>
      </c>
      <c r="G140" s="4">
        <v>0</v>
      </c>
      <c r="H140" s="4" t="s">
        <v>1</v>
      </c>
      <c r="I140" s="3" t="s">
        <v>470</v>
      </c>
    </row>
    <row r="141" spans="1:9" ht="105" x14ac:dyDescent="0.25">
      <c r="A141" s="4">
        <v>42219</v>
      </c>
      <c r="B141" s="4" t="s">
        <v>5</v>
      </c>
      <c r="C141" s="4" t="s">
        <v>29</v>
      </c>
      <c r="D141" s="4" t="s">
        <v>28</v>
      </c>
      <c r="E141" s="4" t="s">
        <v>2</v>
      </c>
      <c r="F141" s="5">
        <v>42175.980081018519</v>
      </c>
      <c r="G141" s="4">
        <v>0</v>
      </c>
      <c r="H141" s="4" t="s">
        <v>1</v>
      </c>
      <c r="I141" s="3" t="s">
        <v>471</v>
      </c>
    </row>
    <row r="142" spans="1:9" ht="105" x14ac:dyDescent="0.25">
      <c r="A142" s="4">
        <v>42218</v>
      </c>
      <c r="B142" s="4" t="s">
        <v>5</v>
      </c>
      <c r="C142" s="4" t="s">
        <v>29</v>
      </c>
      <c r="D142" s="4" t="s">
        <v>28</v>
      </c>
      <c r="E142" s="4" t="s">
        <v>2</v>
      </c>
      <c r="F142" s="5">
        <v>42175.977384259262</v>
      </c>
      <c r="G142" s="4">
        <v>0</v>
      </c>
      <c r="H142" s="4" t="s">
        <v>1</v>
      </c>
      <c r="I142" s="3" t="s">
        <v>470</v>
      </c>
    </row>
    <row r="143" spans="1:9" ht="105" x14ac:dyDescent="0.25">
      <c r="A143" s="4">
        <v>42217</v>
      </c>
      <c r="B143" s="4" t="s">
        <v>5</v>
      </c>
      <c r="C143" s="4" t="s">
        <v>29</v>
      </c>
      <c r="D143" s="4" t="s">
        <v>28</v>
      </c>
      <c r="E143" s="4" t="s">
        <v>2</v>
      </c>
      <c r="F143" s="5">
        <v>42175.977372685185</v>
      </c>
      <c r="G143" s="4">
        <v>0</v>
      </c>
      <c r="H143" s="4" t="s">
        <v>1</v>
      </c>
      <c r="I143" s="3" t="s">
        <v>471</v>
      </c>
    </row>
    <row r="144" spans="1:9" ht="105" x14ac:dyDescent="0.25">
      <c r="A144" s="4">
        <v>42216</v>
      </c>
      <c r="B144" s="4" t="s">
        <v>5</v>
      </c>
      <c r="C144" s="4" t="s">
        <v>29</v>
      </c>
      <c r="D144" s="4" t="s">
        <v>28</v>
      </c>
      <c r="E144" s="4" t="s">
        <v>2</v>
      </c>
      <c r="F144" s="5">
        <v>42175.967499999999</v>
      </c>
      <c r="G144" s="4">
        <v>0</v>
      </c>
      <c r="H144" s="4" t="s">
        <v>1</v>
      </c>
      <c r="I144" s="3" t="s">
        <v>468</v>
      </c>
    </row>
    <row r="145" spans="1:9" ht="105" x14ac:dyDescent="0.25">
      <c r="A145" s="4">
        <v>42215</v>
      </c>
      <c r="B145" s="4" t="s">
        <v>5</v>
      </c>
      <c r="C145" s="4" t="s">
        <v>29</v>
      </c>
      <c r="D145" s="4" t="s">
        <v>28</v>
      </c>
      <c r="E145" s="4" t="s">
        <v>2</v>
      </c>
      <c r="F145" s="5">
        <v>42175.967245370368</v>
      </c>
      <c r="G145" s="4">
        <v>0</v>
      </c>
      <c r="H145" s="4" t="s">
        <v>1</v>
      </c>
      <c r="I145" s="3" t="s">
        <v>469</v>
      </c>
    </row>
    <row r="146" spans="1:9" ht="135" x14ac:dyDescent="0.25">
      <c r="A146" s="4">
        <v>42214</v>
      </c>
      <c r="B146" s="4" t="s">
        <v>5</v>
      </c>
      <c r="C146" s="4" t="s">
        <v>29</v>
      </c>
      <c r="D146" s="4" t="s">
        <v>28</v>
      </c>
      <c r="E146" s="4" t="s">
        <v>2</v>
      </c>
      <c r="F146" s="5">
        <v>42175.896296296298</v>
      </c>
      <c r="G146" s="4">
        <v>0</v>
      </c>
      <c r="H146" s="4" t="s">
        <v>1</v>
      </c>
      <c r="I146" s="3" t="s">
        <v>158</v>
      </c>
    </row>
    <row r="147" spans="1:9" ht="105" x14ac:dyDescent="0.25">
      <c r="A147" s="4">
        <v>42213</v>
      </c>
      <c r="B147" s="4" t="s">
        <v>5</v>
      </c>
      <c r="C147" s="4" t="s">
        <v>29</v>
      </c>
      <c r="D147" s="4" t="s">
        <v>28</v>
      </c>
      <c r="E147" s="4" t="s">
        <v>2</v>
      </c>
      <c r="F147" s="5">
        <v>42175.890740740739</v>
      </c>
      <c r="G147" s="4">
        <v>0</v>
      </c>
      <c r="H147" s="4" t="s">
        <v>1</v>
      </c>
      <c r="I147" s="3" t="s">
        <v>472</v>
      </c>
    </row>
    <row r="148" spans="1:9" ht="105" x14ac:dyDescent="0.25">
      <c r="A148" s="4">
        <v>42212</v>
      </c>
      <c r="B148" s="4" t="s">
        <v>5</v>
      </c>
      <c r="C148" s="4" t="s">
        <v>29</v>
      </c>
      <c r="D148" s="4" t="s">
        <v>28</v>
      </c>
      <c r="E148" s="4" t="s">
        <v>2</v>
      </c>
      <c r="F148" s="5">
        <v>42175.890729166669</v>
      </c>
      <c r="G148" s="4">
        <v>0</v>
      </c>
      <c r="H148" s="4" t="s">
        <v>1</v>
      </c>
      <c r="I148" s="3" t="s">
        <v>473</v>
      </c>
    </row>
    <row r="149" spans="1:9" x14ac:dyDescent="0.25">
      <c r="A149" s="4">
        <v>42211</v>
      </c>
      <c r="B149" s="4" t="s">
        <v>5</v>
      </c>
      <c r="C149" s="4" t="s">
        <v>18</v>
      </c>
      <c r="D149" s="4" t="s">
        <v>3</v>
      </c>
      <c r="E149" s="4" t="s">
        <v>2</v>
      </c>
      <c r="F149" s="5">
        <v>42175.868993055556</v>
      </c>
      <c r="G149" s="4">
        <v>0</v>
      </c>
      <c r="H149" s="4" t="s">
        <v>1</v>
      </c>
      <c r="I149" s="3" t="s">
        <v>17</v>
      </c>
    </row>
    <row r="150" spans="1:9" ht="105" x14ac:dyDescent="0.25">
      <c r="A150" s="4">
        <v>42210</v>
      </c>
      <c r="B150" s="4" t="s">
        <v>5</v>
      </c>
      <c r="C150" s="4" t="s">
        <v>29</v>
      </c>
      <c r="D150" s="4" t="s">
        <v>28</v>
      </c>
      <c r="E150" s="4" t="s">
        <v>2</v>
      </c>
      <c r="F150" s="5">
        <v>42175.74759259259</v>
      </c>
      <c r="G150" s="4">
        <v>0</v>
      </c>
      <c r="H150" s="4" t="s">
        <v>1</v>
      </c>
      <c r="I150" s="3" t="s">
        <v>472</v>
      </c>
    </row>
    <row r="151" spans="1:9" ht="105" x14ac:dyDescent="0.25">
      <c r="A151" s="4">
        <v>42209</v>
      </c>
      <c r="B151" s="4" t="s">
        <v>5</v>
      </c>
      <c r="C151" s="4" t="s">
        <v>29</v>
      </c>
      <c r="D151" s="4" t="s">
        <v>28</v>
      </c>
      <c r="E151" s="4" t="s">
        <v>2</v>
      </c>
      <c r="F151" s="5">
        <v>42175.74428240741</v>
      </c>
      <c r="G151" s="4">
        <v>0</v>
      </c>
      <c r="H151" s="4" t="s">
        <v>1</v>
      </c>
      <c r="I151" s="3" t="s">
        <v>473</v>
      </c>
    </row>
    <row r="152" spans="1:9" x14ac:dyDescent="0.25">
      <c r="A152" s="4">
        <v>42208</v>
      </c>
      <c r="B152" s="4" t="s">
        <v>5</v>
      </c>
      <c r="C152" s="4" t="s">
        <v>18</v>
      </c>
      <c r="D152" s="4" t="s">
        <v>3</v>
      </c>
      <c r="E152" s="4" t="s">
        <v>2</v>
      </c>
      <c r="F152" s="5">
        <v>42175.660486111112</v>
      </c>
      <c r="G152" s="4">
        <v>0</v>
      </c>
      <c r="H152" s="4" t="s">
        <v>1</v>
      </c>
      <c r="I152" s="3" t="s">
        <v>17</v>
      </c>
    </row>
    <row r="153" spans="1:9" x14ac:dyDescent="0.25">
      <c r="A153" s="4">
        <v>42207</v>
      </c>
      <c r="B153" s="4" t="s">
        <v>5</v>
      </c>
      <c r="C153" s="4" t="s">
        <v>10</v>
      </c>
      <c r="D153" s="4" t="s">
        <v>7</v>
      </c>
      <c r="E153" s="4" t="s">
        <v>2</v>
      </c>
      <c r="F153" s="5">
        <v>42175.527662037035</v>
      </c>
      <c r="G153" s="4">
        <v>903</v>
      </c>
      <c r="H153" s="4" t="s">
        <v>1</v>
      </c>
      <c r="I153" s="3" t="s">
        <v>14</v>
      </c>
    </row>
    <row r="154" spans="1:9" x14ac:dyDescent="0.25">
      <c r="A154" s="4">
        <v>42206</v>
      </c>
      <c r="B154" s="4" t="s">
        <v>5</v>
      </c>
      <c r="C154" s="4" t="s">
        <v>10</v>
      </c>
      <c r="D154" s="4" t="s">
        <v>7</v>
      </c>
      <c r="E154" s="4" t="s">
        <v>2</v>
      </c>
      <c r="F154" s="5">
        <v>42175.524189814816</v>
      </c>
      <c r="G154" s="4">
        <v>902</v>
      </c>
      <c r="H154" s="4" t="s">
        <v>1</v>
      </c>
      <c r="I154" s="3" t="s">
        <v>13</v>
      </c>
    </row>
    <row r="155" spans="1:9" ht="409.5" x14ac:dyDescent="0.25">
      <c r="A155" s="4">
        <v>42205</v>
      </c>
      <c r="B155" s="4" t="s">
        <v>5</v>
      </c>
      <c r="C155" s="4" t="s">
        <v>10</v>
      </c>
      <c r="D155" s="4" t="s">
        <v>3</v>
      </c>
      <c r="E155" s="4" t="s">
        <v>2</v>
      </c>
      <c r="F155" s="5">
        <v>42175.524189814816</v>
      </c>
      <c r="G155" s="4">
        <v>1003</v>
      </c>
      <c r="H155" s="4" t="s">
        <v>1</v>
      </c>
      <c r="I155" s="3" t="s">
        <v>12</v>
      </c>
    </row>
    <row r="156" spans="1:9" ht="135" x14ac:dyDescent="0.25">
      <c r="A156" s="4">
        <v>42204</v>
      </c>
      <c r="B156" s="4" t="s">
        <v>5</v>
      </c>
      <c r="C156" s="4" t="s">
        <v>10</v>
      </c>
      <c r="D156" s="4" t="s">
        <v>3</v>
      </c>
      <c r="E156" s="4" t="s">
        <v>2</v>
      </c>
      <c r="F156" s="5">
        <v>42175.524189814816</v>
      </c>
      <c r="G156" s="4">
        <v>1066</v>
      </c>
      <c r="H156" s="4" t="s">
        <v>1</v>
      </c>
      <c r="I156" s="3" t="s">
        <v>11</v>
      </c>
    </row>
    <row r="157" spans="1:9" x14ac:dyDescent="0.25">
      <c r="A157" s="4">
        <v>42203</v>
      </c>
      <c r="B157" s="4" t="s">
        <v>5</v>
      </c>
      <c r="C157" s="4" t="s">
        <v>10</v>
      </c>
      <c r="D157" s="4" t="s">
        <v>3</v>
      </c>
      <c r="E157" s="4" t="s">
        <v>2</v>
      </c>
      <c r="F157" s="5">
        <v>42175.524189814816</v>
      </c>
      <c r="G157" s="4">
        <v>900</v>
      </c>
      <c r="H157" s="4" t="s">
        <v>1</v>
      </c>
      <c r="I157" s="3" t="s">
        <v>9</v>
      </c>
    </row>
    <row r="158" spans="1:9" ht="60" x14ac:dyDescent="0.25">
      <c r="A158" s="4">
        <v>42202</v>
      </c>
      <c r="B158" s="4" t="s">
        <v>5</v>
      </c>
      <c r="C158" s="4" t="s">
        <v>22</v>
      </c>
      <c r="D158" s="4" t="s">
        <v>3</v>
      </c>
      <c r="E158" s="4" t="s">
        <v>2</v>
      </c>
      <c r="F158" s="5">
        <v>42175.506828703707</v>
      </c>
      <c r="G158" s="4">
        <v>1003</v>
      </c>
      <c r="H158" s="4" t="s">
        <v>1</v>
      </c>
      <c r="I158" s="3" t="s">
        <v>24</v>
      </c>
    </row>
    <row r="159" spans="1:9" ht="60" x14ac:dyDescent="0.25">
      <c r="A159" s="4">
        <v>42201</v>
      </c>
      <c r="B159" s="4" t="s">
        <v>5</v>
      </c>
      <c r="C159" s="4" t="s">
        <v>22</v>
      </c>
      <c r="D159" s="4" t="s">
        <v>3</v>
      </c>
      <c r="E159" s="4" t="s">
        <v>2</v>
      </c>
      <c r="F159" s="5">
        <v>42175.506828703707</v>
      </c>
      <c r="G159" s="4">
        <v>1003</v>
      </c>
      <c r="H159" s="4" t="s">
        <v>1</v>
      </c>
      <c r="I159" s="3" t="s">
        <v>23</v>
      </c>
    </row>
    <row r="160" spans="1:9" ht="409.5" x14ac:dyDescent="0.25">
      <c r="A160" s="4">
        <v>42200</v>
      </c>
      <c r="B160" s="4" t="s">
        <v>5</v>
      </c>
      <c r="C160" s="4" t="s">
        <v>22</v>
      </c>
      <c r="D160" s="4" t="s">
        <v>3</v>
      </c>
      <c r="E160" s="4" t="s">
        <v>2</v>
      </c>
      <c r="F160" s="5">
        <v>42175.506828703707</v>
      </c>
      <c r="G160" s="4">
        <v>1003</v>
      </c>
      <c r="H160" s="4" t="s">
        <v>1</v>
      </c>
      <c r="I160" s="3" t="s">
        <v>21</v>
      </c>
    </row>
    <row r="161" spans="1:9" ht="60" x14ac:dyDescent="0.25">
      <c r="A161" s="4">
        <v>42199</v>
      </c>
      <c r="B161" s="4" t="s">
        <v>5</v>
      </c>
      <c r="C161" s="4" t="s">
        <v>22</v>
      </c>
      <c r="D161" s="4" t="s">
        <v>3</v>
      </c>
      <c r="E161" s="4" t="s">
        <v>2</v>
      </c>
      <c r="F161" s="5">
        <v>42175.501180555555</v>
      </c>
      <c r="G161" s="4">
        <v>1003</v>
      </c>
      <c r="H161" s="4" t="s">
        <v>1</v>
      </c>
      <c r="I161" s="3" t="s">
        <v>24</v>
      </c>
    </row>
    <row r="162" spans="1:9" ht="60" x14ac:dyDescent="0.25">
      <c r="A162" s="4">
        <v>42198</v>
      </c>
      <c r="B162" s="4" t="s">
        <v>5</v>
      </c>
      <c r="C162" s="4" t="s">
        <v>22</v>
      </c>
      <c r="D162" s="4" t="s">
        <v>3</v>
      </c>
      <c r="E162" s="4" t="s">
        <v>2</v>
      </c>
      <c r="F162" s="5">
        <v>42175.501180555555</v>
      </c>
      <c r="G162" s="4">
        <v>1003</v>
      </c>
      <c r="H162" s="4" t="s">
        <v>1</v>
      </c>
      <c r="I162" s="3" t="s">
        <v>23</v>
      </c>
    </row>
    <row r="163" spans="1:9" ht="409.5" x14ac:dyDescent="0.25">
      <c r="A163" s="4">
        <v>42197</v>
      </c>
      <c r="B163" s="4" t="s">
        <v>5</v>
      </c>
      <c r="C163" s="4" t="s">
        <v>22</v>
      </c>
      <c r="D163" s="4" t="s">
        <v>3</v>
      </c>
      <c r="E163" s="4" t="s">
        <v>2</v>
      </c>
      <c r="F163" s="5">
        <v>42175.501180555555</v>
      </c>
      <c r="G163" s="4">
        <v>1003</v>
      </c>
      <c r="H163" s="4" t="s">
        <v>1</v>
      </c>
      <c r="I163" s="3" t="s">
        <v>21</v>
      </c>
    </row>
    <row r="164" spans="1:9" x14ac:dyDescent="0.25">
      <c r="A164" s="4">
        <v>42196</v>
      </c>
      <c r="B164" s="4" t="s">
        <v>5</v>
      </c>
      <c r="C164" s="4" t="s">
        <v>18</v>
      </c>
      <c r="D164" s="4" t="s">
        <v>3</v>
      </c>
      <c r="E164" s="4" t="s">
        <v>2</v>
      </c>
      <c r="F164" s="5">
        <v>42175.452384259261</v>
      </c>
      <c r="G164" s="4">
        <v>0</v>
      </c>
      <c r="H164" s="4" t="s">
        <v>1</v>
      </c>
      <c r="I164" s="3" t="s">
        <v>17</v>
      </c>
    </row>
    <row r="165" spans="1:9" x14ac:dyDescent="0.25">
      <c r="A165" s="4">
        <v>42195</v>
      </c>
      <c r="B165" s="4" t="s">
        <v>5</v>
      </c>
      <c r="C165" s="4" t="s">
        <v>10</v>
      </c>
      <c r="D165" s="4" t="s">
        <v>7</v>
      </c>
      <c r="E165" s="4" t="s">
        <v>2</v>
      </c>
      <c r="F165" s="5">
        <v>42175.220578703702</v>
      </c>
      <c r="G165" s="4">
        <v>903</v>
      </c>
      <c r="H165" s="4" t="s">
        <v>1</v>
      </c>
      <c r="I165" s="3" t="s">
        <v>14</v>
      </c>
    </row>
    <row r="166" spans="1:9" x14ac:dyDescent="0.25">
      <c r="A166" s="4">
        <v>42194</v>
      </c>
      <c r="B166" s="4" t="s">
        <v>5</v>
      </c>
      <c r="C166" s="4" t="s">
        <v>10</v>
      </c>
      <c r="D166" s="4" t="s">
        <v>7</v>
      </c>
      <c r="E166" s="4" t="s">
        <v>2</v>
      </c>
      <c r="F166" s="5">
        <v>42175.217106481483</v>
      </c>
      <c r="G166" s="4">
        <v>902</v>
      </c>
      <c r="H166" s="4" t="s">
        <v>1</v>
      </c>
      <c r="I166" s="3" t="s">
        <v>13</v>
      </c>
    </row>
    <row r="167" spans="1:9" ht="409.5" x14ac:dyDescent="0.25">
      <c r="A167" s="4">
        <v>42193</v>
      </c>
      <c r="B167" s="4" t="s">
        <v>5</v>
      </c>
      <c r="C167" s="4" t="s">
        <v>10</v>
      </c>
      <c r="D167" s="4" t="s">
        <v>3</v>
      </c>
      <c r="E167" s="4" t="s">
        <v>2</v>
      </c>
      <c r="F167" s="5">
        <v>42175.217106481483</v>
      </c>
      <c r="G167" s="4">
        <v>1003</v>
      </c>
      <c r="H167" s="4" t="s">
        <v>1</v>
      </c>
      <c r="I167" s="3" t="s">
        <v>12</v>
      </c>
    </row>
    <row r="168" spans="1:9" ht="135" x14ac:dyDescent="0.25">
      <c r="A168" s="4">
        <v>42192</v>
      </c>
      <c r="B168" s="4" t="s">
        <v>5</v>
      </c>
      <c r="C168" s="4" t="s">
        <v>10</v>
      </c>
      <c r="D168" s="4" t="s">
        <v>3</v>
      </c>
      <c r="E168" s="4" t="s">
        <v>2</v>
      </c>
      <c r="F168" s="5">
        <v>42175.217106481483</v>
      </c>
      <c r="G168" s="4">
        <v>1066</v>
      </c>
      <c r="H168" s="4" t="s">
        <v>1</v>
      </c>
      <c r="I168" s="3" t="s">
        <v>11</v>
      </c>
    </row>
    <row r="169" spans="1:9" x14ac:dyDescent="0.25">
      <c r="A169" s="4">
        <v>42191</v>
      </c>
      <c r="B169" s="4" t="s">
        <v>5</v>
      </c>
      <c r="C169" s="4" t="s">
        <v>10</v>
      </c>
      <c r="D169" s="4" t="s">
        <v>3</v>
      </c>
      <c r="E169" s="4" t="s">
        <v>2</v>
      </c>
      <c r="F169" s="5">
        <v>42175.217106481483</v>
      </c>
      <c r="G169" s="4">
        <v>900</v>
      </c>
      <c r="H169" s="4" t="s">
        <v>1</v>
      </c>
      <c r="I169" s="3" t="s">
        <v>9</v>
      </c>
    </row>
    <row r="170" spans="1:9" x14ac:dyDescent="0.25">
      <c r="A170" s="4">
        <v>42190</v>
      </c>
      <c r="B170" s="4" t="s">
        <v>5</v>
      </c>
      <c r="C170" s="4" t="s">
        <v>18</v>
      </c>
      <c r="D170" s="4" t="s">
        <v>3</v>
      </c>
      <c r="E170" s="4" t="s">
        <v>2</v>
      </c>
      <c r="F170" s="5">
        <v>42175.202881944446</v>
      </c>
      <c r="G170" s="4">
        <v>0</v>
      </c>
      <c r="H170" s="4" t="s">
        <v>1</v>
      </c>
      <c r="I170" s="3" t="s">
        <v>17</v>
      </c>
    </row>
    <row r="171" spans="1:9" x14ac:dyDescent="0.25">
      <c r="A171" s="4">
        <v>42189</v>
      </c>
      <c r="B171" s="4" t="s">
        <v>5</v>
      </c>
      <c r="C171" s="4" t="s">
        <v>4</v>
      </c>
      <c r="D171" s="4" t="s">
        <v>3</v>
      </c>
      <c r="E171" s="4" t="s">
        <v>2</v>
      </c>
      <c r="F171" s="5">
        <v>42175.13590277778</v>
      </c>
      <c r="G171" s="4">
        <v>8224</v>
      </c>
      <c r="H171" s="4" t="s">
        <v>1</v>
      </c>
      <c r="I171" s="3" t="s">
        <v>0</v>
      </c>
    </row>
    <row r="172" spans="1:9" x14ac:dyDescent="0.25">
      <c r="A172" s="4">
        <v>42188</v>
      </c>
      <c r="B172" s="4" t="s">
        <v>5</v>
      </c>
      <c r="C172" s="4" t="s">
        <v>10</v>
      </c>
      <c r="D172" s="4" t="s">
        <v>7</v>
      </c>
      <c r="E172" s="4" t="s">
        <v>2</v>
      </c>
      <c r="F172" s="5">
        <v>42175.027997685182</v>
      </c>
      <c r="G172" s="4">
        <v>903</v>
      </c>
      <c r="H172" s="4" t="s">
        <v>1</v>
      </c>
      <c r="I172" s="3" t="s">
        <v>14</v>
      </c>
    </row>
    <row r="173" spans="1:9" x14ac:dyDescent="0.25">
      <c r="A173" s="4">
        <v>42187</v>
      </c>
      <c r="B173" s="4" t="s">
        <v>5</v>
      </c>
      <c r="C173" s="4" t="s">
        <v>10</v>
      </c>
      <c r="D173" s="4" t="s">
        <v>7</v>
      </c>
      <c r="E173" s="4" t="s">
        <v>2</v>
      </c>
      <c r="F173" s="5">
        <v>42175.024444444447</v>
      </c>
      <c r="G173" s="4">
        <v>902</v>
      </c>
      <c r="H173" s="4" t="s">
        <v>1</v>
      </c>
      <c r="I173" s="3" t="s">
        <v>13</v>
      </c>
    </row>
    <row r="174" spans="1:9" ht="409.5" x14ac:dyDescent="0.25">
      <c r="A174" s="4">
        <v>42186</v>
      </c>
      <c r="B174" s="4" t="s">
        <v>5</v>
      </c>
      <c r="C174" s="4" t="s">
        <v>10</v>
      </c>
      <c r="D174" s="4" t="s">
        <v>3</v>
      </c>
      <c r="E174" s="4" t="s">
        <v>2</v>
      </c>
      <c r="F174" s="5">
        <v>42175.024444444447</v>
      </c>
      <c r="G174" s="4">
        <v>1003</v>
      </c>
      <c r="H174" s="4" t="s">
        <v>1</v>
      </c>
      <c r="I174" s="3" t="s">
        <v>12</v>
      </c>
    </row>
    <row r="175" spans="1:9" ht="135" x14ac:dyDescent="0.25">
      <c r="A175" s="4">
        <v>42185</v>
      </c>
      <c r="B175" s="4" t="s">
        <v>5</v>
      </c>
      <c r="C175" s="4" t="s">
        <v>10</v>
      </c>
      <c r="D175" s="4" t="s">
        <v>3</v>
      </c>
      <c r="E175" s="4" t="s">
        <v>2</v>
      </c>
      <c r="F175" s="5">
        <v>42175.024444444447</v>
      </c>
      <c r="G175" s="4">
        <v>1066</v>
      </c>
      <c r="H175" s="4" t="s">
        <v>1</v>
      </c>
      <c r="I175" s="3" t="s">
        <v>11</v>
      </c>
    </row>
    <row r="176" spans="1:9" x14ac:dyDescent="0.25">
      <c r="A176" s="4">
        <v>42184</v>
      </c>
      <c r="B176" s="4" t="s">
        <v>5</v>
      </c>
      <c r="C176" s="4" t="s">
        <v>10</v>
      </c>
      <c r="D176" s="4" t="s">
        <v>3</v>
      </c>
      <c r="E176" s="4" t="s">
        <v>2</v>
      </c>
      <c r="F176" s="5">
        <v>42175.024444444447</v>
      </c>
      <c r="G176" s="4">
        <v>900</v>
      </c>
      <c r="H176" s="4" t="s">
        <v>1</v>
      </c>
      <c r="I176" s="3" t="s">
        <v>9</v>
      </c>
    </row>
  </sheetData>
  <conditionalFormatting sqref="A2:I176">
    <cfRule type="expression" dxfId="87" priority="1">
      <formula>$D2="ERROR"</formula>
    </cfRule>
    <cfRule type="expression" dxfId="86" priority="2">
      <formula>$D2="WARNING"</formula>
    </cfRule>
  </conditionalFormatting>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I32"/>
  <sheetViews>
    <sheetView workbookViewId="0">
      <pane xSplit="1" ySplit="1" topLeftCell="C12" activePane="bottomRight" state="frozen"/>
      <selection pane="topRight" activeCell="B1" sqref="B1"/>
      <selection pane="bottomLeft" activeCell="A2" sqref="A2"/>
      <selection pane="bottomRight"/>
    </sheetView>
  </sheetViews>
  <sheetFormatPr defaultRowHeight="15" x14ac:dyDescent="0.25"/>
  <cols>
    <col min="1" max="1" width="10.125" style="1" bestFit="1" customWidth="1"/>
    <col min="2" max="2" width="11.875" style="1" bestFit="1" customWidth="1"/>
    <col min="3" max="3" width="13.5" style="1" bestFit="1" customWidth="1"/>
    <col min="4" max="4" width="11.875" style="1" customWidth="1"/>
    <col min="5" max="5" width="8.875" style="1" bestFit="1" customWidth="1"/>
    <col min="6" max="6" width="20.125" style="1" bestFit="1" customWidth="1"/>
    <col min="7" max="7" width="6.375" style="1" bestFit="1" customWidth="1"/>
    <col min="8" max="8" width="9.6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ht="90" x14ac:dyDescent="0.25">
      <c r="A2" s="4">
        <v>42530</v>
      </c>
      <c r="B2" s="4" t="s">
        <v>5</v>
      </c>
      <c r="C2" s="4" t="s">
        <v>29</v>
      </c>
      <c r="D2" s="4" t="s">
        <v>3</v>
      </c>
      <c r="E2" s="4" t="s">
        <v>2</v>
      </c>
      <c r="F2" s="5">
        <v>42178.721747685187</v>
      </c>
      <c r="G2" s="4">
        <v>0</v>
      </c>
      <c r="H2" s="4" t="s">
        <v>1</v>
      </c>
      <c r="I2" s="3" t="s">
        <v>569</v>
      </c>
    </row>
    <row r="3" spans="1:9" ht="90" x14ac:dyDescent="0.25">
      <c r="A3" s="4">
        <v>42529</v>
      </c>
      <c r="B3" s="4" t="s">
        <v>5</v>
      </c>
      <c r="C3" s="4" t="s">
        <v>29</v>
      </c>
      <c r="D3" s="4" t="s">
        <v>3</v>
      </c>
      <c r="E3" s="4" t="s">
        <v>2</v>
      </c>
      <c r="F3" s="5">
        <v>42178.721701388888</v>
      </c>
      <c r="G3" s="4">
        <v>0</v>
      </c>
      <c r="H3" s="4" t="s">
        <v>1</v>
      </c>
      <c r="I3" s="3" t="s">
        <v>570</v>
      </c>
    </row>
    <row r="4" spans="1:9" ht="30" x14ac:dyDescent="0.25">
      <c r="A4" s="4">
        <v>42528</v>
      </c>
      <c r="B4" s="4" t="s">
        <v>5</v>
      </c>
      <c r="C4" s="4" t="s">
        <v>29</v>
      </c>
      <c r="D4" s="4" t="s">
        <v>3</v>
      </c>
      <c r="E4" s="4" t="s">
        <v>2</v>
      </c>
      <c r="F4" s="5">
        <v>42178.721701388888</v>
      </c>
      <c r="G4" s="4">
        <v>0</v>
      </c>
      <c r="H4" s="4" t="s">
        <v>1</v>
      </c>
      <c r="I4" s="3" t="s">
        <v>571</v>
      </c>
    </row>
    <row r="5" spans="1:9" ht="30" x14ac:dyDescent="0.25">
      <c r="A5" s="4">
        <v>42527</v>
      </c>
      <c r="B5" s="4" t="s">
        <v>5</v>
      </c>
      <c r="C5" s="4" t="s">
        <v>29</v>
      </c>
      <c r="D5" s="4" t="s">
        <v>3</v>
      </c>
      <c r="E5" s="4" t="s">
        <v>2</v>
      </c>
      <c r="F5" s="5">
        <v>42178.721701388888</v>
      </c>
      <c r="G5" s="4">
        <v>0</v>
      </c>
      <c r="H5" s="4" t="s">
        <v>1</v>
      </c>
      <c r="I5" s="3" t="s">
        <v>572</v>
      </c>
    </row>
    <row r="6" spans="1:9" ht="90" x14ac:dyDescent="0.25">
      <c r="A6" s="4">
        <v>42526</v>
      </c>
      <c r="B6" s="4" t="s">
        <v>5</v>
      </c>
      <c r="C6" s="4" t="s">
        <v>29</v>
      </c>
      <c r="D6" s="4" t="s">
        <v>3</v>
      </c>
      <c r="E6" s="4" t="s">
        <v>2</v>
      </c>
      <c r="F6" s="5">
        <v>42178.718831018516</v>
      </c>
      <c r="G6" s="4">
        <v>0</v>
      </c>
      <c r="H6" s="4" t="s">
        <v>1</v>
      </c>
      <c r="I6" s="3" t="s">
        <v>569</v>
      </c>
    </row>
    <row r="7" spans="1:9" ht="90" x14ac:dyDescent="0.25">
      <c r="A7" s="4">
        <v>42525</v>
      </c>
      <c r="B7" s="4" t="s">
        <v>5</v>
      </c>
      <c r="C7" s="4" t="s">
        <v>29</v>
      </c>
      <c r="D7" s="4" t="s">
        <v>3</v>
      </c>
      <c r="E7" s="4" t="s">
        <v>2</v>
      </c>
      <c r="F7" s="5">
        <v>42178.718414351853</v>
      </c>
      <c r="G7" s="4">
        <v>0</v>
      </c>
      <c r="H7" s="4" t="s">
        <v>1</v>
      </c>
      <c r="I7" s="3" t="s">
        <v>570</v>
      </c>
    </row>
    <row r="8" spans="1:9" ht="30" x14ac:dyDescent="0.25">
      <c r="A8" s="4">
        <v>42524</v>
      </c>
      <c r="B8" s="4" t="s">
        <v>5</v>
      </c>
      <c r="C8" s="4" t="s">
        <v>29</v>
      </c>
      <c r="D8" s="4" t="s">
        <v>3</v>
      </c>
      <c r="E8" s="4" t="s">
        <v>2</v>
      </c>
      <c r="F8" s="5">
        <v>42178.718391203707</v>
      </c>
      <c r="G8" s="4">
        <v>0</v>
      </c>
      <c r="H8" s="4" t="s">
        <v>1</v>
      </c>
      <c r="I8" s="3" t="s">
        <v>571</v>
      </c>
    </row>
    <row r="9" spans="1:9" ht="30" x14ac:dyDescent="0.25">
      <c r="A9" s="4">
        <v>42523</v>
      </c>
      <c r="B9" s="4" t="s">
        <v>5</v>
      </c>
      <c r="C9" s="4" t="s">
        <v>29</v>
      </c>
      <c r="D9" s="4" t="s">
        <v>3</v>
      </c>
      <c r="E9" s="4" t="s">
        <v>2</v>
      </c>
      <c r="F9" s="5">
        <v>42178.718217592592</v>
      </c>
      <c r="G9" s="4">
        <v>0</v>
      </c>
      <c r="H9" s="4" t="s">
        <v>1</v>
      </c>
      <c r="I9" s="3" t="s">
        <v>573</v>
      </c>
    </row>
    <row r="10" spans="1:9" ht="409.5" x14ac:dyDescent="0.25">
      <c r="A10" s="4">
        <v>42500</v>
      </c>
      <c r="B10" s="4" t="s">
        <v>5</v>
      </c>
      <c r="C10" s="4" t="s">
        <v>29</v>
      </c>
      <c r="D10" s="4" t="s">
        <v>28</v>
      </c>
      <c r="E10" s="4" t="s">
        <v>2</v>
      </c>
      <c r="F10" s="5">
        <v>42178.476111111115</v>
      </c>
      <c r="G10" s="4">
        <v>0</v>
      </c>
      <c r="H10" s="4" t="s">
        <v>1</v>
      </c>
      <c r="I10" s="3" t="s">
        <v>574</v>
      </c>
    </row>
    <row r="11" spans="1:9" ht="409.5" x14ac:dyDescent="0.25">
      <c r="A11" s="4">
        <v>42499</v>
      </c>
      <c r="B11" s="4" t="s">
        <v>5</v>
      </c>
      <c r="C11" s="4" t="s">
        <v>29</v>
      </c>
      <c r="D11" s="4" t="s">
        <v>28</v>
      </c>
      <c r="E11" s="4" t="s">
        <v>2</v>
      </c>
      <c r="F11" s="5">
        <v>42178.475624999999</v>
      </c>
      <c r="G11" s="4">
        <v>0</v>
      </c>
      <c r="H11" s="4" t="s">
        <v>1</v>
      </c>
      <c r="I11" s="3" t="s">
        <v>574</v>
      </c>
    </row>
    <row r="12" spans="1:9" ht="405" x14ac:dyDescent="0.25">
      <c r="A12" s="4">
        <v>42498</v>
      </c>
      <c r="B12" s="4" t="s">
        <v>5</v>
      </c>
      <c r="C12" s="4" t="s">
        <v>29</v>
      </c>
      <c r="D12" s="4" t="s">
        <v>28</v>
      </c>
      <c r="E12" s="4" t="s">
        <v>2</v>
      </c>
      <c r="F12" s="5">
        <v>42178.471377314818</v>
      </c>
      <c r="G12" s="4">
        <v>0</v>
      </c>
      <c r="H12" s="4" t="s">
        <v>1</v>
      </c>
      <c r="I12" s="3" t="s">
        <v>575</v>
      </c>
    </row>
    <row r="13" spans="1:9" ht="405" x14ac:dyDescent="0.25">
      <c r="A13" s="4">
        <v>42497</v>
      </c>
      <c r="B13" s="4" t="s">
        <v>5</v>
      </c>
      <c r="C13" s="4" t="s">
        <v>29</v>
      </c>
      <c r="D13" s="4" t="s">
        <v>28</v>
      </c>
      <c r="E13" s="4" t="s">
        <v>2</v>
      </c>
      <c r="F13" s="5">
        <v>42178.469699074078</v>
      </c>
      <c r="G13" s="4">
        <v>0</v>
      </c>
      <c r="H13" s="4" t="s">
        <v>1</v>
      </c>
      <c r="I13" s="3" t="s">
        <v>575</v>
      </c>
    </row>
    <row r="14" spans="1:9" ht="409.5" x14ac:dyDescent="0.25">
      <c r="A14" s="4">
        <v>42496</v>
      </c>
      <c r="B14" s="4" t="s">
        <v>5</v>
      </c>
      <c r="C14" s="4" t="s">
        <v>29</v>
      </c>
      <c r="D14" s="4" t="s">
        <v>28</v>
      </c>
      <c r="E14" s="4" t="s">
        <v>2</v>
      </c>
      <c r="F14" s="5">
        <v>42178.46665509259</v>
      </c>
      <c r="G14" s="4">
        <v>0</v>
      </c>
      <c r="H14" s="4" t="s">
        <v>1</v>
      </c>
      <c r="I14" s="3" t="s">
        <v>576</v>
      </c>
    </row>
    <row r="15" spans="1:9" ht="225" x14ac:dyDescent="0.25">
      <c r="A15" s="4">
        <v>42495</v>
      </c>
      <c r="B15" s="4" t="s">
        <v>5</v>
      </c>
      <c r="C15" s="4" t="s">
        <v>29</v>
      </c>
      <c r="D15" s="4" t="s">
        <v>28</v>
      </c>
      <c r="E15" s="4" t="s">
        <v>2</v>
      </c>
      <c r="F15" s="5">
        <v>42178.449884259258</v>
      </c>
      <c r="G15" s="4">
        <v>0</v>
      </c>
      <c r="H15" s="4" t="s">
        <v>1</v>
      </c>
      <c r="I15" s="3" t="s">
        <v>577</v>
      </c>
    </row>
    <row r="16" spans="1:9" ht="225" x14ac:dyDescent="0.25">
      <c r="A16" s="4">
        <v>42494</v>
      </c>
      <c r="B16" s="4" t="s">
        <v>5</v>
      </c>
      <c r="C16" s="4" t="s">
        <v>29</v>
      </c>
      <c r="D16" s="4" t="s">
        <v>28</v>
      </c>
      <c r="E16" s="4" t="s">
        <v>2</v>
      </c>
      <c r="F16" s="5">
        <v>42178.444050925929</v>
      </c>
      <c r="G16" s="4">
        <v>0</v>
      </c>
      <c r="H16" s="4" t="s">
        <v>1</v>
      </c>
      <c r="I16" s="3" t="s">
        <v>577</v>
      </c>
    </row>
    <row r="17" spans="1:9" ht="240" x14ac:dyDescent="0.25">
      <c r="A17" s="4">
        <v>42447</v>
      </c>
      <c r="B17" s="4" t="s">
        <v>5</v>
      </c>
      <c r="C17" s="4" t="s">
        <v>29</v>
      </c>
      <c r="D17" s="4" t="s">
        <v>28</v>
      </c>
      <c r="E17" s="4" t="s">
        <v>2</v>
      </c>
      <c r="F17" s="5">
        <v>42178.100844907407</v>
      </c>
      <c r="G17" s="4">
        <v>0</v>
      </c>
      <c r="H17" s="4" t="s">
        <v>1</v>
      </c>
      <c r="I17" s="3" t="s">
        <v>578</v>
      </c>
    </row>
    <row r="18" spans="1:9" ht="240" x14ac:dyDescent="0.25">
      <c r="A18" s="4">
        <v>42446</v>
      </c>
      <c r="B18" s="4" t="s">
        <v>5</v>
      </c>
      <c r="C18" s="4" t="s">
        <v>29</v>
      </c>
      <c r="D18" s="4" t="s">
        <v>28</v>
      </c>
      <c r="E18" s="4" t="s">
        <v>2</v>
      </c>
      <c r="F18" s="5">
        <v>42178.095995370371</v>
      </c>
      <c r="G18" s="4">
        <v>0</v>
      </c>
      <c r="H18" s="4" t="s">
        <v>1</v>
      </c>
      <c r="I18" s="3" t="s">
        <v>578</v>
      </c>
    </row>
    <row r="19" spans="1:9" ht="240" x14ac:dyDescent="0.25">
      <c r="A19" s="4">
        <v>42445</v>
      </c>
      <c r="B19" s="4" t="s">
        <v>5</v>
      </c>
      <c r="C19" s="4" t="s">
        <v>29</v>
      </c>
      <c r="D19" s="4" t="s">
        <v>28</v>
      </c>
      <c r="E19" s="4" t="s">
        <v>2</v>
      </c>
      <c r="F19" s="5">
        <v>42178.095127314817</v>
      </c>
      <c r="G19" s="4">
        <v>0</v>
      </c>
      <c r="H19" s="4" t="s">
        <v>1</v>
      </c>
      <c r="I19" s="3" t="s">
        <v>579</v>
      </c>
    </row>
    <row r="20" spans="1:9" ht="240" x14ac:dyDescent="0.25">
      <c r="A20" s="4">
        <v>42444</v>
      </c>
      <c r="B20" s="4" t="s">
        <v>5</v>
      </c>
      <c r="C20" s="4" t="s">
        <v>29</v>
      </c>
      <c r="D20" s="4" t="s">
        <v>28</v>
      </c>
      <c r="E20" s="4" t="s">
        <v>2</v>
      </c>
      <c r="F20" s="5">
        <v>42178.094027777777</v>
      </c>
      <c r="G20" s="4">
        <v>0</v>
      </c>
      <c r="H20" s="4" t="s">
        <v>1</v>
      </c>
      <c r="I20" s="3" t="s">
        <v>579</v>
      </c>
    </row>
    <row r="21" spans="1:9" ht="240" x14ac:dyDescent="0.25">
      <c r="A21" s="4">
        <v>42443</v>
      </c>
      <c r="B21" s="4" t="s">
        <v>5</v>
      </c>
      <c r="C21" s="4" t="s">
        <v>29</v>
      </c>
      <c r="D21" s="4" t="s">
        <v>28</v>
      </c>
      <c r="E21" s="4" t="s">
        <v>2</v>
      </c>
      <c r="F21" s="5">
        <v>42178.089398148149</v>
      </c>
      <c r="G21" s="4">
        <v>0</v>
      </c>
      <c r="H21" s="4" t="s">
        <v>1</v>
      </c>
      <c r="I21" s="3" t="s">
        <v>580</v>
      </c>
    </row>
    <row r="22" spans="1:9" ht="135" x14ac:dyDescent="0.25">
      <c r="A22" s="4">
        <v>42406</v>
      </c>
      <c r="B22" s="4" t="s">
        <v>5</v>
      </c>
      <c r="C22" s="4" t="s">
        <v>29</v>
      </c>
      <c r="D22" s="4" t="s">
        <v>28</v>
      </c>
      <c r="E22" s="4" t="s">
        <v>2</v>
      </c>
      <c r="F22" s="5">
        <v>42177.20884259259</v>
      </c>
      <c r="G22" s="4">
        <v>0</v>
      </c>
      <c r="H22" s="4" t="s">
        <v>1</v>
      </c>
      <c r="I22" s="3" t="s">
        <v>158</v>
      </c>
    </row>
    <row r="23" spans="1:9" ht="195" x14ac:dyDescent="0.25">
      <c r="A23" s="4">
        <v>42402</v>
      </c>
      <c r="B23" s="4" t="s">
        <v>5</v>
      </c>
      <c r="C23" s="4" t="s">
        <v>29</v>
      </c>
      <c r="D23" s="4" t="s">
        <v>28</v>
      </c>
      <c r="E23" s="4" t="s">
        <v>2</v>
      </c>
      <c r="F23" s="5">
        <v>42177.053229166668</v>
      </c>
      <c r="G23" s="4">
        <v>0</v>
      </c>
      <c r="H23" s="4" t="s">
        <v>1</v>
      </c>
      <c r="I23" s="3" t="s">
        <v>581</v>
      </c>
    </row>
    <row r="24" spans="1:9" ht="105" x14ac:dyDescent="0.25">
      <c r="A24" s="4">
        <v>42401</v>
      </c>
      <c r="B24" s="4" t="s">
        <v>5</v>
      </c>
      <c r="C24" s="4" t="s">
        <v>29</v>
      </c>
      <c r="D24" s="4" t="s">
        <v>28</v>
      </c>
      <c r="E24" s="4" t="s">
        <v>2</v>
      </c>
      <c r="F24" s="5">
        <v>42177.030821759261</v>
      </c>
      <c r="G24" s="4">
        <v>0</v>
      </c>
      <c r="H24" s="4" t="s">
        <v>1</v>
      </c>
      <c r="I24" s="3" t="s">
        <v>582</v>
      </c>
    </row>
    <row r="25" spans="1:9" ht="105" x14ac:dyDescent="0.25">
      <c r="A25" s="4">
        <v>42400</v>
      </c>
      <c r="B25" s="4" t="s">
        <v>5</v>
      </c>
      <c r="C25" s="4" t="s">
        <v>29</v>
      </c>
      <c r="D25" s="4" t="s">
        <v>28</v>
      </c>
      <c r="E25" s="4" t="s">
        <v>2</v>
      </c>
      <c r="F25" s="5">
        <v>42177.030810185184</v>
      </c>
      <c r="G25" s="4">
        <v>0</v>
      </c>
      <c r="H25" s="4" t="s">
        <v>1</v>
      </c>
      <c r="I25" s="3" t="s">
        <v>583</v>
      </c>
    </row>
    <row r="26" spans="1:9" ht="195" x14ac:dyDescent="0.25">
      <c r="A26" s="4">
        <v>42398</v>
      </c>
      <c r="B26" s="4" t="s">
        <v>5</v>
      </c>
      <c r="C26" s="4" t="s">
        <v>29</v>
      </c>
      <c r="D26" s="4" t="s">
        <v>28</v>
      </c>
      <c r="E26" s="4" t="s">
        <v>2</v>
      </c>
      <c r="F26" s="5">
        <v>42177.0237037037</v>
      </c>
      <c r="G26" s="4">
        <v>0</v>
      </c>
      <c r="H26" s="4" t="s">
        <v>1</v>
      </c>
      <c r="I26" s="3" t="s">
        <v>584</v>
      </c>
    </row>
    <row r="27" spans="1:9" ht="105" x14ac:dyDescent="0.25">
      <c r="A27" s="4">
        <v>42397</v>
      </c>
      <c r="B27" s="4" t="s">
        <v>5</v>
      </c>
      <c r="C27" s="4" t="s">
        <v>29</v>
      </c>
      <c r="D27" s="4" t="s">
        <v>28</v>
      </c>
      <c r="E27" s="4" t="s">
        <v>2</v>
      </c>
      <c r="F27" s="5">
        <v>42177.021458333336</v>
      </c>
      <c r="G27" s="4">
        <v>0</v>
      </c>
      <c r="H27" s="4" t="s">
        <v>1</v>
      </c>
      <c r="I27" s="3" t="s">
        <v>582</v>
      </c>
    </row>
    <row r="28" spans="1:9" ht="105" x14ac:dyDescent="0.25">
      <c r="A28" s="4">
        <v>42396</v>
      </c>
      <c r="B28" s="4" t="s">
        <v>5</v>
      </c>
      <c r="C28" s="4" t="s">
        <v>29</v>
      </c>
      <c r="D28" s="4" t="s">
        <v>28</v>
      </c>
      <c r="E28" s="4" t="s">
        <v>2</v>
      </c>
      <c r="F28" s="5">
        <v>42177.021458333336</v>
      </c>
      <c r="G28" s="4">
        <v>0</v>
      </c>
      <c r="H28" s="4" t="s">
        <v>1</v>
      </c>
      <c r="I28" s="3" t="s">
        <v>583</v>
      </c>
    </row>
    <row r="29" spans="1:9" ht="195" x14ac:dyDescent="0.25">
      <c r="A29" s="4">
        <v>42394</v>
      </c>
      <c r="B29" s="4" t="s">
        <v>5</v>
      </c>
      <c r="C29" s="4" t="s">
        <v>29</v>
      </c>
      <c r="D29" s="4" t="s">
        <v>28</v>
      </c>
      <c r="E29" s="4" t="s">
        <v>2</v>
      </c>
      <c r="F29" s="5">
        <v>42177.012557870374</v>
      </c>
      <c r="G29" s="4">
        <v>0</v>
      </c>
      <c r="H29" s="4" t="s">
        <v>1</v>
      </c>
      <c r="I29" s="3" t="s">
        <v>584</v>
      </c>
    </row>
    <row r="30" spans="1:9" ht="195" x14ac:dyDescent="0.25">
      <c r="A30" s="4">
        <v>42392</v>
      </c>
      <c r="B30" s="4" t="s">
        <v>5</v>
      </c>
      <c r="C30" s="4" t="s">
        <v>29</v>
      </c>
      <c r="D30" s="4" t="s">
        <v>28</v>
      </c>
      <c r="E30" s="4" t="s">
        <v>2</v>
      </c>
      <c r="F30" s="5">
        <v>42177.004247685189</v>
      </c>
      <c r="G30" s="4">
        <v>0</v>
      </c>
      <c r="H30" s="4" t="s">
        <v>1</v>
      </c>
      <c r="I30" s="3" t="s">
        <v>584</v>
      </c>
    </row>
    <row r="31" spans="1:9" ht="105" x14ac:dyDescent="0.25">
      <c r="A31" s="4">
        <v>42391</v>
      </c>
      <c r="B31" s="4" t="s">
        <v>5</v>
      </c>
      <c r="C31" s="4" t="s">
        <v>29</v>
      </c>
      <c r="D31" s="4" t="s">
        <v>28</v>
      </c>
      <c r="E31" s="4" t="s">
        <v>2</v>
      </c>
      <c r="F31" s="5">
        <v>42177.002546296295</v>
      </c>
      <c r="G31" s="4">
        <v>0</v>
      </c>
      <c r="H31" s="4" t="s">
        <v>1</v>
      </c>
      <c r="I31" s="3" t="s">
        <v>582</v>
      </c>
    </row>
    <row r="32" spans="1:9" ht="105" x14ac:dyDescent="0.25">
      <c r="A32" s="4">
        <v>42390</v>
      </c>
      <c r="B32" s="4" t="s">
        <v>5</v>
      </c>
      <c r="C32" s="4" t="s">
        <v>29</v>
      </c>
      <c r="D32" s="4" t="s">
        <v>28</v>
      </c>
      <c r="E32" s="4" t="s">
        <v>2</v>
      </c>
      <c r="F32" s="5">
        <v>42177.002534722225</v>
      </c>
      <c r="G32" s="4">
        <v>0</v>
      </c>
      <c r="H32" s="4" t="s">
        <v>1</v>
      </c>
      <c r="I32" s="3" t="s">
        <v>583</v>
      </c>
    </row>
  </sheetData>
  <conditionalFormatting sqref="A2:I32">
    <cfRule type="expression" dxfId="85" priority="1">
      <formula>$D2="ERROR"</formula>
    </cfRule>
    <cfRule type="expression" dxfId="84" priority="2">
      <formula>$D2="WARNING"</formula>
    </cfRule>
  </conditionalFormatting>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I61"/>
  <sheetViews>
    <sheetView workbookViewId="0">
      <pane xSplit="1" ySplit="1" topLeftCell="C2" activePane="bottomRight" state="frozen"/>
      <selection pane="topRight" activeCell="B1" sqref="B1"/>
      <selection pane="bottomLeft" activeCell="A2" sqref="A2"/>
      <selection pane="bottomRight" activeCell="I2" sqref="I2"/>
    </sheetView>
  </sheetViews>
  <sheetFormatPr defaultRowHeight="15" x14ac:dyDescent="0.25"/>
  <cols>
    <col min="1" max="1" width="10.125" style="1" bestFit="1" customWidth="1"/>
    <col min="2" max="2" width="11.875" style="1" bestFit="1" customWidth="1"/>
    <col min="3" max="3" width="13.5" style="1" bestFit="1" customWidth="1"/>
    <col min="4" max="4" width="11.875" style="1" customWidth="1"/>
    <col min="5" max="5" width="8.875" style="1" bestFit="1" customWidth="1"/>
    <col min="6" max="6" width="20.125" style="1" bestFit="1" customWidth="1"/>
    <col min="7" max="7" width="6.375" style="1" bestFit="1" customWidth="1"/>
    <col min="8" max="8" width="9.6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x14ac:dyDescent="0.25">
      <c r="A2" s="4">
        <v>42619</v>
      </c>
      <c r="B2" s="4" t="s">
        <v>5</v>
      </c>
      <c r="C2" s="4" t="s">
        <v>29</v>
      </c>
      <c r="D2" s="4" t="s">
        <v>3</v>
      </c>
      <c r="E2" s="4" t="s">
        <v>2</v>
      </c>
      <c r="F2" s="5">
        <v>42178.959027777775</v>
      </c>
      <c r="G2" s="4">
        <v>0</v>
      </c>
      <c r="H2" s="4" t="s">
        <v>1</v>
      </c>
      <c r="I2" s="3" t="s">
        <v>595</v>
      </c>
    </row>
    <row r="3" spans="1:9" ht="90" x14ac:dyDescent="0.25">
      <c r="A3" s="4">
        <v>42618</v>
      </c>
      <c r="B3" s="4" t="s">
        <v>5</v>
      </c>
      <c r="C3" s="4" t="s">
        <v>29</v>
      </c>
      <c r="D3" s="4" t="s">
        <v>3</v>
      </c>
      <c r="E3" s="4" t="s">
        <v>2</v>
      </c>
      <c r="F3" s="5">
        <v>42178.959027777775</v>
      </c>
      <c r="G3" s="4">
        <v>0</v>
      </c>
      <c r="H3" s="4" t="s">
        <v>1</v>
      </c>
      <c r="I3" s="3" t="s">
        <v>596</v>
      </c>
    </row>
    <row r="4" spans="1:9" x14ac:dyDescent="0.25">
      <c r="A4" s="4">
        <v>42617</v>
      </c>
      <c r="B4" s="4" t="s">
        <v>5</v>
      </c>
      <c r="C4" s="4" t="s">
        <v>29</v>
      </c>
      <c r="D4" s="4" t="s">
        <v>3</v>
      </c>
      <c r="E4" s="4" t="s">
        <v>2</v>
      </c>
      <c r="F4" s="5">
        <v>42178.959027777775</v>
      </c>
      <c r="G4" s="4">
        <v>0</v>
      </c>
      <c r="H4" s="4" t="s">
        <v>1</v>
      </c>
      <c r="I4" s="3" t="s">
        <v>597</v>
      </c>
    </row>
    <row r="5" spans="1:9" x14ac:dyDescent="0.25">
      <c r="A5" s="4">
        <v>42616</v>
      </c>
      <c r="B5" s="4" t="s">
        <v>5</v>
      </c>
      <c r="C5" s="4" t="s">
        <v>29</v>
      </c>
      <c r="D5" s="4" t="s">
        <v>3</v>
      </c>
      <c r="E5" s="4" t="s">
        <v>2</v>
      </c>
      <c r="F5" s="5">
        <v>42178.95894675926</v>
      </c>
      <c r="G5" s="4">
        <v>0</v>
      </c>
      <c r="H5" s="4" t="s">
        <v>1</v>
      </c>
      <c r="I5" s="3" t="s">
        <v>598</v>
      </c>
    </row>
    <row r="6" spans="1:9" ht="90" x14ac:dyDescent="0.25">
      <c r="A6" s="4">
        <v>42615</v>
      </c>
      <c r="B6" s="4" t="s">
        <v>5</v>
      </c>
      <c r="C6" s="4" t="s">
        <v>29</v>
      </c>
      <c r="D6" s="4" t="s">
        <v>3</v>
      </c>
      <c r="E6" s="4" t="s">
        <v>2</v>
      </c>
      <c r="F6" s="5">
        <v>42178.95894675926</v>
      </c>
      <c r="G6" s="4">
        <v>0</v>
      </c>
      <c r="H6" s="4" t="s">
        <v>1</v>
      </c>
      <c r="I6" s="3" t="s">
        <v>599</v>
      </c>
    </row>
    <row r="7" spans="1:9" ht="105" x14ac:dyDescent="0.25">
      <c r="A7" s="4">
        <v>42614</v>
      </c>
      <c r="B7" s="4" t="s">
        <v>5</v>
      </c>
      <c r="C7" s="4" t="s">
        <v>29</v>
      </c>
      <c r="D7" s="4" t="s">
        <v>3</v>
      </c>
      <c r="E7" s="4" t="s">
        <v>2</v>
      </c>
      <c r="F7" s="5">
        <v>42178.95894675926</v>
      </c>
      <c r="G7" s="4">
        <v>0</v>
      </c>
      <c r="H7" s="4" t="s">
        <v>1</v>
      </c>
      <c r="I7" s="3" t="s">
        <v>616</v>
      </c>
    </row>
    <row r="8" spans="1:9" ht="30" x14ac:dyDescent="0.25">
      <c r="A8" s="4">
        <v>42613</v>
      </c>
      <c r="B8" s="4" t="s">
        <v>5</v>
      </c>
      <c r="C8" s="4" t="s">
        <v>29</v>
      </c>
      <c r="D8" s="4" t="s">
        <v>3</v>
      </c>
      <c r="E8" s="4" t="s">
        <v>2</v>
      </c>
      <c r="F8" s="5">
        <v>42178.95894675926</v>
      </c>
      <c r="G8" s="4">
        <v>0</v>
      </c>
      <c r="H8" s="4" t="s">
        <v>1</v>
      </c>
      <c r="I8" s="3" t="s">
        <v>601</v>
      </c>
    </row>
    <row r="9" spans="1:9" ht="90" x14ac:dyDescent="0.25">
      <c r="A9" s="4">
        <v>42612</v>
      </c>
      <c r="B9" s="4" t="s">
        <v>5</v>
      </c>
      <c r="C9" s="4" t="s">
        <v>29</v>
      </c>
      <c r="D9" s="4" t="s">
        <v>3</v>
      </c>
      <c r="E9" s="4" t="s">
        <v>2</v>
      </c>
      <c r="F9" s="5">
        <v>42178.939629629633</v>
      </c>
      <c r="G9" s="4">
        <v>0</v>
      </c>
      <c r="H9" s="4" t="s">
        <v>1</v>
      </c>
      <c r="I9" s="3" t="s">
        <v>596</v>
      </c>
    </row>
    <row r="10" spans="1:9" x14ac:dyDescent="0.25">
      <c r="A10" s="4">
        <v>42611</v>
      </c>
      <c r="B10" s="4" t="s">
        <v>5</v>
      </c>
      <c r="C10" s="4" t="s">
        <v>29</v>
      </c>
      <c r="D10" s="4" t="s">
        <v>3</v>
      </c>
      <c r="E10" s="4" t="s">
        <v>2</v>
      </c>
      <c r="F10" s="5">
        <v>42178.939629629633</v>
      </c>
      <c r="G10" s="4">
        <v>0</v>
      </c>
      <c r="H10" s="4" t="s">
        <v>1</v>
      </c>
      <c r="I10" s="3" t="s">
        <v>597</v>
      </c>
    </row>
    <row r="11" spans="1:9" x14ac:dyDescent="0.25">
      <c r="A11" s="4">
        <v>42610</v>
      </c>
      <c r="B11" s="4" t="s">
        <v>5</v>
      </c>
      <c r="C11" s="4" t="s">
        <v>29</v>
      </c>
      <c r="D11" s="4" t="s">
        <v>3</v>
      </c>
      <c r="E11" s="4" t="s">
        <v>2</v>
      </c>
      <c r="F11" s="5">
        <v>42178.939444444448</v>
      </c>
      <c r="G11" s="4">
        <v>0</v>
      </c>
      <c r="H11" s="4" t="s">
        <v>1</v>
      </c>
      <c r="I11" s="3" t="s">
        <v>598</v>
      </c>
    </row>
    <row r="12" spans="1:9" ht="90" x14ac:dyDescent="0.25">
      <c r="A12" s="4">
        <v>42609</v>
      </c>
      <c r="B12" s="4" t="s">
        <v>5</v>
      </c>
      <c r="C12" s="4" t="s">
        <v>29</v>
      </c>
      <c r="D12" s="4" t="s">
        <v>3</v>
      </c>
      <c r="E12" s="4" t="s">
        <v>2</v>
      </c>
      <c r="F12" s="5">
        <v>42178.939444444448</v>
      </c>
      <c r="G12" s="4">
        <v>0</v>
      </c>
      <c r="H12" s="4" t="s">
        <v>1</v>
      </c>
      <c r="I12" s="3" t="s">
        <v>599</v>
      </c>
    </row>
    <row r="13" spans="1:9" ht="105" x14ac:dyDescent="0.25">
      <c r="A13" s="4">
        <v>42608</v>
      </c>
      <c r="B13" s="4" t="s">
        <v>5</v>
      </c>
      <c r="C13" s="4" t="s">
        <v>29</v>
      </c>
      <c r="D13" s="4" t="s">
        <v>3</v>
      </c>
      <c r="E13" s="4" t="s">
        <v>2</v>
      </c>
      <c r="F13" s="5">
        <v>42178.939444444448</v>
      </c>
      <c r="G13" s="4">
        <v>0</v>
      </c>
      <c r="H13" s="4" t="s">
        <v>1</v>
      </c>
      <c r="I13" s="3" t="s">
        <v>600</v>
      </c>
    </row>
    <row r="14" spans="1:9" ht="30" x14ac:dyDescent="0.25">
      <c r="A14" s="4">
        <v>42607</v>
      </c>
      <c r="B14" s="4" t="s">
        <v>5</v>
      </c>
      <c r="C14" s="4" t="s">
        <v>29</v>
      </c>
      <c r="D14" s="4" t="s">
        <v>3</v>
      </c>
      <c r="E14" s="4" t="s">
        <v>2</v>
      </c>
      <c r="F14" s="5">
        <v>42178.939444444448</v>
      </c>
      <c r="G14" s="4">
        <v>0</v>
      </c>
      <c r="H14" s="4" t="s">
        <v>1</v>
      </c>
      <c r="I14" s="3" t="s">
        <v>602</v>
      </c>
    </row>
    <row r="15" spans="1:9" ht="30" x14ac:dyDescent="0.25">
      <c r="A15" s="4">
        <v>42598</v>
      </c>
      <c r="B15" s="4" t="s">
        <v>5</v>
      </c>
      <c r="C15" s="4" t="s">
        <v>29</v>
      </c>
      <c r="D15" s="4" t="s">
        <v>3</v>
      </c>
      <c r="E15" s="4" t="s">
        <v>2</v>
      </c>
      <c r="F15" s="5">
        <v>42178.909710648149</v>
      </c>
      <c r="G15" s="4">
        <v>0</v>
      </c>
      <c r="H15" s="4" t="s">
        <v>1</v>
      </c>
      <c r="I15" s="3" t="s">
        <v>603</v>
      </c>
    </row>
    <row r="16" spans="1:9" ht="90" x14ac:dyDescent="0.25">
      <c r="A16" s="4">
        <v>42597</v>
      </c>
      <c r="B16" s="4" t="s">
        <v>5</v>
      </c>
      <c r="C16" s="4" t="s">
        <v>29</v>
      </c>
      <c r="D16" s="4" t="s">
        <v>3</v>
      </c>
      <c r="E16" s="4" t="s">
        <v>2</v>
      </c>
      <c r="F16" s="5">
        <v>42178.909710648149</v>
      </c>
      <c r="G16" s="4">
        <v>0</v>
      </c>
      <c r="H16" s="4" t="s">
        <v>1</v>
      </c>
      <c r="I16" s="3" t="s">
        <v>604</v>
      </c>
    </row>
    <row r="17" spans="1:9" ht="90" x14ac:dyDescent="0.25">
      <c r="A17" s="4">
        <v>42596</v>
      </c>
      <c r="B17" s="4" t="s">
        <v>5</v>
      </c>
      <c r="C17" s="4" t="s">
        <v>29</v>
      </c>
      <c r="D17" s="4" t="s">
        <v>3</v>
      </c>
      <c r="E17" s="4" t="s">
        <v>2</v>
      </c>
      <c r="F17" s="5">
        <v>42178.909641203703</v>
      </c>
      <c r="G17" s="4">
        <v>0</v>
      </c>
      <c r="H17" s="4" t="s">
        <v>1</v>
      </c>
      <c r="I17" s="3" t="s">
        <v>605</v>
      </c>
    </row>
    <row r="18" spans="1:9" ht="45" x14ac:dyDescent="0.25">
      <c r="A18" s="4">
        <v>42595</v>
      </c>
      <c r="B18" s="4" t="s">
        <v>5</v>
      </c>
      <c r="C18" s="4" t="s">
        <v>29</v>
      </c>
      <c r="D18" s="4" t="s">
        <v>3</v>
      </c>
      <c r="E18" s="4" t="s">
        <v>2</v>
      </c>
      <c r="F18" s="5">
        <v>42178.909641203703</v>
      </c>
      <c r="G18" s="4">
        <v>0</v>
      </c>
      <c r="H18" s="4" t="s">
        <v>1</v>
      </c>
      <c r="I18" s="3" t="s">
        <v>606</v>
      </c>
    </row>
    <row r="19" spans="1:9" ht="30" x14ac:dyDescent="0.25">
      <c r="A19" s="4">
        <v>42594</v>
      </c>
      <c r="B19" s="4" t="s">
        <v>5</v>
      </c>
      <c r="C19" s="4" t="s">
        <v>29</v>
      </c>
      <c r="D19" s="4" t="s">
        <v>3</v>
      </c>
      <c r="E19" s="4" t="s">
        <v>2</v>
      </c>
      <c r="F19" s="5">
        <v>42178.909641203703</v>
      </c>
      <c r="G19" s="4">
        <v>0</v>
      </c>
      <c r="H19" s="4" t="s">
        <v>1</v>
      </c>
      <c r="I19" s="3" t="s">
        <v>607</v>
      </c>
    </row>
    <row r="20" spans="1:9" ht="30" x14ac:dyDescent="0.25">
      <c r="A20" s="4">
        <v>42592</v>
      </c>
      <c r="B20" s="4" t="s">
        <v>5</v>
      </c>
      <c r="C20" s="4" t="s">
        <v>29</v>
      </c>
      <c r="D20" s="4" t="s">
        <v>3</v>
      </c>
      <c r="E20" s="4" t="s">
        <v>2</v>
      </c>
      <c r="F20" s="5">
        <v>42178.802662037036</v>
      </c>
      <c r="G20" s="4">
        <v>0</v>
      </c>
      <c r="H20" s="4" t="s">
        <v>1</v>
      </c>
      <c r="I20" s="3" t="s">
        <v>608</v>
      </c>
    </row>
    <row r="21" spans="1:9" ht="90" x14ac:dyDescent="0.25">
      <c r="A21" s="4">
        <v>42591</v>
      </c>
      <c r="B21" s="4" t="s">
        <v>5</v>
      </c>
      <c r="C21" s="4" t="s">
        <v>29</v>
      </c>
      <c r="D21" s="4" t="s">
        <v>3</v>
      </c>
      <c r="E21" s="4" t="s">
        <v>2</v>
      </c>
      <c r="F21" s="5">
        <v>42178.802662037036</v>
      </c>
      <c r="G21" s="4">
        <v>0</v>
      </c>
      <c r="H21" s="4" t="s">
        <v>1</v>
      </c>
      <c r="I21" s="3" t="s">
        <v>604</v>
      </c>
    </row>
    <row r="22" spans="1:9" ht="90" x14ac:dyDescent="0.25">
      <c r="A22" s="4">
        <v>42590</v>
      </c>
      <c r="B22" s="4" t="s">
        <v>5</v>
      </c>
      <c r="C22" s="4" t="s">
        <v>29</v>
      </c>
      <c r="D22" s="4" t="s">
        <v>3</v>
      </c>
      <c r="E22" s="4" t="s">
        <v>2</v>
      </c>
      <c r="F22" s="5">
        <v>42178.802604166667</v>
      </c>
      <c r="G22" s="4">
        <v>0</v>
      </c>
      <c r="H22" s="4" t="s">
        <v>1</v>
      </c>
      <c r="I22" s="3" t="s">
        <v>605</v>
      </c>
    </row>
    <row r="23" spans="1:9" ht="45" x14ac:dyDescent="0.25">
      <c r="A23" s="4">
        <v>42589</v>
      </c>
      <c r="B23" s="4" t="s">
        <v>5</v>
      </c>
      <c r="C23" s="4" t="s">
        <v>29</v>
      </c>
      <c r="D23" s="4" t="s">
        <v>3</v>
      </c>
      <c r="E23" s="4" t="s">
        <v>2</v>
      </c>
      <c r="F23" s="5">
        <v>42178.802604166667</v>
      </c>
      <c r="G23" s="4">
        <v>0</v>
      </c>
      <c r="H23" s="4" t="s">
        <v>1</v>
      </c>
      <c r="I23" s="3" t="s">
        <v>606</v>
      </c>
    </row>
    <row r="24" spans="1:9" ht="30" x14ac:dyDescent="0.25">
      <c r="A24" s="4">
        <v>42588</v>
      </c>
      <c r="B24" s="4" t="s">
        <v>5</v>
      </c>
      <c r="C24" s="4" t="s">
        <v>29</v>
      </c>
      <c r="D24" s="4" t="s">
        <v>3</v>
      </c>
      <c r="E24" s="4" t="s">
        <v>2</v>
      </c>
      <c r="F24" s="5">
        <v>42178.80259259259</v>
      </c>
      <c r="G24" s="4">
        <v>0</v>
      </c>
      <c r="H24" s="4" t="s">
        <v>1</v>
      </c>
      <c r="I24" s="3" t="s">
        <v>609</v>
      </c>
    </row>
    <row r="25" spans="1:9" ht="30" x14ac:dyDescent="0.25">
      <c r="A25" s="4">
        <v>42587</v>
      </c>
      <c r="B25" s="4" t="s">
        <v>5</v>
      </c>
      <c r="C25" s="4" t="s">
        <v>29</v>
      </c>
      <c r="D25" s="4" t="s">
        <v>3</v>
      </c>
      <c r="E25" s="4" t="s">
        <v>2</v>
      </c>
      <c r="F25" s="5">
        <v>42178.79991898148</v>
      </c>
      <c r="G25" s="4">
        <v>0</v>
      </c>
      <c r="H25" s="4" t="s">
        <v>1</v>
      </c>
      <c r="I25" s="3" t="s">
        <v>610</v>
      </c>
    </row>
    <row r="26" spans="1:9" ht="240" x14ac:dyDescent="0.25">
      <c r="A26" s="4">
        <v>42586</v>
      </c>
      <c r="B26" s="4" t="s">
        <v>5</v>
      </c>
      <c r="C26" s="4" t="s">
        <v>29</v>
      </c>
      <c r="D26" s="4" t="s">
        <v>28</v>
      </c>
      <c r="E26" s="4" t="s">
        <v>2</v>
      </c>
      <c r="F26" s="5">
        <v>42178.79991898148</v>
      </c>
      <c r="G26" s="4">
        <v>0</v>
      </c>
      <c r="H26" s="4" t="s">
        <v>1</v>
      </c>
      <c r="I26" s="3" t="s">
        <v>611</v>
      </c>
    </row>
    <row r="27" spans="1:9" ht="30" x14ac:dyDescent="0.25">
      <c r="A27" s="4">
        <v>42585</v>
      </c>
      <c r="B27" s="4" t="s">
        <v>5</v>
      </c>
      <c r="C27" s="4" t="s">
        <v>29</v>
      </c>
      <c r="D27" s="4" t="s">
        <v>3</v>
      </c>
      <c r="E27" s="4" t="s">
        <v>2</v>
      </c>
      <c r="F27" s="5">
        <v>42178.79991898148</v>
      </c>
      <c r="G27" s="4">
        <v>0</v>
      </c>
      <c r="H27" s="4" t="s">
        <v>1</v>
      </c>
      <c r="I27" s="3" t="s">
        <v>612</v>
      </c>
    </row>
    <row r="28" spans="1:9" ht="30" x14ac:dyDescent="0.25">
      <c r="A28" s="4">
        <v>42584</v>
      </c>
      <c r="B28" s="4" t="s">
        <v>5</v>
      </c>
      <c r="C28" s="4" t="s">
        <v>29</v>
      </c>
      <c r="D28" s="4" t="s">
        <v>3</v>
      </c>
      <c r="E28" s="4" t="s">
        <v>2</v>
      </c>
      <c r="F28" s="5">
        <v>42178.796724537038</v>
      </c>
      <c r="G28" s="4">
        <v>0</v>
      </c>
      <c r="H28" s="4" t="s">
        <v>1</v>
      </c>
      <c r="I28" s="3" t="s">
        <v>613</v>
      </c>
    </row>
    <row r="29" spans="1:9" ht="240" x14ac:dyDescent="0.25">
      <c r="A29" s="4">
        <v>42583</v>
      </c>
      <c r="B29" s="4" t="s">
        <v>5</v>
      </c>
      <c r="C29" s="4" t="s">
        <v>29</v>
      </c>
      <c r="D29" s="4" t="s">
        <v>28</v>
      </c>
      <c r="E29" s="4" t="s">
        <v>2</v>
      </c>
      <c r="F29" s="5">
        <v>42178.796724537038</v>
      </c>
      <c r="G29" s="4">
        <v>0</v>
      </c>
      <c r="H29" s="4" t="s">
        <v>1</v>
      </c>
      <c r="I29" s="3" t="s">
        <v>611</v>
      </c>
    </row>
    <row r="30" spans="1:9" ht="30" x14ac:dyDescent="0.25">
      <c r="A30" s="4">
        <v>42582</v>
      </c>
      <c r="B30" s="4" t="s">
        <v>5</v>
      </c>
      <c r="C30" s="4" t="s">
        <v>29</v>
      </c>
      <c r="D30" s="4" t="s">
        <v>3</v>
      </c>
      <c r="E30" s="4" t="s">
        <v>2</v>
      </c>
      <c r="F30" s="5">
        <v>42178.796712962961</v>
      </c>
      <c r="G30" s="4">
        <v>0</v>
      </c>
      <c r="H30" s="4" t="s">
        <v>1</v>
      </c>
      <c r="I30" s="3" t="s">
        <v>614</v>
      </c>
    </row>
    <row r="31" spans="1:9" ht="90" x14ac:dyDescent="0.25">
      <c r="A31" s="4">
        <v>42530</v>
      </c>
      <c r="B31" s="4" t="s">
        <v>5</v>
      </c>
      <c r="C31" s="4" t="s">
        <v>29</v>
      </c>
      <c r="D31" s="4" t="s">
        <v>3</v>
      </c>
      <c r="E31" s="4" t="s">
        <v>2</v>
      </c>
      <c r="F31" s="5">
        <v>42178.721747685187</v>
      </c>
      <c r="G31" s="4">
        <v>0</v>
      </c>
      <c r="H31" s="4" t="s">
        <v>1</v>
      </c>
      <c r="I31" s="3" t="s">
        <v>569</v>
      </c>
    </row>
    <row r="32" spans="1:9" ht="90" x14ac:dyDescent="0.25">
      <c r="A32" s="4">
        <v>42529</v>
      </c>
      <c r="B32" s="4" t="s">
        <v>5</v>
      </c>
      <c r="C32" s="4" t="s">
        <v>29</v>
      </c>
      <c r="D32" s="4" t="s">
        <v>3</v>
      </c>
      <c r="E32" s="4" t="s">
        <v>2</v>
      </c>
      <c r="F32" s="5">
        <v>42178.721701388888</v>
      </c>
      <c r="G32" s="4">
        <v>0</v>
      </c>
      <c r="H32" s="4" t="s">
        <v>1</v>
      </c>
      <c r="I32" s="3" t="s">
        <v>570</v>
      </c>
    </row>
    <row r="33" spans="1:9" ht="30" x14ac:dyDescent="0.25">
      <c r="A33" s="4">
        <v>42528</v>
      </c>
      <c r="B33" s="4" t="s">
        <v>5</v>
      </c>
      <c r="C33" s="4" t="s">
        <v>29</v>
      </c>
      <c r="D33" s="4" t="s">
        <v>3</v>
      </c>
      <c r="E33" s="4" t="s">
        <v>2</v>
      </c>
      <c r="F33" s="5">
        <v>42178.721701388888</v>
      </c>
      <c r="G33" s="4">
        <v>0</v>
      </c>
      <c r="H33" s="4" t="s">
        <v>1</v>
      </c>
      <c r="I33" s="3" t="s">
        <v>571</v>
      </c>
    </row>
    <row r="34" spans="1:9" ht="30" x14ac:dyDescent="0.25">
      <c r="A34" s="4">
        <v>42527</v>
      </c>
      <c r="B34" s="4" t="s">
        <v>5</v>
      </c>
      <c r="C34" s="4" t="s">
        <v>29</v>
      </c>
      <c r="D34" s="4" t="s">
        <v>3</v>
      </c>
      <c r="E34" s="4" t="s">
        <v>2</v>
      </c>
      <c r="F34" s="5">
        <v>42178.721701388888</v>
      </c>
      <c r="G34" s="4">
        <v>0</v>
      </c>
      <c r="H34" s="4" t="s">
        <v>1</v>
      </c>
      <c r="I34" s="3" t="s">
        <v>572</v>
      </c>
    </row>
    <row r="35" spans="1:9" ht="90" x14ac:dyDescent="0.25">
      <c r="A35" s="4">
        <v>42526</v>
      </c>
      <c r="B35" s="4" t="s">
        <v>5</v>
      </c>
      <c r="C35" s="4" t="s">
        <v>29</v>
      </c>
      <c r="D35" s="4" t="s">
        <v>3</v>
      </c>
      <c r="E35" s="4" t="s">
        <v>2</v>
      </c>
      <c r="F35" s="5">
        <v>42178.718831018516</v>
      </c>
      <c r="G35" s="4">
        <v>0</v>
      </c>
      <c r="H35" s="4" t="s">
        <v>1</v>
      </c>
      <c r="I35" s="3" t="s">
        <v>569</v>
      </c>
    </row>
    <row r="36" spans="1:9" ht="90" x14ac:dyDescent="0.25">
      <c r="A36" s="4">
        <v>42525</v>
      </c>
      <c r="B36" s="4" t="s">
        <v>5</v>
      </c>
      <c r="C36" s="4" t="s">
        <v>29</v>
      </c>
      <c r="D36" s="4" t="s">
        <v>3</v>
      </c>
      <c r="E36" s="4" t="s">
        <v>2</v>
      </c>
      <c r="F36" s="5">
        <v>42178.718414351853</v>
      </c>
      <c r="G36" s="4">
        <v>0</v>
      </c>
      <c r="H36" s="4" t="s">
        <v>1</v>
      </c>
      <c r="I36" s="3" t="s">
        <v>570</v>
      </c>
    </row>
    <row r="37" spans="1:9" ht="30" x14ac:dyDescent="0.25">
      <c r="A37" s="4">
        <v>42524</v>
      </c>
      <c r="B37" s="4" t="s">
        <v>5</v>
      </c>
      <c r="C37" s="4" t="s">
        <v>29</v>
      </c>
      <c r="D37" s="4" t="s">
        <v>3</v>
      </c>
      <c r="E37" s="4" t="s">
        <v>2</v>
      </c>
      <c r="F37" s="5">
        <v>42178.718391203707</v>
      </c>
      <c r="G37" s="4">
        <v>0</v>
      </c>
      <c r="H37" s="4" t="s">
        <v>1</v>
      </c>
      <c r="I37" s="3" t="s">
        <v>571</v>
      </c>
    </row>
    <row r="38" spans="1:9" ht="30" x14ac:dyDescent="0.25">
      <c r="A38" s="4">
        <v>42523</v>
      </c>
      <c r="B38" s="4" t="s">
        <v>5</v>
      </c>
      <c r="C38" s="4" t="s">
        <v>29</v>
      </c>
      <c r="D38" s="4" t="s">
        <v>3</v>
      </c>
      <c r="E38" s="4" t="s">
        <v>2</v>
      </c>
      <c r="F38" s="5">
        <v>42178.718217592592</v>
      </c>
      <c r="G38" s="4">
        <v>0</v>
      </c>
      <c r="H38" s="4" t="s">
        <v>1</v>
      </c>
      <c r="I38" s="3" t="s">
        <v>573</v>
      </c>
    </row>
    <row r="39" spans="1:9" ht="409.5" x14ac:dyDescent="0.25">
      <c r="A39" s="4">
        <v>42500</v>
      </c>
      <c r="B39" s="4" t="s">
        <v>5</v>
      </c>
      <c r="C39" s="4" t="s">
        <v>29</v>
      </c>
      <c r="D39" s="4" t="s">
        <v>28</v>
      </c>
      <c r="E39" s="4" t="s">
        <v>2</v>
      </c>
      <c r="F39" s="5">
        <v>42178.476111111115</v>
      </c>
      <c r="G39" s="4">
        <v>0</v>
      </c>
      <c r="H39" s="4" t="s">
        <v>1</v>
      </c>
      <c r="I39" s="3" t="s">
        <v>574</v>
      </c>
    </row>
    <row r="40" spans="1:9" ht="409.5" x14ac:dyDescent="0.25">
      <c r="A40" s="4">
        <v>42499</v>
      </c>
      <c r="B40" s="4" t="s">
        <v>5</v>
      </c>
      <c r="C40" s="4" t="s">
        <v>29</v>
      </c>
      <c r="D40" s="4" t="s">
        <v>28</v>
      </c>
      <c r="E40" s="4" t="s">
        <v>2</v>
      </c>
      <c r="F40" s="5">
        <v>42178.475624999999</v>
      </c>
      <c r="G40" s="4">
        <v>0</v>
      </c>
      <c r="H40" s="4" t="s">
        <v>1</v>
      </c>
      <c r="I40" s="3" t="s">
        <v>574</v>
      </c>
    </row>
    <row r="41" spans="1:9" ht="405" x14ac:dyDescent="0.25">
      <c r="A41" s="4">
        <v>42498</v>
      </c>
      <c r="B41" s="4" t="s">
        <v>5</v>
      </c>
      <c r="C41" s="4" t="s">
        <v>29</v>
      </c>
      <c r="D41" s="4" t="s">
        <v>28</v>
      </c>
      <c r="E41" s="4" t="s">
        <v>2</v>
      </c>
      <c r="F41" s="5">
        <v>42178.471377314818</v>
      </c>
      <c r="G41" s="4">
        <v>0</v>
      </c>
      <c r="H41" s="4" t="s">
        <v>1</v>
      </c>
      <c r="I41" s="3" t="s">
        <v>575</v>
      </c>
    </row>
    <row r="42" spans="1:9" ht="405" x14ac:dyDescent="0.25">
      <c r="A42" s="4">
        <v>42497</v>
      </c>
      <c r="B42" s="4" t="s">
        <v>5</v>
      </c>
      <c r="C42" s="4" t="s">
        <v>29</v>
      </c>
      <c r="D42" s="4" t="s">
        <v>28</v>
      </c>
      <c r="E42" s="4" t="s">
        <v>2</v>
      </c>
      <c r="F42" s="5">
        <v>42178.469699074078</v>
      </c>
      <c r="G42" s="4">
        <v>0</v>
      </c>
      <c r="H42" s="4" t="s">
        <v>1</v>
      </c>
      <c r="I42" s="3" t="s">
        <v>575</v>
      </c>
    </row>
    <row r="43" spans="1:9" ht="409.5" x14ac:dyDescent="0.25">
      <c r="A43" s="4">
        <v>42496</v>
      </c>
      <c r="B43" s="4" t="s">
        <v>5</v>
      </c>
      <c r="C43" s="4" t="s">
        <v>29</v>
      </c>
      <c r="D43" s="4" t="s">
        <v>28</v>
      </c>
      <c r="E43" s="4" t="s">
        <v>2</v>
      </c>
      <c r="F43" s="5">
        <v>42178.46665509259</v>
      </c>
      <c r="G43" s="4">
        <v>0</v>
      </c>
      <c r="H43" s="4" t="s">
        <v>1</v>
      </c>
      <c r="I43" s="3" t="s">
        <v>576</v>
      </c>
    </row>
    <row r="44" spans="1:9" ht="225" x14ac:dyDescent="0.25">
      <c r="A44" s="4">
        <v>42495</v>
      </c>
      <c r="B44" s="4" t="s">
        <v>5</v>
      </c>
      <c r="C44" s="4" t="s">
        <v>29</v>
      </c>
      <c r="D44" s="4" t="s">
        <v>28</v>
      </c>
      <c r="E44" s="4" t="s">
        <v>2</v>
      </c>
      <c r="F44" s="5">
        <v>42178.449884259258</v>
      </c>
      <c r="G44" s="4">
        <v>0</v>
      </c>
      <c r="H44" s="4" t="s">
        <v>1</v>
      </c>
      <c r="I44" s="3" t="s">
        <v>577</v>
      </c>
    </row>
    <row r="45" spans="1:9" ht="225" x14ac:dyDescent="0.25">
      <c r="A45" s="4">
        <v>42494</v>
      </c>
      <c r="B45" s="4" t="s">
        <v>5</v>
      </c>
      <c r="C45" s="4" t="s">
        <v>29</v>
      </c>
      <c r="D45" s="4" t="s">
        <v>28</v>
      </c>
      <c r="E45" s="4" t="s">
        <v>2</v>
      </c>
      <c r="F45" s="5">
        <v>42178.444050925929</v>
      </c>
      <c r="G45" s="4">
        <v>0</v>
      </c>
      <c r="H45" s="4" t="s">
        <v>1</v>
      </c>
      <c r="I45" s="3" t="s">
        <v>577</v>
      </c>
    </row>
    <row r="46" spans="1:9" ht="240" x14ac:dyDescent="0.25">
      <c r="A46" s="4">
        <v>42447</v>
      </c>
      <c r="B46" s="4" t="s">
        <v>5</v>
      </c>
      <c r="C46" s="4" t="s">
        <v>29</v>
      </c>
      <c r="D46" s="4" t="s">
        <v>28</v>
      </c>
      <c r="E46" s="4" t="s">
        <v>2</v>
      </c>
      <c r="F46" s="5">
        <v>42178.100844907407</v>
      </c>
      <c r="G46" s="4">
        <v>0</v>
      </c>
      <c r="H46" s="4" t="s">
        <v>1</v>
      </c>
      <c r="I46" s="3" t="s">
        <v>578</v>
      </c>
    </row>
    <row r="47" spans="1:9" ht="240" x14ac:dyDescent="0.25">
      <c r="A47" s="4">
        <v>42446</v>
      </c>
      <c r="B47" s="4" t="s">
        <v>5</v>
      </c>
      <c r="C47" s="4" t="s">
        <v>29</v>
      </c>
      <c r="D47" s="4" t="s">
        <v>28</v>
      </c>
      <c r="E47" s="4" t="s">
        <v>2</v>
      </c>
      <c r="F47" s="5">
        <v>42178.095995370371</v>
      </c>
      <c r="G47" s="4">
        <v>0</v>
      </c>
      <c r="H47" s="4" t="s">
        <v>1</v>
      </c>
      <c r="I47" s="3" t="s">
        <v>578</v>
      </c>
    </row>
    <row r="48" spans="1:9" ht="240" x14ac:dyDescent="0.25">
      <c r="A48" s="4">
        <v>42445</v>
      </c>
      <c r="B48" s="4" t="s">
        <v>5</v>
      </c>
      <c r="C48" s="4" t="s">
        <v>29</v>
      </c>
      <c r="D48" s="4" t="s">
        <v>28</v>
      </c>
      <c r="E48" s="4" t="s">
        <v>2</v>
      </c>
      <c r="F48" s="5">
        <v>42178.095127314817</v>
      </c>
      <c r="G48" s="4">
        <v>0</v>
      </c>
      <c r="H48" s="4" t="s">
        <v>1</v>
      </c>
      <c r="I48" s="3" t="s">
        <v>579</v>
      </c>
    </row>
    <row r="49" spans="1:9" ht="240" x14ac:dyDescent="0.25">
      <c r="A49" s="4">
        <v>42444</v>
      </c>
      <c r="B49" s="4" t="s">
        <v>5</v>
      </c>
      <c r="C49" s="4" t="s">
        <v>29</v>
      </c>
      <c r="D49" s="4" t="s">
        <v>28</v>
      </c>
      <c r="E49" s="4" t="s">
        <v>2</v>
      </c>
      <c r="F49" s="5">
        <v>42178.094027777777</v>
      </c>
      <c r="G49" s="4">
        <v>0</v>
      </c>
      <c r="H49" s="4" t="s">
        <v>1</v>
      </c>
      <c r="I49" s="3" t="s">
        <v>579</v>
      </c>
    </row>
    <row r="50" spans="1:9" ht="240" x14ac:dyDescent="0.25">
      <c r="A50" s="4">
        <v>42443</v>
      </c>
      <c r="B50" s="4" t="s">
        <v>5</v>
      </c>
      <c r="C50" s="4" t="s">
        <v>29</v>
      </c>
      <c r="D50" s="4" t="s">
        <v>28</v>
      </c>
      <c r="E50" s="4" t="s">
        <v>2</v>
      </c>
      <c r="F50" s="5">
        <v>42178.089398148149</v>
      </c>
      <c r="G50" s="4">
        <v>0</v>
      </c>
      <c r="H50" s="4" t="s">
        <v>1</v>
      </c>
      <c r="I50" s="3" t="s">
        <v>580</v>
      </c>
    </row>
    <row r="51" spans="1:9" ht="135" x14ac:dyDescent="0.25">
      <c r="A51" s="4">
        <v>42406</v>
      </c>
      <c r="B51" s="4" t="s">
        <v>5</v>
      </c>
      <c r="C51" s="4" t="s">
        <v>29</v>
      </c>
      <c r="D51" s="4" t="s">
        <v>28</v>
      </c>
      <c r="E51" s="4" t="s">
        <v>2</v>
      </c>
      <c r="F51" s="5">
        <v>42177.20884259259</v>
      </c>
      <c r="G51" s="4">
        <v>0</v>
      </c>
      <c r="H51" s="4" t="s">
        <v>1</v>
      </c>
      <c r="I51" s="3" t="s">
        <v>158</v>
      </c>
    </row>
    <row r="52" spans="1:9" ht="195" x14ac:dyDescent="0.25">
      <c r="A52" s="4">
        <v>42402</v>
      </c>
      <c r="B52" s="4" t="s">
        <v>5</v>
      </c>
      <c r="C52" s="4" t="s">
        <v>29</v>
      </c>
      <c r="D52" s="4" t="s">
        <v>28</v>
      </c>
      <c r="E52" s="4" t="s">
        <v>2</v>
      </c>
      <c r="F52" s="5">
        <v>42177.053229166668</v>
      </c>
      <c r="G52" s="4">
        <v>0</v>
      </c>
      <c r="H52" s="4" t="s">
        <v>1</v>
      </c>
      <c r="I52" s="3" t="s">
        <v>581</v>
      </c>
    </row>
    <row r="53" spans="1:9" ht="105" x14ac:dyDescent="0.25">
      <c r="A53" s="4">
        <v>42401</v>
      </c>
      <c r="B53" s="4" t="s">
        <v>5</v>
      </c>
      <c r="C53" s="4" t="s">
        <v>29</v>
      </c>
      <c r="D53" s="4" t="s">
        <v>28</v>
      </c>
      <c r="E53" s="4" t="s">
        <v>2</v>
      </c>
      <c r="F53" s="5">
        <v>42177.030821759261</v>
      </c>
      <c r="G53" s="4">
        <v>0</v>
      </c>
      <c r="H53" s="4" t="s">
        <v>1</v>
      </c>
      <c r="I53" s="3" t="s">
        <v>582</v>
      </c>
    </row>
    <row r="54" spans="1:9" ht="105" x14ac:dyDescent="0.25">
      <c r="A54" s="4">
        <v>42400</v>
      </c>
      <c r="B54" s="4" t="s">
        <v>5</v>
      </c>
      <c r="C54" s="4" t="s">
        <v>29</v>
      </c>
      <c r="D54" s="4" t="s">
        <v>28</v>
      </c>
      <c r="E54" s="4" t="s">
        <v>2</v>
      </c>
      <c r="F54" s="5">
        <v>42177.030810185184</v>
      </c>
      <c r="G54" s="4">
        <v>0</v>
      </c>
      <c r="H54" s="4" t="s">
        <v>1</v>
      </c>
      <c r="I54" s="3" t="s">
        <v>583</v>
      </c>
    </row>
    <row r="55" spans="1:9" ht="195" x14ac:dyDescent="0.25">
      <c r="A55" s="4">
        <v>42398</v>
      </c>
      <c r="B55" s="4" t="s">
        <v>5</v>
      </c>
      <c r="C55" s="4" t="s">
        <v>29</v>
      </c>
      <c r="D55" s="4" t="s">
        <v>28</v>
      </c>
      <c r="E55" s="4" t="s">
        <v>2</v>
      </c>
      <c r="F55" s="5">
        <v>42177.0237037037</v>
      </c>
      <c r="G55" s="4">
        <v>0</v>
      </c>
      <c r="H55" s="4" t="s">
        <v>1</v>
      </c>
      <c r="I55" s="3" t="s">
        <v>584</v>
      </c>
    </row>
    <row r="56" spans="1:9" ht="105" x14ac:dyDescent="0.25">
      <c r="A56" s="4">
        <v>42397</v>
      </c>
      <c r="B56" s="4" t="s">
        <v>5</v>
      </c>
      <c r="C56" s="4" t="s">
        <v>29</v>
      </c>
      <c r="D56" s="4" t="s">
        <v>28</v>
      </c>
      <c r="E56" s="4" t="s">
        <v>2</v>
      </c>
      <c r="F56" s="5">
        <v>42177.021458333336</v>
      </c>
      <c r="G56" s="4">
        <v>0</v>
      </c>
      <c r="H56" s="4" t="s">
        <v>1</v>
      </c>
      <c r="I56" s="3" t="s">
        <v>582</v>
      </c>
    </row>
    <row r="57" spans="1:9" ht="105" x14ac:dyDescent="0.25">
      <c r="A57" s="4">
        <v>42396</v>
      </c>
      <c r="B57" s="4" t="s">
        <v>5</v>
      </c>
      <c r="C57" s="4" t="s">
        <v>29</v>
      </c>
      <c r="D57" s="4" t="s">
        <v>28</v>
      </c>
      <c r="E57" s="4" t="s">
        <v>2</v>
      </c>
      <c r="F57" s="5">
        <v>42177.021458333336</v>
      </c>
      <c r="G57" s="4">
        <v>0</v>
      </c>
      <c r="H57" s="4" t="s">
        <v>1</v>
      </c>
      <c r="I57" s="3" t="s">
        <v>583</v>
      </c>
    </row>
    <row r="58" spans="1:9" ht="195" x14ac:dyDescent="0.25">
      <c r="A58" s="4">
        <v>42394</v>
      </c>
      <c r="B58" s="4" t="s">
        <v>5</v>
      </c>
      <c r="C58" s="4" t="s">
        <v>29</v>
      </c>
      <c r="D58" s="4" t="s">
        <v>28</v>
      </c>
      <c r="E58" s="4" t="s">
        <v>2</v>
      </c>
      <c r="F58" s="5">
        <v>42177.012557870374</v>
      </c>
      <c r="G58" s="4">
        <v>0</v>
      </c>
      <c r="H58" s="4" t="s">
        <v>1</v>
      </c>
      <c r="I58" s="3" t="s">
        <v>584</v>
      </c>
    </row>
    <row r="59" spans="1:9" ht="195" x14ac:dyDescent="0.25">
      <c r="A59" s="4">
        <v>42392</v>
      </c>
      <c r="B59" s="4" t="s">
        <v>5</v>
      </c>
      <c r="C59" s="4" t="s">
        <v>29</v>
      </c>
      <c r="D59" s="4" t="s">
        <v>28</v>
      </c>
      <c r="E59" s="4" t="s">
        <v>2</v>
      </c>
      <c r="F59" s="5">
        <v>42177.004247685189</v>
      </c>
      <c r="G59" s="4">
        <v>0</v>
      </c>
      <c r="H59" s="4" t="s">
        <v>1</v>
      </c>
      <c r="I59" s="3" t="s">
        <v>584</v>
      </c>
    </row>
    <row r="60" spans="1:9" ht="105" x14ac:dyDescent="0.25">
      <c r="A60" s="4">
        <v>42391</v>
      </c>
      <c r="B60" s="4" t="s">
        <v>5</v>
      </c>
      <c r="C60" s="4" t="s">
        <v>29</v>
      </c>
      <c r="D60" s="4" t="s">
        <v>28</v>
      </c>
      <c r="E60" s="4" t="s">
        <v>2</v>
      </c>
      <c r="F60" s="5">
        <v>42177.002546296295</v>
      </c>
      <c r="G60" s="4">
        <v>0</v>
      </c>
      <c r="H60" s="4" t="s">
        <v>1</v>
      </c>
      <c r="I60" s="3" t="s">
        <v>582</v>
      </c>
    </row>
    <row r="61" spans="1:9" ht="105" x14ac:dyDescent="0.25">
      <c r="A61" s="4">
        <v>42390</v>
      </c>
      <c r="B61" s="4" t="s">
        <v>5</v>
      </c>
      <c r="C61" s="4" t="s">
        <v>29</v>
      </c>
      <c r="D61" s="4" t="s">
        <v>28</v>
      </c>
      <c r="E61" s="4" t="s">
        <v>2</v>
      </c>
      <c r="F61" s="5">
        <v>42177.002534722225</v>
      </c>
      <c r="G61" s="4">
        <v>0</v>
      </c>
      <c r="H61" s="4" t="s">
        <v>1</v>
      </c>
      <c r="I61" s="3" t="s">
        <v>583</v>
      </c>
    </row>
  </sheetData>
  <conditionalFormatting sqref="A2:I61">
    <cfRule type="expression" dxfId="83" priority="1">
      <formula>$D2="ERROR"</formula>
    </cfRule>
    <cfRule type="expression" dxfId="82" priority="2">
      <formula>$D2="WARNING"</formula>
    </cfRule>
  </conditionalFormatting>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218"/>
  <sheetViews>
    <sheetView workbookViewId="0">
      <pane xSplit="1" ySplit="1" topLeftCell="B12" activePane="bottomRight" state="frozen"/>
      <selection pane="topRight" activeCell="B1" sqref="B1"/>
      <selection pane="bottomLeft" activeCell="A2" sqref="A2"/>
      <selection pane="bottomRight" activeCell="A14" sqref="A14"/>
    </sheetView>
  </sheetViews>
  <sheetFormatPr defaultRowHeight="15" x14ac:dyDescent="0.25"/>
  <cols>
    <col min="1" max="1" width="10.125" style="1" bestFit="1" customWidth="1"/>
    <col min="2" max="2" width="11.875" style="1" bestFit="1" customWidth="1"/>
    <col min="3" max="3" width="13.5" style="1" bestFit="1" customWidth="1"/>
    <col min="4" max="4" width="11.875" style="1" customWidth="1"/>
    <col min="5" max="5" width="8.875" style="1" bestFit="1" customWidth="1"/>
    <col min="6" max="6" width="20.125" style="1" bestFit="1" customWidth="1"/>
    <col min="7" max="7" width="6.375" style="1" bestFit="1" customWidth="1"/>
    <col min="8" max="8" width="9.625" style="1" bestFit="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x14ac:dyDescent="0.25">
      <c r="A2" s="4">
        <v>42827</v>
      </c>
      <c r="B2" s="4" t="s">
        <v>5</v>
      </c>
      <c r="C2" s="4" t="s">
        <v>29</v>
      </c>
      <c r="D2" s="4" t="s">
        <v>3</v>
      </c>
      <c r="E2" s="4" t="s">
        <v>2</v>
      </c>
      <c r="F2" s="5">
        <v>42179.91847222222</v>
      </c>
      <c r="G2" s="4">
        <v>0</v>
      </c>
      <c r="H2" s="4" t="s">
        <v>1</v>
      </c>
      <c r="I2" s="3" t="s">
        <v>663</v>
      </c>
    </row>
    <row r="3" spans="1:9" ht="90" x14ac:dyDescent="0.25">
      <c r="A3" s="4">
        <v>42826</v>
      </c>
      <c r="B3" s="4" t="s">
        <v>5</v>
      </c>
      <c r="C3" s="4" t="s">
        <v>29</v>
      </c>
      <c r="D3" s="4" t="s">
        <v>3</v>
      </c>
      <c r="E3" s="4" t="s">
        <v>2</v>
      </c>
      <c r="F3" s="5">
        <v>42179.91847222222</v>
      </c>
      <c r="G3" s="4">
        <v>0</v>
      </c>
      <c r="H3" s="4" t="s">
        <v>1</v>
      </c>
      <c r="I3" s="3" t="s">
        <v>664</v>
      </c>
    </row>
    <row r="4" spans="1:9" x14ac:dyDescent="0.25">
      <c r="A4" s="4">
        <v>42825</v>
      </c>
      <c r="B4" s="4" t="s">
        <v>5</v>
      </c>
      <c r="C4" s="4" t="s">
        <v>29</v>
      </c>
      <c r="D4" s="4" t="s">
        <v>3</v>
      </c>
      <c r="E4" s="4" t="s">
        <v>2</v>
      </c>
      <c r="F4" s="5">
        <v>42179.91847222222</v>
      </c>
      <c r="G4" s="4">
        <v>0</v>
      </c>
      <c r="H4" s="4" t="s">
        <v>1</v>
      </c>
      <c r="I4" s="3" t="s">
        <v>597</v>
      </c>
    </row>
    <row r="5" spans="1:9" x14ac:dyDescent="0.25">
      <c r="A5" s="4">
        <v>42824</v>
      </c>
      <c r="B5" s="4" t="s">
        <v>5</v>
      </c>
      <c r="C5" s="4" t="s">
        <v>29</v>
      </c>
      <c r="D5" s="4" t="s">
        <v>3</v>
      </c>
      <c r="E5" s="4" t="s">
        <v>2</v>
      </c>
      <c r="F5" s="5">
        <v>42179.918356481481</v>
      </c>
      <c r="G5" s="4">
        <v>0</v>
      </c>
      <c r="H5" s="4" t="s">
        <v>1</v>
      </c>
      <c r="I5" s="3" t="s">
        <v>598</v>
      </c>
    </row>
    <row r="6" spans="1:9" ht="90" x14ac:dyDescent="0.25">
      <c r="A6" s="4">
        <v>42823</v>
      </c>
      <c r="B6" s="4" t="s">
        <v>5</v>
      </c>
      <c r="C6" s="4" t="s">
        <v>29</v>
      </c>
      <c r="D6" s="4" t="s">
        <v>3</v>
      </c>
      <c r="E6" s="4" t="s">
        <v>2</v>
      </c>
      <c r="F6" s="5">
        <v>42179.918356481481</v>
      </c>
      <c r="G6" s="4">
        <v>0</v>
      </c>
      <c r="H6" s="4" t="s">
        <v>1</v>
      </c>
      <c r="I6" s="3" t="s">
        <v>665</v>
      </c>
    </row>
    <row r="7" spans="1:9" ht="150" x14ac:dyDescent="0.25">
      <c r="A7" s="4">
        <v>42822</v>
      </c>
      <c r="B7" s="4" t="s">
        <v>5</v>
      </c>
      <c r="C7" s="4" t="s">
        <v>29</v>
      </c>
      <c r="D7" s="4" t="s">
        <v>3</v>
      </c>
      <c r="E7" s="4" t="s">
        <v>2</v>
      </c>
      <c r="F7" s="5">
        <v>42179.918356481481</v>
      </c>
      <c r="G7" s="4">
        <v>0</v>
      </c>
      <c r="H7" s="4" t="s">
        <v>1</v>
      </c>
      <c r="I7" s="3" t="s">
        <v>666</v>
      </c>
    </row>
    <row r="8" spans="1:9" ht="30" x14ac:dyDescent="0.25">
      <c r="A8" s="4">
        <v>42821</v>
      </c>
      <c r="B8" s="4" t="s">
        <v>5</v>
      </c>
      <c r="C8" s="4" t="s">
        <v>29</v>
      </c>
      <c r="D8" s="4" t="s">
        <v>3</v>
      </c>
      <c r="E8" s="4" t="s">
        <v>2</v>
      </c>
      <c r="F8" s="5">
        <v>42179.918356481481</v>
      </c>
      <c r="G8" s="4">
        <v>0</v>
      </c>
      <c r="H8" s="4" t="s">
        <v>1</v>
      </c>
      <c r="I8" s="3" t="s">
        <v>667</v>
      </c>
    </row>
    <row r="9" spans="1:9" x14ac:dyDescent="0.25">
      <c r="A9" s="4">
        <v>42820</v>
      </c>
      <c r="B9" s="4" t="s">
        <v>5</v>
      </c>
      <c r="C9" s="4" t="s">
        <v>29</v>
      </c>
      <c r="D9" s="4" t="s">
        <v>3</v>
      </c>
      <c r="E9" s="4" t="s">
        <v>2</v>
      </c>
      <c r="F9" s="5">
        <v>42179.918298611112</v>
      </c>
      <c r="G9" s="4">
        <v>0</v>
      </c>
      <c r="H9" s="4" t="s">
        <v>1</v>
      </c>
      <c r="I9" s="3" t="s">
        <v>668</v>
      </c>
    </row>
    <row r="10" spans="1:9" ht="90" x14ac:dyDescent="0.25">
      <c r="A10" s="4">
        <v>42819</v>
      </c>
      <c r="B10" s="4" t="s">
        <v>5</v>
      </c>
      <c r="C10" s="4" t="s">
        <v>29</v>
      </c>
      <c r="D10" s="4" t="s">
        <v>3</v>
      </c>
      <c r="E10" s="4" t="s">
        <v>2</v>
      </c>
      <c r="F10" s="5">
        <v>42179.918298611112</v>
      </c>
      <c r="G10" s="4">
        <v>0</v>
      </c>
      <c r="H10" s="4" t="s">
        <v>1</v>
      </c>
      <c r="I10" s="3" t="s">
        <v>669</v>
      </c>
    </row>
    <row r="11" spans="1:9" x14ac:dyDescent="0.25">
      <c r="A11" s="4">
        <v>42818</v>
      </c>
      <c r="B11" s="4" t="s">
        <v>5</v>
      </c>
      <c r="C11" s="4" t="s">
        <v>29</v>
      </c>
      <c r="D11" s="4" t="s">
        <v>3</v>
      </c>
      <c r="E11" s="4" t="s">
        <v>2</v>
      </c>
      <c r="F11" s="5">
        <v>42179.918298611112</v>
      </c>
      <c r="G11" s="4">
        <v>0</v>
      </c>
      <c r="H11" s="4" t="s">
        <v>1</v>
      </c>
      <c r="I11" s="3" t="s">
        <v>597</v>
      </c>
    </row>
    <row r="12" spans="1:9" x14ac:dyDescent="0.25">
      <c r="A12" s="4">
        <v>42817</v>
      </c>
      <c r="B12" s="4" t="s">
        <v>5</v>
      </c>
      <c r="C12" s="4" t="s">
        <v>29</v>
      </c>
      <c r="D12" s="4" t="s">
        <v>3</v>
      </c>
      <c r="E12" s="4" t="s">
        <v>2</v>
      </c>
      <c r="F12" s="5">
        <v>42179.917962962965</v>
      </c>
      <c r="G12" s="4">
        <v>0</v>
      </c>
      <c r="H12" s="4" t="s">
        <v>1</v>
      </c>
      <c r="I12" s="3" t="s">
        <v>598</v>
      </c>
    </row>
    <row r="13" spans="1:9" ht="90" x14ac:dyDescent="0.25">
      <c r="A13" s="4">
        <v>42816</v>
      </c>
      <c r="B13" s="4" t="s">
        <v>5</v>
      </c>
      <c r="C13" s="4" t="s">
        <v>29</v>
      </c>
      <c r="D13" s="4" t="s">
        <v>3</v>
      </c>
      <c r="E13" s="4" t="s">
        <v>2</v>
      </c>
      <c r="F13" s="5">
        <v>42179.917962962965</v>
      </c>
      <c r="G13" s="4">
        <v>0</v>
      </c>
      <c r="H13" s="4" t="s">
        <v>1</v>
      </c>
      <c r="I13" s="3" t="s">
        <v>670</v>
      </c>
    </row>
    <row r="14" spans="1:9" ht="150" x14ac:dyDescent="0.25">
      <c r="A14" s="4">
        <v>42815</v>
      </c>
      <c r="B14" s="4" t="s">
        <v>5</v>
      </c>
      <c r="C14" s="4" t="s">
        <v>29</v>
      </c>
      <c r="D14" s="4" t="s">
        <v>3</v>
      </c>
      <c r="E14" s="4" t="s">
        <v>2</v>
      </c>
      <c r="F14" s="5">
        <v>42179.917962962965</v>
      </c>
      <c r="G14" s="4">
        <v>0</v>
      </c>
      <c r="H14" s="4" t="s">
        <v>1</v>
      </c>
      <c r="I14" s="3" t="s">
        <v>671</v>
      </c>
    </row>
    <row r="15" spans="1:9" ht="30" x14ac:dyDescent="0.25">
      <c r="A15" s="4">
        <v>42814</v>
      </c>
      <c r="B15" s="4" t="s">
        <v>5</v>
      </c>
      <c r="C15" s="4" t="s">
        <v>29</v>
      </c>
      <c r="D15" s="4" t="s">
        <v>3</v>
      </c>
      <c r="E15" s="4" t="s">
        <v>2</v>
      </c>
      <c r="F15" s="5">
        <v>42179.917962962965</v>
      </c>
      <c r="G15" s="4">
        <v>0</v>
      </c>
      <c r="H15" s="4" t="s">
        <v>1</v>
      </c>
      <c r="I15" s="3" t="s">
        <v>672</v>
      </c>
    </row>
    <row r="16" spans="1:9" x14ac:dyDescent="0.25">
      <c r="A16" s="4">
        <v>42813</v>
      </c>
      <c r="B16" s="4" t="s">
        <v>5</v>
      </c>
      <c r="C16" s="4" t="s">
        <v>29</v>
      </c>
      <c r="D16" s="4" t="s">
        <v>3</v>
      </c>
      <c r="E16" s="4" t="s">
        <v>2</v>
      </c>
      <c r="F16" s="5">
        <v>42179.917951388888</v>
      </c>
      <c r="G16" s="4">
        <v>0</v>
      </c>
      <c r="H16" s="4" t="s">
        <v>1</v>
      </c>
      <c r="I16" s="3" t="s">
        <v>673</v>
      </c>
    </row>
    <row r="17" spans="1:9" ht="90" x14ac:dyDescent="0.25">
      <c r="A17" s="4">
        <v>42812</v>
      </c>
      <c r="B17" s="4" t="s">
        <v>5</v>
      </c>
      <c r="C17" s="4" t="s">
        <v>29</v>
      </c>
      <c r="D17" s="4" t="s">
        <v>3</v>
      </c>
      <c r="E17" s="4" t="s">
        <v>2</v>
      </c>
      <c r="F17" s="5">
        <v>42179.917951388888</v>
      </c>
      <c r="G17" s="4">
        <v>0</v>
      </c>
      <c r="H17" s="4" t="s">
        <v>1</v>
      </c>
      <c r="I17" s="3" t="s">
        <v>674</v>
      </c>
    </row>
    <row r="18" spans="1:9" x14ac:dyDescent="0.25">
      <c r="A18" s="4">
        <v>42811</v>
      </c>
      <c r="B18" s="4" t="s">
        <v>5</v>
      </c>
      <c r="C18" s="4" t="s">
        <v>29</v>
      </c>
      <c r="D18" s="4" t="s">
        <v>3</v>
      </c>
      <c r="E18" s="4" t="s">
        <v>2</v>
      </c>
      <c r="F18" s="5">
        <v>42179.917951388888</v>
      </c>
      <c r="G18" s="4">
        <v>0</v>
      </c>
      <c r="H18" s="4" t="s">
        <v>1</v>
      </c>
      <c r="I18" s="3" t="s">
        <v>597</v>
      </c>
    </row>
    <row r="19" spans="1:9" x14ac:dyDescent="0.25">
      <c r="A19" s="4">
        <v>42810</v>
      </c>
      <c r="B19" s="4" t="s">
        <v>5</v>
      </c>
      <c r="C19" s="4" t="s">
        <v>29</v>
      </c>
      <c r="D19" s="4" t="s">
        <v>3</v>
      </c>
      <c r="E19" s="4" t="s">
        <v>2</v>
      </c>
      <c r="F19" s="5">
        <v>42179.917951388888</v>
      </c>
      <c r="G19" s="4">
        <v>0</v>
      </c>
      <c r="H19" s="4" t="s">
        <v>1</v>
      </c>
      <c r="I19" s="3" t="s">
        <v>598</v>
      </c>
    </row>
    <row r="20" spans="1:9" ht="90" x14ac:dyDescent="0.25">
      <c r="A20" s="4">
        <v>42809</v>
      </c>
      <c r="B20" s="4" t="s">
        <v>5</v>
      </c>
      <c r="C20" s="4" t="s">
        <v>29</v>
      </c>
      <c r="D20" s="4" t="s">
        <v>3</v>
      </c>
      <c r="E20" s="4" t="s">
        <v>2</v>
      </c>
      <c r="F20" s="5">
        <v>42179.917951388888</v>
      </c>
      <c r="G20" s="4">
        <v>0</v>
      </c>
      <c r="H20" s="4" t="s">
        <v>1</v>
      </c>
      <c r="I20" s="3" t="s">
        <v>675</v>
      </c>
    </row>
    <row r="21" spans="1:9" ht="150" x14ac:dyDescent="0.25">
      <c r="A21" s="4">
        <v>42808</v>
      </c>
      <c r="B21" s="4" t="s">
        <v>5</v>
      </c>
      <c r="C21" s="4" t="s">
        <v>29</v>
      </c>
      <c r="D21" s="4" t="s">
        <v>3</v>
      </c>
      <c r="E21" s="4" t="s">
        <v>2</v>
      </c>
      <c r="F21" s="5">
        <v>42179.917951388888</v>
      </c>
      <c r="G21" s="4">
        <v>0</v>
      </c>
      <c r="H21" s="4" t="s">
        <v>1</v>
      </c>
      <c r="I21" s="3" t="s">
        <v>676</v>
      </c>
    </row>
    <row r="22" spans="1:9" ht="30" x14ac:dyDescent="0.25">
      <c r="A22" s="4">
        <v>42807</v>
      </c>
      <c r="B22" s="4" t="s">
        <v>5</v>
      </c>
      <c r="C22" s="4" t="s">
        <v>29</v>
      </c>
      <c r="D22" s="4" t="s">
        <v>3</v>
      </c>
      <c r="E22" s="4" t="s">
        <v>2</v>
      </c>
      <c r="F22" s="5">
        <v>42179.917951388888</v>
      </c>
      <c r="G22" s="4">
        <v>0</v>
      </c>
      <c r="H22" s="4" t="s">
        <v>1</v>
      </c>
      <c r="I22" s="3" t="s">
        <v>677</v>
      </c>
    </row>
    <row r="23" spans="1:9" x14ac:dyDescent="0.25">
      <c r="A23" s="4">
        <v>42806</v>
      </c>
      <c r="B23" s="4" t="s">
        <v>5</v>
      </c>
      <c r="C23" s="4" t="s">
        <v>29</v>
      </c>
      <c r="D23" s="4" t="s">
        <v>3</v>
      </c>
      <c r="E23" s="4" t="s">
        <v>2</v>
      </c>
      <c r="F23" s="5">
        <v>42179.917893518519</v>
      </c>
      <c r="G23" s="4">
        <v>0</v>
      </c>
      <c r="H23" s="4" t="s">
        <v>1</v>
      </c>
      <c r="I23" s="3" t="s">
        <v>678</v>
      </c>
    </row>
    <row r="24" spans="1:9" x14ac:dyDescent="0.25">
      <c r="A24" s="4">
        <v>42805</v>
      </c>
      <c r="B24" s="4" t="s">
        <v>5</v>
      </c>
      <c r="C24" s="4" t="s">
        <v>29</v>
      </c>
      <c r="D24" s="4" t="s">
        <v>3</v>
      </c>
      <c r="E24" s="4" t="s">
        <v>2</v>
      </c>
      <c r="F24" s="5">
        <v>42179.917893518519</v>
      </c>
      <c r="G24" s="4">
        <v>0</v>
      </c>
      <c r="H24" s="4" t="s">
        <v>1</v>
      </c>
      <c r="I24" s="3" t="s">
        <v>679</v>
      </c>
    </row>
    <row r="25" spans="1:9" x14ac:dyDescent="0.25">
      <c r="A25" s="4">
        <v>42804</v>
      </c>
      <c r="B25" s="4" t="s">
        <v>5</v>
      </c>
      <c r="C25" s="4" t="s">
        <v>29</v>
      </c>
      <c r="D25" s="4" t="s">
        <v>3</v>
      </c>
      <c r="E25" s="4" t="s">
        <v>2</v>
      </c>
      <c r="F25" s="5">
        <v>42179.917893518519</v>
      </c>
      <c r="G25" s="4">
        <v>0</v>
      </c>
      <c r="H25" s="4" t="s">
        <v>1</v>
      </c>
      <c r="I25" s="3" t="s">
        <v>597</v>
      </c>
    </row>
    <row r="26" spans="1:9" x14ac:dyDescent="0.25">
      <c r="A26" s="4">
        <v>42803</v>
      </c>
      <c r="B26" s="4" t="s">
        <v>5</v>
      </c>
      <c r="C26" s="4" t="s">
        <v>29</v>
      </c>
      <c r="D26" s="4" t="s">
        <v>3</v>
      </c>
      <c r="E26" s="4" t="s">
        <v>2</v>
      </c>
      <c r="F26" s="5">
        <v>42179.917442129627</v>
      </c>
      <c r="G26" s="4">
        <v>0</v>
      </c>
      <c r="H26" s="4" t="s">
        <v>1</v>
      </c>
      <c r="I26" s="3" t="s">
        <v>598</v>
      </c>
    </row>
    <row r="27" spans="1:9" x14ac:dyDescent="0.25">
      <c r="A27" s="4">
        <v>42802</v>
      </c>
      <c r="B27" s="4" t="s">
        <v>5</v>
      </c>
      <c r="C27" s="4" t="s">
        <v>29</v>
      </c>
      <c r="D27" s="4" t="s">
        <v>3</v>
      </c>
      <c r="E27" s="4" t="s">
        <v>2</v>
      </c>
      <c r="F27" s="5">
        <v>42179.917442129627</v>
      </c>
      <c r="G27" s="4">
        <v>0</v>
      </c>
      <c r="H27" s="4" t="s">
        <v>1</v>
      </c>
      <c r="I27" s="3" t="s">
        <v>679</v>
      </c>
    </row>
    <row r="28" spans="1:9" ht="150" x14ac:dyDescent="0.25">
      <c r="A28" s="4">
        <v>42801</v>
      </c>
      <c r="B28" s="4" t="s">
        <v>5</v>
      </c>
      <c r="C28" s="4" t="s">
        <v>29</v>
      </c>
      <c r="D28" s="4" t="s">
        <v>3</v>
      </c>
      <c r="E28" s="4" t="s">
        <v>2</v>
      </c>
      <c r="F28" s="5">
        <v>42179.917442129627</v>
      </c>
      <c r="G28" s="4">
        <v>0</v>
      </c>
      <c r="H28" s="4" t="s">
        <v>1</v>
      </c>
      <c r="I28" s="3" t="s">
        <v>680</v>
      </c>
    </row>
    <row r="29" spans="1:9" ht="30" x14ac:dyDescent="0.25">
      <c r="A29" s="4">
        <v>42800</v>
      </c>
      <c r="B29" s="4" t="s">
        <v>5</v>
      </c>
      <c r="C29" s="4" t="s">
        <v>29</v>
      </c>
      <c r="D29" s="4" t="s">
        <v>3</v>
      </c>
      <c r="E29" s="4" t="s">
        <v>2</v>
      </c>
      <c r="F29" s="5">
        <v>42179.917442129627</v>
      </c>
      <c r="G29" s="4">
        <v>0</v>
      </c>
      <c r="H29" s="4" t="s">
        <v>1</v>
      </c>
      <c r="I29" s="3" t="s">
        <v>681</v>
      </c>
    </row>
    <row r="30" spans="1:9" x14ac:dyDescent="0.25">
      <c r="A30" s="4">
        <v>42794</v>
      </c>
      <c r="B30" s="4" t="s">
        <v>5</v>
      </c>
      <c r="C30" s="4" t="s">
        <v>29</v>
      </c>
      <c r="D30" s="4" t="s">
        <v>3</v>
      </c>
      <c r="E30" s="4" t="s">
        <v>2</v>
      </c>
      <c r="F30" s="5">
        <v>42179.905798611115</v>
      </c>
      <c r="G30" s="4">
        <v>0</v>
      </c>
      <c r="H30" s="4" t="s">
        <v>1</v>
      </c>
      <c r="I30" s="3" t="s">
        <v>682</v>
      </c>
    </row>
    <row r="31" spans="1:9" ht="90" x14ac:dyDescent="0.25">
      <c r="A31" s="4">
        <v>42793</v>
      </c>
      <c r="B31" s="4" t="s">
        <v>5</v>
      </c>
      <c r="C31" s="4" t="s">
        <v>29</v>
      </c>
      <c r="D31" s="4" t="s">
        <v>3</v>
      </c>
      <c r="E31" s="4" t="s">
        <v>2</v>
      </c>
      <c r="F31" s="5">
        <v>42179.905798611115</v>
      </c>
      <c r="G31" s="4">
        <v>0</v>
      </c>
      <c r="H31" s="4" t="s">
        <v>1</v>
      </c>
      <c r="I31" s="3" t="s">
        <v>683</v>
      </c>
    </row>
    <row r="32" spans="1:9" x14ac:dyDescent="0.25">
      <c r="A32" s="4">
        <v>42792</v>
      </c>
      <c r="B32" s="4" t="s">
        <v>5</v>
      </c>
      <c r="C32" s="4" t="s">
        <v>29</v>
      </c>
      <c r="D32" s="4" t="s">
        <v>3</v>
      </c>
      <c r="E32" s="4" t="s">
        <v>2</v>
      </c>
      <c r="F32" s="5">
        <v>42179.905798611115</v>
      </c>
      <c r="G32" s="4">
        <v>0</v>
      </c>
      <c r="H32" s="4" t="s">
        <v>1</v>
      </c>
      <c r="I32" s="3" t="s">
        <v>597</v>
      </c>
    </row>
    <row r="33" spans="1:9" x14ac:dyDescent="0.25">
      <c r="A33" s="4">
        <v>42791</v>
      </c>
      <c r="B33" s="4" t="s">
        <v>5</v>
      </c>
      <c r="C33" s="4" t="s">
        <v>29</v>
      </c>
      <c r="D33" s="4" t="s">
        <v>3</v>
      </c>
      <c r="E33" s="4" t="s">
        <v>2</v>
      </c>
      <c r="F33" s="5">
        <v>42179.905740740738</v>
      </c>
      <c r="G33" s="4">
        <v>0</v>
      </c>
      <c r="H33" s="4" t="s">
        <v>1</v>
      </c>
      <c r="I33" s="3" t="s">
        <v>598</v>
      </c>
    </row>
    <row r="34" spans="1:9" ht="90" x14ac:dyDescent="0.25">
      <c r="A34" s="4">
        <v>42790</v>
      </c>
      <c r="B34" s="4" t="s">
        <v>5</v>
      </c>
      <c r="C34" s="4" t="s">
        <v>29</v>
      </c>
      <c r="D34" s="4" t="s">
        <v>3</v>
      </c>
      <c r="E34" s="4" t="s">
        <v>2</v>
      </c>
      <c r="F34" s="5">
        <v>42179.905740740738</v>
      </c>
      <c r="G34" s="4">
        <v>0</v>
      </c>
      <c r="H34" s="4" t="s">
        <v>1</v>
      </c>
      <c r="I34" s="3" t="s">
        <v>684</v>
      </c>
    </row>
    <row r="35" spans="1:9" ht="150" x14ac:dyDescent="0.25">
      <c r="A35" s="4">
        <v>42789</v>
      </c>
      <c r="B35" s="4" t="s">
        <v>5</v>
      </c>
      <c r="C35" s="4" t="s">
        <v>29</v>
      </c>
      <c r="D35" s="4" t="s">
        <v>3</v>
      </c>
      <c r="E35" s="4" t="s">
        <v>2</v>
      </c>
      <c r="F35" s="5">
        <v>42179.905740740738</v>
      </c>
      <c r="G35" s="4">
        <v>0</v>
      </c>
      <c r="H35" s="4" t="s">
        <v>1</v>
      </c>
      <c r="I35" s="3" t="s">
        <v>666</v>
      </c>
    </row>
    <row r="36" spans="1:9" ht="30" x14ac:dyDescent="0.25">
      <c r="A36" s="4">
        <v>42788</v>
      </c>
      <c r="B36" s="4" t="s">
        <v>5</v>
      </c>
      <c r="C36" s="4" t="s">
        <v>29</v>
      </c>
      <c r="D36" s="4" t="s">
        <v>3</v>
      </c>
      <c r="E36" s="4" t="s">
        <v>2</v>
      </c>
      <c r="F36" s="5">
        <v>42179.905740740738</v>
      </c>
      <c r="G36" s="4">
        <v>0</v>
      </c>
      <c r="H36" s="4" t="s">
        <v>1</v>
      </c>
      <c r="I36" s="3" t="s">
        <v>685</v>
      </c>
    </row>
    <row r="37" spans="1:9" x14ac:dyDescent="0.25">
      <c r="A37" s="4">
        <v>42787</v>
      </c>
      <c r="B37" s="4" t="s">
        <v>5</v>
      </c>
      <c r="C37" s="4" t="s">
        <v>29</v>
      </c>
      <c r="D37" s="4" t="s">
        <v>3</v>
      </c>
      <c r="E37" s="4" t="s">
        <v>2</v>
      </c>
      <c r="F37" s="5">
        <v>42179.905706018515</v>
      </c>
      <c r="G37" s="4">
        <v>0</v>
      </c>
      <c r="H37" s="4" t="s">
        <v>1</v>
      </c>
      <c r="I37" s="3" t="s">
        <v>686</v>
      </c>
    </row>
    <row r="38" spans="1:9" ht="90" x14ac:dyDescent="0.25">
      <c r="A38" s="4">
        <v>42786</v>
      </c>
      <c r="B38" s="4" t="s">
        <v>5</v>
      </c>
      <c r="C38" s="4" t="s">
        <v>29</v>
      </c>
      <c r="D38" s="4" t="s">
        <v>3</v>
      </c>
      <c r="E38" s="4" t="s">
        <v>2</v>
      </c>
      <c r="F38" s="5">
        <v>42179.905706018515</v>
      </c>
      <c r="G38" s="4">
        <v>0</v>
      </c>
      <c r="H38" s="4" t="s">
        <v>1</v>
      </c>
      <c r="I38" s="3" t="s">
        <v>687</v>
      </c>
    </row>
    <row r="39" spans="1:9" x14ac:dyDescent="0.25">
      <c r="A39" s="4">
        <v>42785</v>
      </c>
      <c r="B39" s="4" t="s">
        <v>5</v>
      </c>
      <c r="C39" s="4" t="s">
        <v>29</v>
      </c>
      <c r="D39" s="4" t="s">
        <v>3</v>
      </c>
      <c r="E39" s="4" t="s">
        <v>2</v>
      </c>
      <c r="F39" s="5">
        <v>42179.905706018515</v>
      </c>
      <c r="G39" s="4">
        <v>0</v>
      </c>
      <c r="H39" s="4" t="s">
        <v>1</v>
      </c>
      <c r="I39" s="3" t="s">
        <v>597</v>
      </c>
    </row>
    <row r="40" spans="1:9" x14ac:dyDescent="0.25">
      <c r="A40" s="4">
        <v>42784</v>
      </c>
      <c r="B40" s="4" t="s">
        <v>5</v>
      </c>
      <c r="C40" s="4" t="s">
        <v>29</v>
      </c>
      <c r="D40" s="4" t="s">
        <v>3</v>
      </c>
      <c r="E40" s="4" t="s">
        <v>2</v>
      </c>
      <c r="F40" s="5">
        <v>42179.905624999999</v>
      </c>
      <c r="G40" s="4">
        <v>0</v>
      </c>
      <c r="H40" s="4" t="s">
        <v>1</v>
      </c>
      <c r="I40" s="3" t="s">
        <v>598</v>
      </c>
    </row>
    <row r="41" spans="1:9" ht="90" x14ac:dyDescent="0.25">
      <c r="A41" s="4">
        <v>42783</v>
      </c>
      <c r="B41" s="4" t="s">
        <v>5</v>
      </c>
      <c r="C41" s="4" t="s">
        <v>29</v>
      </c>
      <c r="D41" s="4" t="s">
        <v>3</v>
      </c>
      <c r="E41" s="4" t="s">
        <v>2</v>
      </c>
      <c r="F41" s="5">
        <v>42179.905624999999</v>
      </c>
      <c r="G41" s="4">
        <v>0</v>
      </c>
      <c r="H41" s="4" t="s">
        <v>1</v>
      </c>
      <c r="I41" s="3" t="s">
        <v>688</v>
      </c>
    </row>
    <row r="42" spans="1:9" ht="150" x14ac:dyDescent="0.25">
      <c r="A42" s="4">
        <v>42782</v>
      </c>
      <c r="B42" s="4" t="s">
        <v>5</v>
      </c>
      <c r="C42" s="4" t="s">
        <v>29</v>
      </c>
      <c r="D42" s="4" t="s">
        <v>3</v>
      </c>
      <c r="E42" s="4" t="s">
        <v>2</v>
      </c>
      <c r="F42" s="5">
        <v>42179.905624999999</v>
      </c>
      <c r="G42" s="4">
        <v>0</v>
      </c>
      <c r="H42" s="4" t="s">
        <v>1</v>
      </c>
      <c r="I42" s="3" t="s">
        <v>671</v>
      </c>
    </row>
    <row r="43" spans="1:9" ht="30" x14ac:dyDescent="0.25">
      <c r="A43" s="4">
        <v>42781</v>
      </c>
      <c r="B43" s="4" t="s">
        <v>5</v>
      </c>
      <c r="C43" s="4" t="s">
        <v>29</v>
      </c>
      <c r="D43" s="4" t="s">
        <v>3</v>
      </c>
      <c r="E43" s="4" t="s">
        <v>2</v>
      </c>
      <c r="F43" s="5">
        <v>42179.905624999999</v>
      </c>
      <c r="G43" s="4">
        <v>0</v>
      </c>
      <c r="H43" s="4" t="s">
        <v>1</v>
      </c>
      <c r="I43" s="3" t="s">
        <v>689</v>
      </c>
    </row>
    <row r="44" spans="1:9" x14ac:dyDescent="0.25">
      <c r="A44" s="4">
        <v>42780</v>
      </c>
      <c r="B44" s="4" t="s">
        <v>5</v>
      </c>
      <c r="C44" s="4" t="s">
        <v>29</v>
      </c>
      <c r="D44" s="4" t="s">
        <v>3</v>
      </c>
      <c r="E44" s="4" t="s">
        <v>2</v>
      </c>
      <c r="F44" s="5">
        <v>42179.90556712963</v>
      </c>
      <c r="G44" s="4">
        <v>0</v>
      </c>
      <c r="H44" s="4" t="s">
        <v>1</v>
      </c>
      <c r="I44" s="3" t="s">
        <v>690</v>
      </c>
    </row>
    <row r="45" spans="1:9" ht="90" x14ac:dyDescent="0.25">
      <c r="A45" s="4">
        <v>42779</v>
      </c>
      <c r="B45" s="4" t="s">
        <v>5</v>
      </c>
      <c r="C45" s="4" t="s">
        <v>29</v>
      </c>
      <c r="D45" s="4" t="s">
        <v>3</v>
      </c>
      <c r="E45" s="4" t="s">
        <v>2</v>
      </c>
      <c r="F45" s="5">
        <v>42179.90556712963</v>
      </c>
      <c r="G45" s="4">
        <v>0</v>
      </c>
      <c r="H45" s="4" t="s">
        <v>1</v>
      </c>
      <c r="I45" s="3" t="s">
        <v>674</v>
      </c>
    </row>
    <row r="46" spans="1:9" x14ac:dyDescent="0.25">
      <c r="A46" s="4">
        <v>42778</v>
      </c>
      <c r="B46" s="4" t="s">
        <v>5</v>
      </c>
      <c r="C46" s="4" t="s">
        <v>29</v>
      </c>
      <c r="D46" s="4" t="s">
        <v>3</v>
      </c>
      <c r="E46" s="4" t="s">
        <v>2</v>
      </c>
      <c r="F46" s="5">
        <v>42179.90556712963</v>
      </c>
      <c r="G46" s="4">
        <v>0</v>
      </c>
      <c r="H46" s="4" t="s">
        <v>1</v>
      </c>
      <c r="I46" s="3" t="s">
        <v>597</v>
      </c>
    </row>
    <row r="47" spans="1:9" x14ac:dyDescent="0.25">
      <c r="A47" s="4">
        <v>42777</v>
      </c>
      <c r="B47" s="4" t="s">
        <v>5</v>
      </c>
      <c r="C47" s="4" t="s">
        <v>29</v>
      </c>
      <c r="D47" s="4" t="s">
        <v>3</v>
      </c>
      <c r="E47" s="4" t="s">
        <v>2</v>
      </c>
      <c r="F47" s="5">
        <v>42179.90556712963</v>
      </c>
      <c r="G47" s="4">
        <v>0</v>
      </c>
      <c r="H47" s="4" t="s">
        <v>1</v>
      </c>
      <c r="I47" s="3" t="s">
        <v>598</v>
      </c>
    </row>
    <row r="48" spans="1:9" ht="90" x14ac:dyDescent="0.25">
      <c r="A48" s="4">
        <v>42776</v>
      </c>
      <c r="B48" s="4" t="s">
        <v>5</v>
      </c>
      <c r="C48" s="4" t="s">
        <v>29</v>
      </c>
      <c r="D48" s="4" t="s">
        <v>3</v>
      </c>
      <c r="E48" s="4" t="s">
        <v>2</v>
      </c>
      <c r="F48" s="5">
        <v>42179.90556712963</v>
      </c>
      <c r="G48" s="4">
        <v>0</v>
      </c>
      <c r="H48" s="4" t="s">
        <v>1</v>
      </c>
      <c r="I48" s="3" t="s">
        <v>675</v>
      </c>
    </row>
    <row r="49" spans="1:9" ht="150" x14ac:dyDescent="0.25">
      <c r="A49" s="4">
        <v>42775</v>
      </c>
      <c r="B49" s="4" t="s">
        <v>5</v>
      </c>
      <c r="C49" s="4" t="s">
        <v>29</v>
      </c>
      <c r="D49" s="4" t="s">
        <v>3</v>
      </c>
      <c r="E49" s="4" t="s">
        <v>2</v>
      </c>
      <c r="F49" s="5">
        <v>42179.90556712963</v>
      </c>
      <c r="G49" s="4">
        <v>0</v>
      </c>
      <c r="H49" s="4" t="s">
        <v>1</v>
      </c>
      <c r="I49" s="3" t="s">
        <v>676</v>
      </c>
    </row>
    <row r="50" spans="1:9" ht="30" x14ac:dyDescent="0.25">
      <c r="A50" s="4">
        <v>42774</v>
      </c>
      <c r="B50" s="4" t="s">
        <v>5</v>
      </c>
      <c r="C50" s="4" t="s">
        <v>29</v>
      </c>
      <c r="D50" s="4" t="s">
        <v>3</v>
      </c>
      <c r="E50" s="4" t="s">
        <v>2</v>
      </c>
      <c r="F50" s="5">
        <v>42179.90556712963</v>
      </c>
      <c r="G50" s="4">
        <v>0</v>
      </c>
      <c r="H50" s="4" t="s">
        <v>1</v>
      </c>
      <c r="I50" s="3" t="s">
        <v>691</v>
      </c>
    </row>
    <row r="51" spans="1:9" x14ac:dyDescent="0.25">
      <c r="A51" s="4">
        <v>42773</v>
      </c>
      <c r="B51" s="4" t="s">
        <v>5</v>
      </c>
      <c r="C51" s="4" t="s">
        <v>29</v>
      </c>
      <c r="D51" s="4" t="s">
        <v>3</v>
      </c>
      <c r="E51" s="4" t="s">
        <v>2</v>
      </c>
      <c r="F51" s="5">
        <v>42179.905300925922</v>
      </c>
      <c r="G51" s="4">
        <v>0</v>
      </c>
      <c r="H51" s="4" t="s">
        <v>1</v>
      </c>
      <c r="I51" s="3" t="s">
        <v>692</v>
      </c>
    </row>
    <row r="52" spans="1:9" x14ac:dyDescent="0.25">
      <c r="A52" s="4">
        <v>42772</v>
      </c>
      <c r="B52" s="4" t="s">
        <v>5</v>
      </c>
      <c r="C52" s="4" t="s">
        <v>29</v>
      </c>
      <c r="D52" s="4" t="s">
        <v>3</v>
      </c>
      <c r="E52" s="4" t="s">
        <v>2</v>
      </c>
      <c r="F52" s="5">
        <v>42179.905300925922</v>
      </c>
      <c r="G52" s="4">
        <v>0</v>
      </c>
      <c r="H52" s="4" t="s">
        <v>1</v>
      </c>
      <c r="I52" s="3" t="s">
        <v>679</v>
      </c>
    </row>
    <row r="53" spans="1:9" x14ac:dyDescent="0.25">
      <c r="A53" s="4">
        <v>42771</v>
      </c>
      <c r="B53" s="4" t="s">
        <v>5</v>
      </c>
      <c r="C53" s="4" t="s">
        <v>29</v>
      </c>
      <c r="D53" s="4" t="s">
        <v>3</v>
      </c>
      <c r="E53" s="4" t="s">
        <v>2</v>
      </c>
      <c r="F53" s="5">
        <v>42179.905300925922</v>
      </c>
      <c r="G53" s="4">
        <v>0</v>
      </c>
      <c r="H53" s="4" t="s">
        <v>1</v>
      </c>
      <c r="I53" s="3" t="s">
        <v>597</v>
      </c>
    </row>
    <row r="54" spans="1:9" x14ac:dyDescent="0.25">
      <c r="A54" s="4">
        <v>42770</v>
      </c>
      <c r="B54" s="4" t="s">
        <v>5</v>
      </c>
      <c r="C54" s="4" t="s">
        <v>29</v>
      </c>
      <c r="D54" s="4" t="s">
        <v>3</v>
      </c>
      <c r="E54" s="4" t="s">
        <v>2</v>
      </c>
      <c r="F54" s="5">
        <v>42179.905138888891</v>
      </c>
      <c r="G54" s="4">
        <v>0</v>
      </c>
      <c r="H54" s="4" t="s">
        <v>1</v>
      </c>
      <c r="I54" s="3" t="s">
        <v>598</v>
      </c>
    </row>
    <row r="55" spans="1:9" x14ac:dyDescent="0.25">
      <c r="A55" s="4">
        <v>42769</v>
      </c>
      <c r="B55" s="4" t="s">
        <v>5</v>
      </c>
      <c r="C55" s="4" t="s">
        <v>29</v>
      </c>
      <c r="D55" s="4" t="s">
        <v>3</v>
      </c>
      <c r="E55" s="4" t="s">
        <v>2</v>
      </c>
      <c r="F55" s="5">
        <v>42179.905138888891</v>
      </c>
      <c r="G55" s="4">
        <v>0</v>
      </c>
      <c r="H55" s="4" t="s">
        <v>1</v>
      </c>
      <c r="I55" s="3" t="s">
        <v>679</v>
      </c>
    </row>
    <row r="56" spans="1:9" ht="150" x14ac:dyDescent="0.25">
      <c r="A56" s="4">
        <v>42768</v>
      </c>
      <c r="B56" s="4" t="s">
        <v>5</v>
      </c>
      <c r="C56" s="4" t="s">
        <v>29</v>
      </c>
      <c r="D56" s="4" t="s">
        <v>3</v>
      </c>
      <c r="E56" s="4" t="s">
        <v>2</v>
      </c>
      <c r="F56" s="5">
        <v>42179.905138888891</v>
      </c>
      <c r="G56" s="4">
        <v>0</v>
      </c>
      <c r="H56" s="4" t="s">
        <v>1</v>
      </c>
      <c r="I56" s="3" t="s">
        <v>680</v>
      </c>
    </row>
    <row r="57" spans="1:9" ht="30" x14ac:dyDescent="0.25">
      <c r="A57" s="4">
        <v>42767</v>
      </c>
      <c r="B57" s="4" t="s">
        <v>5</v>
      </c>
      <c r="C57" s="4" t="s">
        <v>29</v>
      </c>
      <c r="D57" s="4" t="s">
        <v>3</v>
      </c>
      <c r="E57" s="4" t="s">
        <v>2</v>
      </c>
      <c r="F57" s="5">
        <v>42179.905138888891</v>
      </c>
      <c r="G57" s="4">
        <v>0</v>
      </c>
      <c r="H57" s="4" t="s">
        <v>1</v>
      </c>
      <c r="I57" s="3" t="s">
        <v>693</v>
      </c>
    </row>
    <row r="58" spans="1:9" x14ac:dyDescent="0.25">
      <c r="A58" s="4">
        <v>42763</v>
      </c>
      <c r="B58" s="4" t="s">
        <v>5</v>
      </c>
      <c r="C58" s="4" t="s">
        <v>29</v>
      </c>
      <c r="D58" s="4" t="s">
        <v>3</v>
      </c>
      <c r="E58" s="4" t="s">
        <v>2</v>
      </c>
      <c r="F58" s="5">
        <v>42179.751921296294</v>
      </c>
      <c r="G58" s="4">
        <v>0</v>
      </c>
      <c r="H58" s="4" t="s">
        <v>1</v>
      </c>
      <c r="I58" s="3" t="s">
        <v>694</v>
      </c>
    </row>
    <row r="59" spans="1:9" ht="90" x14ac:dyDescent="0.25">
      <c r="A59" s="4">
        <v>42762</v>
      </c>
      <c r="B59" s="4" t="s">
        <v>5</v>
      </c>
      <c r="C59" s="4" t="s">
        <v>29</v>
      </c>
      <c r="D59" s="4" t="s">
        <v>3</v>
      </c>
      <c r="E59" s="4" t="s">
        <v>2</v>
      </c>
      <c r="F59" s="5">
        <v>42179.751921296294</v>
      </c>
      <c r="G59" s="4">
        <v>0</v>
      </c>
      <c r="H59" s="4" t="s">
        <v>1</v>
      </c>
      <c r="I59" s="3" t="s">
        <v>695</v>
      </c>
    </row>
    <row r="60" spans="1:9" x14ac:dyDescent="0.25">
      <c r="A60" s="4">
        <v>42761</v>
      </c>
      <c r="B60" s="4" t="s">
        <v>5</v>
      </c>
      <c r="C60" s="4" t="s">
        <v>29</v>
      </c>
      <c r="D60" s="4" t="s">
        <v>3</v>
      </c>
      <c r="E60" s="4" t="s">
        <v>2</v>
      </c>
      <c r="F60" s="5">
        <v>42179.751921296294</v>
      </c>
      <c r="G60" s="4">
        <v>0</v>
      </c>
      <c r="H60" s="4" t="s">
        <v>1</v>
      </c>
      <c r="I60" s="3" t="s">
        <v>597</v>
      </c>
    </row>
    <row r="61" spans="1:9" x14ac:dyDescent="0.25">
      <c r="A61" s="4">
        <v>42760</v>
      </c>
      <c r="B61" s="4" t="s">
        <v>5</v>
      </c>
      <c r="C61" s="4" t="s">
        <v>29</v>
      </c>
      <c r="D61" s="4" t="s">
        <v>3</v>
      </c>
      <c r="E61" s="4" t="s">
        <v>2</v>
      </c>
      <c r="F61" s="5">
        <v>42179.751921296294</v>
      </c>
      <c r="G61" s="4">
        <v>0</v>
      </c>
      <c r="H61" s="4" t="s">
        <v>1</v>
      </c>
      <c r="I61" s="3" t="s">
        <v>598</v>
      </c>
    </row>
    <row r="62" spans="1:9" ht="90" x14ac:dyDescent="0.25">
      <c r="A62" s="4">
        <v>42759</v>
      </c>
      <c r="B62" s="4" t="s">
        <v>5</v>
      </c>
      <c r="C62" s="4" t="s">
        <v>29</v>
      </c>
      <c r="D62" s="4" t="s">
        <v>3</v>
      </c>
      <c r="E62" s="4" t="s">
        <v>2</v>
      </c>
      <c r="F62" s="5">
        <v>42179.751921296294</v>
      </c>
      <c r="G62" s="4">
        <v>0</v>
      </c>
      <c r="H62" s="4" t="s">
        <v>1</v>
      </c>
      <c r="I62" s="3" t="s">
        <v>696</v>
      </c>
    </row>
    <row r="63" spans="1:9" ht="150" x14ac:dyDescent="0.25">
      <c r="A63" s="4">
        <v>42758</v>
      </c>
      <c r="B63" s="4" t="s">
        <v>5</v>
      </c>
      <c r="C63" s="4" t="s">
        <v>29</v>
      </c>
      <c r="D63" s="4" t="s">
        <v>3</v>
      </c>
      <c r="E63" s="4" t="s">
        <v>2</v>
      </c>
      <c r="F63" s="5">
        <v>42179.751921296294</v>
      </c>
      <c r="G63" s="4">
        <v>0</v>
      </c>
      <c r="H63" s="4" t="s">
        <v>1</v>
      </c>
      <c r="I63" s="3" t="s">
        <v>671</v>
      </c>
    </row>
    <row r="64" spans="1:9" ht="30" x14ac:dyDescent="0.25">
      <c r="A64" s="4">
        <v>42757</v>
      </c>
      <c r="B64" s="4" t="s">
        <v>5</v>
      </c>
      <c r="C64" s="4" t="s">
        <v>29</v>
      </c>
      <c r="D64" s="4" t="s">
        <v>3</v>
      </c>
      <c r="E64" s="4" t="s">
        <v>2</v>
      </c>
      <c r="F64" s="5">
        <v>42179.751921296294</v>
      </c>
      <c r="G64" s="4">
        <v>0</v>
      </c>
      <c r="H64" s="4" t="s">
        <v>1</v>
      </c>
      <c r="I64" s="3" t="s">
        <v>697</v>
      </c>
    </row>
    <row r="65" spans="1:9" x14ac:dyDescent="0.25">
      <c r="A65" s="4">
        <v>42756</v>
      </c>
      <c r="B65" s="4" t="s">
        <v>5</v>
      </c>
      <c r="C65" s="4" t="s">
        <v>29</v>
      </c>
      <c r="D65" s="4" t="s">
        <v>3</v>
      </c>
      <c r="E65" s="4" t="s">
        <v>2</v>
      </c>
      <c r="F65" s="5">
        <v>42179.751134259262</v>
      </c>
      <c r="G65" s="4">
        <v>0</v>
      </c>
      <c r="H65" s="4" t="s">
        <v>1</v>
      </c>
      <c r="I65" s="3" t="s">
        <v>698</v>
      </c>
    </row>
    <row r="66" spans="1:9" ht="90" x14ac:dyDescent="0.25">
      <c r="A66" s="4">
        <v>42755</v>
      </c>
      <c r="B66" s="4" t="s">
        <v>5</v>
      </c>
      <c r="C66" s="4" t="s">
        <v>29</v>
      </c>
      <c r="D66" s="4" t="s">
        <v>3</v>
      </c>
      <c r="E66" s="4" t="s">
        <v>2</v>
      </c>
      <c r="F66" s="5">
        <v>42179.751134259262</v>
      </c>
      <c r="G66" s="4">
        <v>0</v>
      </c>
      <c r="H66" s="4" t="s">
        <v>1</v>
      </c>
      <c r="I66" s="3" t="s">
        <v>674</v>
      </c>
    </row>
    <row r="67" spans="1:9" x14ac:dyDescent="0.25">
      <c r="A67" s="4">
        <v>42754</v>
      </c>
      <c r="B67" s="4" t="s">
        <v>5</v>
      </c>
      <c r="C67" s="4" t="s">
        <v>29</v>
      </c>
      <c r="D67" s="4" t="s">
        <v>3</v>
      </c>
      <c r="E67" s="4" t="s">
        <v>2</v>
      </c>
      <c r="F67" s="5">
        <v>42179.751134259262</v>
      </c>
      <c r="G67" s="4">
        <v>0</v>
      </c>
      <c r="H67" s="4" t="s">
        <v>1</v>
      </c>
      <c r="I67" s="3" t="s">
        <v>597</v>
      </c>
    </row>
    <row r="68" spans="1:9" x14ac:dyDescent="0.25">
      <c r="A68" s="4">
        <v>42753</v>
      </c>
      <c r="B68" s="4" t="s">
        <v>5</v>
      </c>
      <c r="C68" s="4" t="s">
        <v>29</v>
      </c>
      <c r="D68" s="4" t="s">
        <v>3</v>
      </c>
      <c r="E68" s="4" t="s">
        <v>2</v>
      </c>
      <c r="F68" s="5">
        <v>42179.751122685186</v>
      </c>
      <c r="G68" s="4">
        <v>0</v>
      </c>
      <c r="H68" s="4" t="s">
        <v>1</v>
      </c>
      <c r="I68" s="3" t="s">
        <v>598</v>
      </c>
    </row>
    <row r="69" spans="1:9" ht="90" x14ac:dyDescent="0.25">
      <c r="A69" s="4">
        <v>42752</v>
      </c>
      <c r="B69" s="4" t="s">
        <v>5</v>
      </c>
      <c r="C69" s="4" t="s">
        <v>29</v>
      </c>
      <c r="D69" s="4" t="s">
        <v>3</v>
      </c>
      <c r="E69" s="4" t="s">
        <v>2</v>
      </c>
      <c r="F69" s="5">
        <v>42179.751122685186</v>
      </c>
      <c r="G69" s="4">
        <v>0</v>
      </c>
      <c r="H69" s="4" t="s">
        <v>1</v>
      </c>
      <c r="I69" s="3" t="s">
        <v>675</v>
      </c>
    </row>
    <row r="70" spans="1:9" ht="150" x14ac:dyDescent="0.25">
      <c r="A70" s="4">
        <v>42751</v>
      </c>
      <c r="B70" s="4" t="s">
        <v>5</v>
      </c>
      <c r="C70" s="4" t="s">
        <v>29</v>
      </c>
      <c r="D70" s="4" t="s">
        <v>3</v>
      </c>
      <c r="E70" s="4" t="s">
        <v>2</v>
      </c>
      <c r="F70" s="5">
        <v>42179.751122685186</v>
      </c>
      <c r="G70" s="4">
        <v>0</v>
      </c>
      <c r="H70" s="4" t="s">
        <v>1</v>
      </c>
      <c r="I70" s="3" t="s">
        <v>676</v>
      </c>
    </row>
    <row r="71" spans="1:9" ht="30" x14ac:dyDescent="0.25">
      <c r="A71" s="4">
        <v>42750</v>
      </c>
      <c r="B71" s="4" t="s">
        <v>5</v>
      </c>
      <c r="C71" s="4" t="s">
        <v>29</v>
      </c>
      <c r="D71" s="4" t="s">
        <v>3</v>
      </c>
      <c r="E71" s="4" t="s">
        <v>2</v>
      </c>
      <c r="F71" s="5">
        <v>42179.751122685186</v>
      </c>
      <c r="G71" s="4">
        <v>0</v>
      </c>
      <c r="H71" s="4" t="s">
        <v>1</v>
      </c>
      <c r="I71" s="3" t="s">
        <v>699</v>
      </c>
    </row>
    <row r="72" spans="1:9" x14ac:dyDescent="0.25">
      <c r="A72" s="4">
        <v>42749</v>
      </c>
      <c r="B72" s="4" t="s">
        <v>5</v>
      </c>
      <c r="C72" s="4" t="s">
        <v>29</v>
      </c>
      <c r="D72" s="4" t="s">
        <v>3</v>
      </c>
      <c r="E72" s="4" t="s">
        <v>2</v>
      </c>
      <c r="F72" s="5">
        <v>42179.75072916667</v>
      </c>
      <c r="G72" s="4">
        <v>0</v>
      </c>
      <c r="H72" s="4" t="s">
        <v>1</v>
      </c>
      <c r="I72" s="3" t="s">
        <v>700</v>
      </c>
    </row>
    <row r="73" spans="1:9" x14ac:dyDescent="0.25">
      <c r="A73" s="4">
        <v>42748</v>
      </c>
      <c r="B73" s="4" t="s">
        <v>5</v>
      </c>
      <c r="C73" s="4" t="s">
        <v>29</v>
      </c>
      <c r="D73" s="4" t="s">
        <v>3</v>
      </c>
      <c r="E73" s="4" t="s">
        <v>2</v>
      </c>
      <c r="F73" s="5">
        <v>42179.75072916667</v>
      </c>
      <c r="G73" s="4">
        <v>0</v>
      </c>
      <c r="H73" s="4" t="s">
        <v>1</v>
      </c>
      <c r="I73" s="3" t="s">
        <v>679</v>
      </c>
    </row>
    <row r="74" spans="1:9" x14ac:dyDescent="0.25">
      <c r="A74" s="4">
        <v>42747</v>
      </c>
      <c r="B74" s="4" t="s">
        <v>5</v>
      </c>
      <c r="C74" s="4" t="s">
        <v>29</v>
      </c>
      <c r="D74" s="4" t="s">
        <v>3</v>
      </c>
      <c r="E74" s="4" t="s">
        <v>2</v>
      </c>
      <c r="F74" s="5">
        <v>42179.75072916667</v>
      </c>
      <c r="G74" s="4">
        <v>0</v>
      </c>
      <c r="H74" s="4" t="s">
        <v>1</v>
      </c>
      <c r="I74" s="3" t="s">
        <v>597</v>
      </c>
    </row>
    <row r="75" spans="1:9" x14ac:dyDescent="0.25">
      <c r="A75" s="4">
        <v>42746</v>
      </c>
      <c r="B75" s="4" t="s">
        <v>5</v>
      </c>
      <c r="C75" s="4" t="s">
        <v>29</v>
      </c>
      <c r="D75" s="4" t="s">
        <v>3</v>
      </c>
      <c r="E75" s="4" t="s">
        <v>2</v>
      </c>
      <c r="F75" s="5">
        <v>42179.750717592593</v>
      </c>
      <c r="G75" s="4">
        <v>0</v>
      </c>
      <c r="H75" s="4" t="s">
        <v>1</v>
      </c>
      <c r="I75" s="3" t="s">
        <v>598</v>
      </c>
    </row>
    <row r="76" spans="1:9" x14ac:dyDescent="0.25">
      <c r="A76" s="4">
        <v>42745</v>
      </c>
      <c r="B76" s="4" t="s">
        <v>5</v>
      </c>
      <c r="C76" s="4" t="s">
        <v>29</v>
      </c>
      <c r="D76" s="4" t="s">
        <v>3</v>
      </c>
      <c r="E76" s="4" t="s">
        <v>2</v>
      </c>
      <c r="F76" s="5">
        <v>42179.750717592593</v>
      </c>
      <c r="G76" s="4">
        <v>0</v>
      </c>
      <c r="H76" s="4" t="s">
        <v>1</v>
      </c>
      <c r="I76" s="3" t="s">
        <v>679</v>
      </c>
    </row>
    <row r="77" spans="1:9" ht="150" x14ac:dyDescent="0.25">
      <c r="A77" s="4">
        <v>42744</v>
      </c>
      <c r="B77" s="4" t="s">
        <v>5</v>
      </c>
      <c r="C77" s="4" t="s">
        <v>29</v>
      </c>
      <c r="D77" s="4" t="s">
        <v>3</v>
      </c>
      <c r="E77" s="4" t="s">
        <v>2</v>
      </c>
      <c r="F77" s="5">
        <v>42179.750717592593</v>
      </c>
      <c r="G77" s="4">
        <v>0</v>
      </c>
      <c r="H77" s="4" t="s">
        <v>1</v>
      </c>
      <c r="I77" s="3" t="s">
        <v>680</v>
      </c>
    </row>
    <row r="78" spans="1:9" ht="30" x14ac:dyDescent="0.25">
      <c r="A78" s="4">
        <v>42743</v>
      </c>
      <c r="B78" s="4" t="s">
        <v>5</v>
      </c>
      <c r="C78" s="4" t="s">
        <v>29</v>
      </c>
      <c r="D78" s="4" t="s">
        <v>3</v>
      </c>
      <c r="E78" s="4" t="s">
        <v>2</v>
      </c>
      <c r="F78" s="5">
        <v>42179.750717592593</v>
      </c>
      <c r="G78" s="4">
        <v>0</v>
      </c>
      <c r="H78" s="4" t="s">
        <v>1</v>
      </c>
      <c r="I78" s="3" t="s">
        <v>701</v>
      </c>
    </row>
    <row r="79" spans="1:9" x14ac:dyDescent="0.25">
      <c r="A79" s="4">
        <v>42742</v>
      </c>
      <c r="B79" s="4" t="s">
        <v>5</v>
      </c>
      <c r="C79" s="4" t="s">
        <v>29</v>
      </c>
      <c r="D79" s="4" t="s">
        <v>3</v>
      </c>
      <c r="E79" s="4" t="s">
        <v>2</v>
      </c>
      <c r="F79" s="5">
        <v>42179.749201388891</v>
      </c>
      <c r="G79" s="4">
        <v>0</v>
      </c>
      <c r="H79" s="4" t="s">
        <v>1</v>
      </c>
      <c r="I79" s="3" t="s">
        <v>702</v>
      </c>
    </row>
    <row r="80" spans="1:9" x14ac:dyDescent="0.25">
      <c r="A80" s="4">
        <v>42741</v>
      </c>
      <c r="B80" s="4" t="s">
        <v>5</v>
      </c>
      <c r="C80" s="4" t="s">
        <v>29</v>
      </c>
      <c r="D80" s="4" t="s">
        <v>3</v>
      </c>
      <c r="E80" s="4" t="s">
        <v>2</v>
      </c>
      <c r="F80" s="5">
        <v>42179.749201388891</v>
      </c>
      <c r="G80" s="4">
        <v>0</v>
      </c>
      <c r="H80" s="4" t="s">
        <v>1</v>
      </c>
      <c r="I80" s="3" t="s">
        <v>679</v>
      </c>
    </row>
    <row r="81" spans="1:9" x14ac:dyDescent="0.25">
      <c r="A81" s="4">
        <v>42740</v>
      </c>
      <c r="B81" s="4" t="s">
        <v>5</v>
      </c>
      <c r="C81" s="4" t="s">
        <v>29</v>
      </c>
      <c r="D81" s="4" t="s">
        <v>3</v>
      </c>
      <c r="E81" s="4" t="s">
        <v>2</v>
      </c>
      <c r="F81" s="5">
        <v>42179.749201388891</v>
      </c>
      <c r="G81" s="4">
        <v>0</v>
      </c>
      <c r="H81" s="4" t="s">
        <v>1</v>
      </c>
      <c r="I81" s="3" t="s">
        <v>597</v>
      </c>
    </row>
    <row r="82" spans="1:9" x14ac:dyDescent="0.25">
      <c r="A82" s="4">
        <v>42739</v>
      </c>
      <c r="B82" s="4" t="s">
        <v>5</v>
      </c>
      <c r="C82" s="4" t="s">
        <v>29</v>
      </c>
      <c r="D82" s="4" t="s">
        <v>3</v>
      </c>
      <c r="E82" s="4" t="s">
        <v>2</v>
      </c>
      <c r="F82" s="5">
        <v>42179.749201388891</v>
      </c>
      <c r="G82" s="4">
        <v>0</v>
      </c>
      <c r="H82" s="4" t="s">
        <v>1</v>
      </c>
      <c r="I82" s="3" t="s">
        <v>598</v>
      </c>
    </row>
    <row r="83" spans="1:9" x14ac:dyDescent="0.25">
      <c r="A83" s="4">
        <v>42738</v>
      </c>
      <c r="B83" s="4" t="s">
        <v>5</v>
      </c>
      <c r="C83" s="4" t="s">
        <v>29</v>
      </c>
      <c r="D83" s="4" t="s">
        <v>3</v>
      </c>
      <c r="E83" s="4" t="s">
        <v>2</v>
      </c>
      <c r="F83" s="5">
        <v>42179.749201388891</v>
      </c>
      <c r="G83" s="4">
        <v>0</v>
      </c>
      <c r="H83" s="4" t="s">
        <v>1</v>
      </c>
      <c r="I83" s="3" t="s">
        <v>679</v>
      </c>
    </row>
    <row r="84" spans="1:9" ht="150" x14ac:dyDescent="0.25">
      <c r="A84" s="4">
        <v>42737</v>
      </c>
      <c r="B84" s="4" t="s">
        <v>5</v>
      </c>
      <c r="C84" s="4" t="s">
        <v>29</v>
      </c>
      <c r="D84" s="4" t="s">
        <v>3</v>
      </c>
      <c r="E84" s="4" t="s">
        <v>2</v>
      </c>
      <c r="F84" s="5">
        <v>42179.749201388891</v>
      </c>
      <c r="G84" s="4">
        <v>0</v>
      </c>
      <c r="H84" s="4" t="s">
        <v>1</v>
      </c>
      <c r="I84" s="3" t="s">
        <v>680</v>
      </c>
    </row>
    <row r="85" spans="1:9" ht="30" x14ac:dyDescent="0.25">
      <c r="A85" s="4">
        <v>42736</v>
      </c>
      <c r="B85" s="4" t="s">
        <v>5</v>
      </c>
      <c r="C85" s="4" t="s">
        <v>29</v>
      </c>
      <c r="D85" s="4" t="s">
        <v>3</v>
      </c>
      <c r="E85" s="4" t="s">
        <v>2</v>
      </c>
      <c r="F85" s="5">
        <v>42179.749201388891</v>
      </c>
      <c r="G85" s="4">
        <v>0</v>
      </c>
      <c r="H85" s="4" t="s">
        <v>1</v>
      </c>
      <c r="I85" s="3" t="s">
        <v>703</v>
      </c>
    </row>
    <row r="86" spans="1:9" x14ac:dyDescent="0.25">
      <c r="A86" s="4">
        <v>42735</v>
      </c>
      <c r="B86" s="4" t="s">
        <v>5</v>
      </c>
      <c r="C86" s="4" t="s">
        <v>29</v>
      </c>
      <c r="D86" s="4" t="s">
        <v>3</v>
      </c>
      <c r="E86" s="4" t="s">
        <v>2</v>
      </c>
      <c r="F86" s="5">
        <v>42179.747928240744</v>
      </c>
      <c r="G86" s="4">
        <v>0</v>
      </c>
      <c r="H86" s="4" t="s">
        <v>1</v>
      </c>
      <c r="I86" s="3" t="s">
        <v>704</v>
      </c>
    </row>
    <row r="87" spans="1:9" x14ac:dyDescent="0.25">
      <c r="A87" s="4">
        <v>42734</v>
      </c>
      <c r="B87" s="4" t="s">
        <v>5</v>
      </c>
      <c r="C87" s="4" t="s">
        <v>29</v>
      </c>
      <c r="D87" s="4" t="s">
        <v>3</v>
      </c>
      <c r="E87" s="4" t="s">
        <v>2</v>
      </c>
      <c r="F87" s="5">
        <v>42179.747928240744</v>
      </c>
      <c r="G87" s="4">
        <v>0</v>
      </c>
      <c r="H87" s="4" t="s">
        <v>1</v>
      </c>
      <c r="I87" s="3" t="s">
        <v>679</v>
      </c>
    </row>
    <row r="88" spans="1:9" x14ac:dyDescent="0.25">
      <c r="A88" s="4">
        <v>42733</v>
      </c>
      <c r="B88" s="4" t="s">
        <v>5</v>
      </c>
      <c r="C88" s="4" t="s">
        <v>29</v>
      </c>
      <c r="D88" s="4" t="s">
        <v>3</v>
      </c>
      <c r="E88" s="4" t="s">
        <v>2</v>
      </c>
      <c r="F88" s="5">
        <v>42179.747928240744</v>
      </c>
      <c r="G88" s="4">
        <v>0</v>
      </c>
      <c r="H88" s="4" t="s">
        <v>1</v>
      </c>
      <c r="I88" s="3" t="s">
        <v>597</v>
      </c>
    </row>
    <row r="89" spans="1:9" x14ac:dyDescent="0.25">
      <c r="A89" s="4">
        <v>42732</v>
      </c>
      <c r="B89" s="4" t="s">
        <v>5</v>
      </c>
      <c r="C89" s="4" t="s">
        <v>29</v>
      </c>
      <c r="D89" s="4" t="s">
        <v>3</v>
      </c>
      <c r="E89" s="4" t="s">
        <v>2</v>
      </c>
      <c r="F89" s="5">
        <v>42179.747916666667</v>
      </c>
      <c r="G89" s="4">
        <v>0</v>
      </c>
      <c r="H89" s="4" t="s">
        <v>1</v>
      </c>
      <c r="I89" s="3" t="s">
        <v>598</v>
      </c>
    </row>
    <row r="90" spans="1:9" x14ac:dyDescent="0.25">
      <c r="A90" s="4">
        <v>42731</v>
      </c>
      <c r="B90" s="4" t="s">
        <v>5</v>
      </c>
      <c r="C90" s="4" t="s">
        <v>29</v>
      </c>
      <c r="D90" s="4" t="s">
        <v>3</v>
      </c>
      <c r="E90" s="4" t="s">
        <v>2</v>
      </c>
      <c r="F90" s="5">
        <v>42179.747916666667</v>
      </c>
      <c r="G90" s="4">
        <v>0</v>
      </c>
      <c r="H90" s="4" t="s">
        <v>1</v>
      </c>
      <c r="I90" s="3" t="s">
        <v>679</v>
      </c>
    </row>
    <row r="91" spans="1:9" ht="150" x14ac:dyDescent="0.25">
      <c r="A91" s="4">
        <v>42730</v>
      </c>
      <c r="B91" s="4" t="s">
        <v>5</v>
      </c>
      <c r="C91" s="4" t="s">
        <v>29</v>
      </c>
      <c r="D91" s="4" t="s">
        <v>3</v>
      </c>
      <c r="E91" s="4" t="s">
        <v>2</v>
      </c>
      <c r="F91" s="5">
        <v>42179.747916666667</v>
      </c>
      <c r="G91" s="4">
        <v>0</v>
      </c>
      <c r="H91" s="4" t="s">
        <v>1</v>
      </c>
      <c r="I91" s="3" t="s">
        <v>680</v>
      </c>
    </row>
    <row r="92" spans="1:9" ht="30" x14ac:dyDescent="0.25">
      <c r="A92" s="4">
        <v>42729</v>
      </c>
      <c r="B92" s="4" t="s">
        <v>5</v>
      </c>
      <c r="C92" s="4" t="s">
        <v>29</v>
      </c>
      <c r="D92" s="4" t="s">
        <v>3</v>
      </c>
      <c r="E92" s="4" t="s">
        <v>2</v>
      </c>
      <c r="F92" s="5">
        <v>42179.747916666667</v>
      </c>
      <c r="G92" s="4">
        <v>0</v>
      </c>
      <c r="H92" s="4" t="s">
        <v>1</v>
      </c>
      <c r="I92" s="3" t="s">
        <v>705</v>
      </c>
    </row>
    <row r="93" spans="1:9" x14ac:dyDescent="0.25">
      <c r="A93" s="4">
        <v>42728</v>
      </c>
      <c r="B93" s="4" t="s">
        <v>5</v>
      </c>
      <c r="C93" s="4" t="s">
        <v>29</v>
      </c>
      <c r="D93" s="4" t="s">
        <v>3</v>
      </c>
      <c r="E93" s="4" t="s">
        <v>2</v>
      </c>
      <c r="F93" s="5">
        <v>42179.745219907411</v>
      </c>
      <c r="G93" s="4">
        <v>0</v>
      </c>
      <c r="H93" s="4" t="s">
        <v>1</v>
      </c>
      <c r="I93" s="3" t="s">
        <v>706</v>
      </c>
    </row>
    <row r="94" spans="1:9" x14ac:dyDescent="0.25">
      <c r="A94" s="4">
        <v>42727</v>
      </c>
      <c r="B94" s="4" t="s">
        <v>5</v>
      </c>
      <c r="C94" s="4" t="s">
        <v>29</v>
      </c>
      <c r="D94" s="4" t="s">
        <v>3</v>
      </c>
      <c r="E94" s="4" t="s">
        <v>2</v>
      </c>
      <c r="F94" s="5">
        <v>42179.745219907411</v>
      </c>
      <c r="G94" s="4">
        <v>0</v>
      </c>
      <c r="H94" s="4" t="s">
        <v>1</v>
      </c>
      <c r="I94" s="3" t="s">
        <v>679</v>
      </c>
    </row>
    <row r="95" spans="1:9" x14ac:dyDescent="0.25">
      <c r="A95" s="4">
        <v>42726</v>
      </c>
      <c r="B95" s="4" t="s">
        <v>5</v>
      </c>
      <c r="C95" s="4" t="s">
        <v>29</v>
      </c>
      <c r="D95" s="4" t="s">
        <v>3</v>
      </c>
      <c r="E95" s="4" t="s">
        <v>2</v>
      </c>
      <c r="F95" s="5">
        <v>42179.745219907411</v>
      </c>
      <c r="G95" s="4">
        <v>0</v>
      </c>
      <c r="H95" s="4" t="s">
        <v>1</v>
      </c>
      <c r="I95" s="3" t="s">
        <v>597</v>
      </c>
    </row>
    <row r="96" spans="1:9" x14ac:dyDescent="0.25">
      <c r="A96" s="4">
        <v>42725</v>
      </c>
      <c r="B96" s="4" t="s">
        <v>5</v>
      </c>
      <c r="C96" s="4" t="s">
        <v>29</v>
      </c>
      <c r="D96" s="4" t="s">
        <v>3</v>
      </c>
      <c r="E96" s="4" t="s">
        <v>2</v>
      </c>
      <c r="F96" s="5">
        <v>42179.745196759257</v>
      </c>
      <c r="G96" s="4">
        <v>0</v>
      </c>
      <c r="H96" s="4" t="s">
        <v>1</v>
      </c>
      <c r="I96" s="3" t="s">
        <v>598</v>
      </c>
    </row>
    <row r="97" spans="1:9" x14ac:dyDescent="0.25">
      <c r="A97" s="4">
        <v>42724</v>
      </c>
      <c r="B97" s="4" t="s">
        <v>5</v>
      </c>
      <c r="C97" s="4" t="s">
        <v>29</v>
      </c>
      <c r="D97" s="4" t="s">
        <v>3</v>
      </c>
      <c r="E97" s="4" t="s">
        <v>2</v>
      </c>
      <c r="F97" s="5">
        <v>42179.745196759257</v>
      </c>
      <c r="G97" s="4">
        <v>0</v>
      </c>
      <c r="H97" s="4" t="s">
        <v>1</v>
      </c>
      <c r="I97" s="3" t="s">
        <v>679</v>
      </c>
    </row>
    <row r="98" spans="1:9" ht="150" x14ac:dyDescent="0.25">
      <c r="A98" s="4">
        <v>42723</v>
      </c>
      <c r="B98" s="4" t="s">
        <v>5</v>
      </c>
      <c r="C98" s="4" t="s">
        <v>29</v>
      </c>
      <c r="D98" s="4" t="s">
        <v>3</v>
      </c>
      <c r="E98" s="4" t="s">
        <v>2</v>
      </c>
      <c r="F98" s="5">
        <v>42179.745196759257</v>
      </c>
      <c r="G98" s="4">
        <v>0</v>
      </c>
      <c r="H98" s="4" t="s">
        <v>1</v>
      </c>
      <c r="I98" s="3" t="s">
        <v>680</v>
      </c>
    </row>
    <row r="99" spans="1:9" ht="30" x14ac:dyDescent="0.25">
      <c r="A99" s="4">
        <v>42722</v>
      </c>
      <c r="B99" s="4" t="s">
        <v>5</v>
      </c>
      <c r="C99" s="4" t="s">
        <v>29</v>
      </c>
      <c r="D99" s="4" t="s">
        <v>3</v>
      </c>
      <c r="E99" s="4" t="s">
        <v>2</v>
      </c>
      <c r="F99" s="5">
        <v>42179.745196759257</v>
      </c>
      <c r="G99" s="4">
        <v>0</v>
      </c>
      <c r="H99" s="4" t="s">
        <v>1</v>
      </c>
      <c r="I99" s="3" t="s">
        <v>707</v>
      </c>
    </row>
    <row r="100" spans="1:9" x14ac:dyDescent="0.25">
      <c r="A100" s="4">
        <v>42718</v>
      </c>
      <c r="B100" s="4" t="s">
        <v>5</v>
      </c>
      <c r="C100" s="4" t="s">
        <v>29</v>
      </c>
      <c r="D100" s="4" t="s">
        <v>3</v>
      </c>
      <c r="E100" s="4" t="s">
        <v>2</v>
      </c>
      <c r="F100" s="5">
        <v>42179.71166666667</v>
      </c>
      <c r="G100" s="4">
        <v>0</v>
      </c>
      <c r="H100" s="4" t="s">
        <v>1</v>
      </c>
      <c r="I100" s="3" t="s">
        <v>708</v>
      </c>
    </row>
    <row r="101" spans="1:9" x14ac:dyDescent="0.25">
      <c r="A101" s="4">
        <v>42717</v>
      </c>
      <c r="B101" s="4" t="s">
        <v>5</v>
      </c>
      <c r="C101" s="4" t="s">
        <v>29</v>
      </c>
      <c r="D101" s="4" t="s">
        <v>3</v>
      </c>
      <c r="E101" s="4" t="s">
        <v>2</v>
      </c>
      <c r="F101" s="5">
        <v>42179.71166666667</v>
      </c>
      <c r="G101" s="4">
        <v>0</v>
      </c>
      <c r="H101" s="4" t="s">
        <v>1</v>
      </c>
      <c r="I101" s="3" t="s">
        <v>679</v>
      </c>
    </row>
    <row r="102" spans="1:9" x14ac:dyDescent="0.25">
      <c r="A102" s="4">
        <v>42716</v>
      </c>
      <c r="B102" s="4" t="s">
        <v>5</v>
      </c>
      <c r="C102" s="4" t="s">
        <v>29</v>
      </c>
      <c r="D102" s="4" t="s">
        <v>3</v>
      </c>
      <c r="E102" s="4" t="s">
        <v>2</v>
      </c>
      <c r="F102" s="5">
        <v>42179.71166666667</v>
      </c>
      <c r="G102" s="4">
        <v>0</v>
      </c>
      <c r="H102" s="4" t="s">
        <v>1</v>
      </c>
      <c r="I102" s="3" t="s">
        <v>597</v>
      </c>
    </row>
    <row r="103" spans="1:9" x14ac:dyDescent="0.25">
      <c r="A103" s="4">
        <v>42715</v>
      </c>
      <c r="B103" s="4" t="s">
        <v>5</v>
      </c>
      <c r="C103" s="4" t="s">
        <v>29</v>
      </c>
      <c r="D103" s="4" t="s">
        <v>3</v>
      </c>
      <c r="E103" s="4" t="s">
        <v>2</v>
      </c>
      <c r="F103" s="5">
        <v>42179.71166666667</v>
      </c>
      <c r="G103" s="4">
        <v>0</v>
      </c>
      <c r="H103" s="4" t="s">
        <v>1</v>
      </c>
      <c r="I103" s="3" t="s">
        <v>598</v>
      </c>
    </row>
    <row r="104" spans="1:9" x14ac:dyDescent="0.25">
      <c r="A104" s="4">
        <v>42714</v>
      </c>
      <c r="B104" s="4" t="s">
        <v>5</v>
      </c>
      <c r="C104" s="4" t="s">
        <v>29</v>
      </c>
      <c r="D104" s="4" t="s">
        <v>3</v>
      </c>
      <c r="E104" s="4" t="s">
        <v>2</v>
      </c>
      <c r="F104" s="5">
        <v>42179.71166666667</v>
      </c>
      <c r="G104" s="4">
        <v>0</v>
      </c>
      <c r="H104" s="4" t="s">
        <v>1</v>
      </c>
      <c r="I104" s="3" t="s">
        <v>679</v>
      </c>
    </row>
    <row r="105" spans="1:9" ht="150" x14ac:dyDescent="0.25">
      <c r="A105" s="4">
        <v>42713</v>
      </c>
      <c r="B105" s="4" t="s">
        <v>5</v>
      </c>
      <c r="C105" s="4" t="s">
        <v>29</v>
      </c>
      <c r="D105" s="4" t="s">
        <v>3</v>
      </c>
      <c r="E105" s="4" t="s">
        <v>2</v>
      </c>
      <c r="F105" s="5">
        <v>42179.71166666667</v>
      </c>
      <c r="G105" s="4">
        <v>0</v>
      </c>
      <c r="H105" s="4" t="s">
        <v>1</v>
      </c>
      <c r="I105" s="3" t="s">
        <v>680</v>
      </c>
    </row>
    <row r="106" spans="1:9" ht="30" x14ac:dyDescent="0.25">
      <c r="A106" s="4">
        <v>42712</v>
      </c>
      <c r="B106" s="4" t="s">
        <v>5</v>
      </c>
      <c r="C106" s="4" t="s">
        <v>29</v>
      </c>
      <c r="D106" s="4" t="s">
        <v>3</v>
      </c>
      <c r="E106" s="4" t="s">
        <v>2</v>
      </c>
      <c r="F106" s="5">
        <v>42179.71166666667</v>
      </c>
      <c r="G106" s="4">
        <v>0</v>
      </c>
      <c r="H106" s="4" t="s">
        <v>1</v>
      </c>
      <c r="I106" s="3" t="s">
        <v>709</v>
      </c>
    </row>
    <row r="107" spans="1:9" x14ac:dyDescent="0.25">
      <c r="A107" s="4">
        <v>42711</v>
      </c>
      <c r="B107" s="4" t="s">
        <v>5</v>
      </c>
      <c r="C107" s="4" t="s">
        <v>29</v>
      </c>
      <c r="D107" s="4" t="s">
        <v>3</v>
      </c>
      <c r="E107" s="4" t="s">
        <v>2</v>
      </c>
      <c r="F107" s="5">
        <v>42179.708124999997</v>
      </c>
      <c r="G107" s="4">
        <v>0</v>
      </c>
      <c r="H107" s="4" t="s">
        <v>1</v>
      </c>
      <c r="I107" s="3" t="s">
        <v>710</v>
      </c>
    </row>
    <row r="108" spans="1:9" x14ac:dyDescent="0.25">
      <c r="A108" s="4">
        <v>42710</v>
      </c>
      <c r="B108" s="4" t="s">
        <v>5</v>
      </c>
      <c r="C108" s="4" t="s">
        <v>29</v>
      </c>
      <c r="D108" s="4" t="s">
        <v>3</v>
      </c>
      <c r="E108" s="4" t="s">
        <v>2</v>
      </c>
      <c r="F108" s="5">
        <v>42179.708124999997</v>
      </c>
      <c r="G108" s="4">
        <v>0</v>
      </c>
      <c r="H108" s="4" t="s">
        <v>1</v>
      </c>
      <c r="I108" s="3" t="s">
        <v>679</v>
      </c>
    </row>
    <row r="109" spans="1:9" x14ac:dyDescent="0.25">
      <c r="A109" s="4">
        <v>42709</v>
      </c>
      <c r="B109" s="4" t="s">
        <v>5</v>
      </c>
      <c r="C109" s="4" t="s">
        <v>29</v>
      </c>
      <c r="D109" s="4" t="s">
        <v>3</v>
      </c>
      <c r="E109" s="4" t="s">
        <v>2</v>
      </c>
      <c r="F109" s="5">
        <v>42179.708124999997</v>
      </c>
      <c r="G109" s="4">
        <v>0</v>
      </c>
      <c r="H109" s="4" t="s">
        <v>1</v>
      </c>
      <c r="I109" s="3" t="s">
        <v>597</v>
      </c>
    </row>
    <row r="110" spans="1:9" x14ac:dyDescent="0.25">
      <c r="A110" s="4">
        <v>42708</v>
      </c>
      <c r="B110" s="4" t="s">
        <v>5</v>
      </c>
      <c r="C110" s="4" t="s">
        <v>29</v>
      </c>
      <c r="D110" s="4" t="s">
        <v>3</v>
      </c>
      <c r="E110" s="4" t="s">
        <v>2</v>
      </c>
      <c r="F110" s="5">
        <v>42179.708124999997</v>
      </c>
      <c r="G110" s="4">
        <v>0</v>
      </c>
      <c r="H110" s="4" t="s">
        <v>1</v>
      </c>
      <c r="I110" s="3" t="s">
        <v>598</v>
      </c>
    </row>
    <row r="111" spans="1:9" x14ac:dyDescent="0.25">
      <c r="A111" s="4">
        <v>42707</v>
      </c>
      <c r="B111" s="4" t="s">
        <v>5</v>
      </c>
      <c r="C111" s="4" t="s">
        <v>29</v>
      </c>
      <c r="D111" s="4" t="s">
        <v>3</v>
      </c>
      <c r="E111" s="4" t="s">
        <v>2</v>
      </c>
      <c r="F111" s="5">
        <v>42179.708124999997</v>
      </c>
      <c r="G111" s="4">
        <v>0</v>
      </c>
      <c r="H111" s="4" t="s">
        <v>1</v>
      </c>
      <c r="I111" s="3" t="s">
        <v>679</v>
      </c>
    </row>
    <row r="112" spans="1:9" ht="150" x14ac:dyDescent="0.25">
      <c r="A112" s="4">
        <v>42706</v>
      </c>
      <c r="B112" s="4" t="s">
        <v>5</v>
      </c>
      <c r="C112" s="4" t="s">
        <v>29</v>
      </c>
      <c r="D112" s="4" t="s">
        <v>3</v>
      </c>
      <c r="E112" s="4" t="s">
        <v>2</v>
      </c>
      <c r="F112" s="5">
        <v>42179.708124999997</v>
      </c>
      <c r="G112" s="4">
        <v>0</v>
      </c>
      <c r="H112" s="4" t="s">
        <v>1</v>
      </c>
      <c r="I112" s="3" t="s">
        <v>680</v>
      </c>
    </row>
    <row r="113" spans="1:9" ht="30" x14ac:dyDescent="0.25">
      <c r="A113" s="4">
        <v>42705</v>
      </c>
      <c r="B113" s="4" t="s">
        <v>5</v>
      </c>
      <c r="C113" s="4" t="s">
        <v>29</v>
      </c>
      <c r="D113" s="4" t="s">
        <v>3</v>
      </c>
      <c r="E113" s="4" t="s">
        <v>2</v>
      </c>
      <c r="F113" s="5">
        <v>42179.708124999997</v>
      </c>
      <c r="G113" s="4">
        <v>0</v>
      </c>
      <c r="H113" s="4" t="s">
        <v>1</v>
      </c>
      <c r="I113" s="3" t="s">
        <v>711</v>
      </c>
    </row>
    <row r="114" spans="1:9" x14ac:dyDescent="0.25">
      <c r="A114" s="4">
        <v>42704</v>
      </c>
      <c r="B114" s="4" t="s">
        <v>5</v>
      </c>
      <c r="C114" s="4" t="s">
        <v>29</v>
      </c>
      <c r="D114" s="4" t="s">
        <v>3</v>
      </c>
      <c r="E114" s="4" t="s">
        <v>2</v>
      </c>
      <c r="F114" s="5">
        <v>42179.703900462962</v>
      </c>
      <c r="G114" s="4">
        <v>0</v>
      </c>
      <c r="H114" s="4" t="s">
        <v>1</v>
      </c>
      <c r="I114" s="3" t="s">
        <v>712</v>
      </c>
    </row>
    <row r="115" spans="1:9" x14ac:dyDescent="0.25">
      <c r="A115" s="4">
        <v>42703</v>
      </c>
      <c r="B115" s="4" t="s">
        <v>5</v>
      </c>
      <c r="C115" s="4" t="s">
        <v>29</v>
      </c>
      <c r="D115" s="4" t="s">
        <v>3</v>
      </c>
      <c r="E115" s="4" t="s">
        <v>2</v>
      </c>
      <c r="F115" s="5">
        <v>42179.703900462962</v>
      </c>
      <c r="G115" s="4">
        <v>0</v>
      </c>
      <c r="H115" s="4" t="s">
        <v>1</v>
      </c>
      <c r="I115" s="3" t="s">
        <v>679</v>
      </c>
    </row>
    <row r="116" spans="1:9" x14ac:dyDescent="0.25">
      <c r="A116" s="4">
        <v>42702</v>
      </c>
      <c r="B116" s="4" t="s">
        <v>5</v>
      </c>
      <c r="C116" s="4" t="s">
        <v>29</v>
      </c>
      <c r="D116" s="4" t="s">
        <v>3</v>
      </c>
      <c r="E116" s="4" t="s">
        <v>2</v>
      </c>
      <c r="F116" s="5">
        <v>42179.703900462962</v>
      </c>
      <c r="G116" s="4">
        <v>0</v>
      </c>
      <c r="H116" s="4" t="s">
        <v>1</v>
      </c>
      <c r="I116" s="3" t="s">
        <v>597</v>
      </c>
    </row>
    <row r="117" spans="1:9" x14ac:dyDescent="0.25">
      <c r="A117" s="4">
        <v>42701</v>
      </c>
      <c r="B117" s="4" t="s">
        <v>5</v>
      </c>
      <c r="C117" s="4" t="s">
        <v>29</v>
      </c>
      <c r="D117" s="4" t="s">
        <v>3</v>
      </c>
      <c r="E117" s="4" t="s">
        <v>2</v>
      </c>
      <c r="F117" s="5">
        <v>42179.703865740739</v>
      </c>
      <c r="G117" s="4">
        <v>0</v>
      </c>
      <c r="H117" s="4" t="s">
        <v>1</v>
      </c>
      <c r="I117" s="3" t="s">
        <v>598</v>
      </c>
    </row>
    <row r="118" spans="1:9" x14ac:dyDescent="0.25">
      <c r="A118" s="4">
        <v>42700</v>
      </c>
      <c r="B118" s="4" t="s">
        <v>5</v>
      </c>
      <c r="C118" s="4" t="s">
        <v>29</v>
      </c>
      <c r="D118" s="4" t="s">
        <v>3</v>
      </c>
      <c r="E118" s="4" t="s">
        <v>2</v>
      </c>
      <c r="F118" s="5">
        <v>42179.703865740739</v>
      </c>
      <c r="G118" s="4">
        <v>0</v>
      </c>
      <c r="H118" s="4" t="s">
        <v>1</v>
      </c>
      <c r="I118" s="3" t="s">
        <v>679</v>
      </c>
    </row>
    <row r="119" spans="1:9" ht="150" x14ac:dyDescent="0.25">
      <c r="A119" s="4">
        <v>42699</v>
      </c>
      <c r="B119" s="4" t="s">
        <v>5</v>
      </c>
      <c r="C119" s="4" t="s">
        <v>29</v>
      </c>
      <c r="D119" s="4" t="s">
        <v>3</v>
      </c>
      <c r="E119" s="4" t="s">
        <v>2</v>
      </c>
      <c r="F119" s="5">
        <v>42179.703865740739</v>
      </c>
      <c r="G119" s="4">
        <v>0</v>
      </c>
      <c r="H119" s="4" t="s">
        <v>1</v>
      </c>
      <c r="I119" s="3" t="s">
        <v>680</v>
      </c>
    </row>
    <row r="120" spans="1:9" ht="30" x14ac:dyDescent="0.25">
      <c r="A120" s="4">
        <v>42698</v>
      </c>
      <c r="B120" s="4" t="s">
        <v>5</v>
      </c>
      <c r="C120" s="4" t="s">
        <v>29</v>
      </c>
      <c r="D120" s="4" t="s">
        <v>3</v>
      </c>
      <c r="E120" s="4" t="s">
        <v>2</v>
      </c>
      <c r="F120" s="5">
        <v>42179.703865740739</v>
      </c>
      <c r="G120" s="4">
        <v>0</v>
      </c>
      <c r="H120" s="4" t="s">
        <v>1</v>
      </c>
      <c r="I120" s="3" t="s">
        <v>713</v>
      </c>
    </row>
    <row r="121" spans="1:9" x14ac:dyDescent="0.25">
      <c r="A121" s="4">
        <v>42692</v>
      </c>
      <c r="B121" s="4" t="s">
        <v>5</v>
      </c>
      <c r="C121" s="4" t="s">
        <v>29</v>
      </c>
      <c r="D121" s="4" t="s">
        <v>3</v>
      </c>
      <c r="E121" s="4" t="s">
        <v>2</v>
      </c>
      <c r="F121" s="5">
        <v>42179.644537037035</v>
      </c>
      <c r="G121" s="4">
        <v>0</v>
      </c>
      <c r="H121" s="4" t="s">
        <v>1</v>
      </c>
      <c r="I121" s="3" t="s">
        <v>714</v>
      </c>
    </row>
    <row r="122" spans="1:9" x14ac:dyDescent="0.25">
      <c r="A122" s="4">
        <v>42691</v>
      </c>
      <c r="B122" s="4" t="s">
        <v>5</v>
      </c>
      <c r="C122" s="4" t="s">
        <v>29</v>
      </c>
      <c r="D122" s="4" t="s">
        <v>3</v>
      </c>
      <c r="E122" s="4" t="s">
        <v>2</v>
      </c>
      <c r="F122" s="5">
        <v>42179.644537037035</v>
      </c>
      <c r="G122" s="4">
        <v>0</v>
      </c>
      <c r="H122" s="4" t="s">
        <v>1</v>
      </c>
      <c r="I122" s="3" t="s">
        <v>679</v>
      </c>
    </row>
    <row r="123" spans="1:9" x14ac:dyDescent="0.25">
      <c r="A123" s="4">
        <v>42690</v>
      </c>
      <c r="B123" s="4" t="s">
        <v>5</v>
      </c>
      <c r="C123" s="4" t="s">
        <v>29</v>
      </c>
      <c r="D123" s="4" t="s">
        <v>3</v>
      </c>
      <c r="E123" s="4" t="s">
        <v>2</v>
      </c>
      <c r="F123" s="5">
        <v>42179.644537037035</v>
      </c>
      <c r="G123" s="4">
        <v>0</v>
      </c>
      <c r="H123" s="4" t="s">
        <v>1</v>
      </c>
      <c r="I123" s="3" t="s">
        <v>597</v>
      </c>
    </row>
    <row r="124" spans="1:9" x14ac:dyDescent="0.25">
      <c r="A124" s="4">
        <v>42689</v>
      </c>
      <c r="B124" s="4" t="s">
        <v>5</v>
      </c>
      <c r="C124" s="4" t="s">
        <v>29</v>
      </c>
      <c r="D124" s="4" t="s">
        <v>3</v>
      </c>
      <c r="E124" s="4" t="s">
        <v>2</v>
      </c>
      <c r="F124" s="5">
        <v>42179.644386574073</v>
      </c>
      <c r="G124" s="4">
        <v>0</v>
      </c>
      <c r="H124" s="4" t="s">
        <v>1</v>
      </c>
      <c r="I124" s="3" t="s">
        <v>598</v>
      </c>
    </row>
    <row r="125" spans="1:9" x14ac:dyDescent="0.25">
      <c r="A125" s="4">
        <v>42688</v>
      </c>
      <c r="B125" s="4" t="s">
        <v>5</v>
      </c>
      <c r="C125" s="4" t="s">
        <v>29</v>
      </c>
      <c r="D125" s="4" t="s">
        <v>3</v>
      </c>
      <c r="E125" s="4" t="s">
        <v>2</v>
      </c>
      <c r="F125" s="5">
        <v>42179.644386574073</v>
      </c>
      <c r="G125" s="4">
        <v>0</v>
      </c>
      <c r="H125" s="4" t="s">
        <v>1</v>
      </c>
      <c r="I125" s="3" t="s">
        <v>679</v>
      </c>
    </row>
    <row r="126" spans="1:9" ht="150" x14ac:dyDescent="0.25">
      <c r="A126" s="4">
        <v>42687</v>
      </c>
      <c r="B126" s="4" t="s">
        <v>5</v>
      </c>
      <c r="C126" s="4" t="s">
        <v>29</v>
      </c>
      <c r="D126" s="4" t="s">
        <v>3</v>
      </c>
      <c r="E126" s="4" t="s">
        <v>2</v>
      </c>
      <c r="F126" s="5">
        <v>42179.644386574073</v>
      </c>
      <c r="G126" s="4">
        <v>0</v>
      </c>
      <c r="H126" s="4" t="s">
        <v>1</v>
      </c>
      <c r="I126" s="3" t="s">
        <v>680</v>
      </c>
    </row>
    <row r="127" spans="1:9" ht="30" x14ac:dyDescent="0.25">
      <c r="A127" s="4">
        <v>42686</v>
      </c>
      <c r="B127" s="4" t="s">
        <v>5</v>
      </c>
      <c r="C127" s="4" t="s">
        <v>29</v>
      </c>
      <c r="D127" s="4" t="s">
        <v>3</v>
      </c>
      <c r="E127" s="4" t="s">
        <v>2</v>
      </c>
      <c r="F127" s="5">
        <v>42179.644386574073</v>
      </c>
      <c r="G127" s="4">
        <v>0</v>
      </c>
      <c r="H127" s="4" t="s">
        <v>1</v>
      </c>
      <c r="I127" s="3" t="s">
        <v>715</v>
      </c>
    </row>
    <row r="128" spans="1:9" x14ac:dyDescent="0.25">
      <c r="A128" s="4">
        <v>42685</v>
      </c>
      <c r="B128" s="4" t="s">
        <v>5</v>
      </c>
      <c r="C128" s="4" t="s">
        <v>29</v>
      </c>
      <c r="D128" s="4" t="s">
        <v>3</v>
      </c>
      <c r="E128" s="4" t="s">
        <v>2</v>
      </c>
      <c r="F128" s="5">
        <v>42179.62804398148</v>
      </c>
      <c r="G128" s="4">
        <v>0</v>
      </c>
      <c r="H128" s="4" t="s">
        <v>1</v>
      </c>
      <c r="I128" s="3" t="s">
        <v>598</v>
      </c>
    </row>
    <row r="129" spans="1:9" x14ac:dyDescent="0.25">
      <c r="A129" s="4">
        <v>42684</v>
      </c>
      <c r="B129" s="4" t="s">
        <v>5</v>
      </c>
      <c r="C129" s="4" t="s">
        <v>29</v>
      </c>
      <c r="D129" s="4" t="s">
        <v>3</v>
      </c>
      <c r="E129" s="4" t="s">
        <v>2</v>
      </c>
      <c r="F129" s="5">
        <v>42179.62804398148</v>
      </c>
      <c r="G129" s="4">
        <v>0</v>
      </c>
      <c r="H129" s="4" t="s">
        <v>1</v>
      </c>
      <c r="I129" s="3" t="s">
        <v>679</v>
      </c>
    </row>
    <row r="130" spans="1:9" ht="150" x14ac:dyDescent="0.25">
      <c r="A130" s="4">
        <v>42683</v>
      </c>
      <c r="B130" s="4" t="s">
        <v>5</v>
      </c>
      <c r="C130" s="4" t="s">
        <v>29</v>
      </c>
      <c r="D130" s="4" t="s">
        <v>3</v>
      </c>
      <c r="E130" s="4" t="s">
        <v>2</v>
      </c>
      <c r="F130" s="5">
        <v>42179.62804398148</v>
      </c>
      <c r="G130" s="4">
        <v>0</v>
      </c>
      <c r="H130" s="4" t="s">
        <v>1</v>
      </c>
      <c r="I130" s="3" t="s">
        <v>680</v>
      </c>
    </row>
    <row r="131" spans="1:9" ht="30" x14ac:dyDescent="0.25">
      <c r="A131" s="4">
        <v>42682</v>
      </c>
      <c r="B131" s="4" t="s">
        <v>5</v>
      </c>
      <c r="C131" s="4" t="s">
        <v>29</v>
      </c>
      <c r="D131" s="4" t="s">
        <v>3</v>
      </c>
      <c r="E131" s="4" t="s">
        <v>2</v>
      </c>
      <c r="F131" s="5">
        <v>42179.62804398148</v>
      </c>
      <c r="G131" s="4">
        <v>0</v>
      </c>
      <c r="H131" s="4" t="s">
        <v>1</v>
      </c>
      <c r="I131" s="3" t="s">
        <v>716</v>
      </c>
    </row>
    <row r="132" spans="1:9" x14ac:dyDescent="0.25">
      <c r="A132" s="4">
        <v>42680</v>
      </c>
      <c r="B132" s="4" t="s">
        <v>5</v>
      </c>
      <c r="C132" s="4" t="s">
        <v>29</v>
      </c>
      <c r="D132" s="4" t="s">
        <v>3</v>
      </c>
      <c r="E132" s="4" t="s">
        <v>2</v>
      </c>
      <c r="F132" s="5">
        <v>42179.610451388886</v>
      </c>
      <c r="G132" s="4">
        <v>0</v>
      </c>
      <c r="H132" s="4" t="s">
        <v>1</v>
      </c>
      <c r="I132" s="3" t="s">
        <v>717</v>
      </c>
    </row>
    <row r="133" spans="1:9" ht="225" x14ac:dyDescent="0.25">
      <c r="A133" s="4">
        <v>42679</v>
      </c>
      <c r="B133" s="4" t="s">
        <v>5</v>
      </c>
      <c r="C133" s="4" t="s">
        <v>29</v>
      </c>
      <c r="D133" s="4" t="s">
        <v>28</v>
      </c>
      <c r="E133" s="4" t="s">
        <v>2</v>
      </c>
      <c r="F133" s="5">
        <v>42179.610451388886</v>
      </c>
      <c r="G133" s="4">
        <v>0</v>
      </c>
      <c r="H133" s="4" t="s">
        <v>1</v>
      </c>
      <c r="I133" s="3" t="s">
        <v>718</v>
      </c>
    </row>
    <row r="134" spans="1:9" x14ac:dyDescent="0.25">
      <c r="A134" s="4">
        <v>42673</v>
      </c>
      <c r="B134" s="4" t="s">
        <v>5</v>
      </c>
      <c r="C134" s="4" t="s">
        <v>29</v>
      </c>
      <c r="D134" s="4" t="s">
        <v>3</v>
      </c>
      <c r="E134" s="4" t="s">
        <v>2</v>
      </c>
      <c r="F134" s="5">
        <v>42179.452430555553</v>
      </c>
      <c r="G134" s="4">
        <v>0</v>
      </c>
      <c r="H134" s="4" t="s">
        <v>1</v>
      </c>
      <c r="I134" s="3" t="s">
        <v>719</v>
      </c>
    </row>
    <row r="135" spans="1:9" ht="225" x14ac:dyDescent="0.25">
      <c r="A135" s="4">
        <v>42672</v>
      </c>
      <c r="B135" s="4" t="s">
        <v>5</v>
      </c>
      <c r="C135" s="4" t="s">
        <v>29</v>
      </c>
      <c r="D135" s="4" t="s">
        <v>28</v>
      </c>
      <c r="E135" s="4" t="s">
        <v>2</v>
      </c>
      <c r="F135" s="5">
        <v>42179.452430555553</v>
      </c>
      <c r="G135" s="4">
        <v>0</v>
      </c>
      <c r="H135" s="4" t="s">
        <v>1</v>
      </c>
      <c r="I135" s="3" t="s">
        <v>718</v>
      </c>
    </row>
    <row r="136" spans="1:9" x14ac:dyDescent="0.25">
      <c r="A136" s="4">
        <v>42671</v>
      </c>
      <c r="B136" s="4" t="s">
        <v>5</v>
      </c>
      <c r="C136" s="4" t="s">
        <v>29</v>
      </c>
      <c r="D136" s="4" t="s">
        <v>3</v>
      </c>
      <c r="E136" s="4" t="s">
        <v>2</v>
      </c>
      <c r="F136" s="5">
        <v>42179.450833333336</v>
      </c>
      <c r="G136" s="4">
        <v>0</v>
      </c>
      <c r="H136" s="4" t="s">
        <v>1</v>
      </c>
      <c r="I136" s="3" t="s">
        <v>720</v>
      </c>
    </row>
    <row r="137" spans="1:9" ht="225" x14ac:dyDescent="0.25">
      <c r="A137" s="4">
        <v>42670</v>
      </c>
      <c r="B137" s="4" t="s">
        <v>5</v>
      </c>
      <c r="C137" s="4" t="s">
        <v>29</v>
      </c>
      <c r="D137" s="4" t="s">
        <v>28</v>
      </c>
      <c r="E137" s="4" t="s">
        <v>2</v>
      </c>
      <c r="F137" s="5">
        <v>42179.450833333336</v>
      </c>
      <c r="G137" s="4">
        <v>0</v>
      </c>
      <c r="H137" s="4" t="s">
        <v>1</v>
      </c>
      <c r="I137" s="3" t="s">
        <v>718</v>
      </c>
    </row>
    <row r="138" spans="1:9" x14ac:dyDescent="0.25">
      <c r="A138" s="4">
        <v>42669</v>
      </c>
      <c r="B138" s="4" t="s">
        <v>5</v>
      </c>
      <c r="C138" s="4" t="s">
        <v>29</v>
      </c>
      <c r="D138" s="4" t="s">
        <v>3</v>
      </c>
      <c r="E138" s="4" t="s">
        <v>2</v>
      </c>
      <c r="F138" s="5">
        <v>42179.426736111112</v>
      </c>
      <c r="G138" s="4">
        <v>0</v>
      </c>
      <c r="H138" s="4" t="s">
        <v>1</v>
      </c>
      <c r="I138" s="3" t="s">
        <v>721</v>
      </c>
    </row>
    <row r="139" spans="1:9" ht="225" x14ac:dyDescent="0.25">
      <c r="A139" s="4">
        <v>42668</v>
      </c>
      <c r="B139" s="4" t="s">
        <v>5</v>
      </c>
      <c r="C139" s="4" t="s">
        <v>29</v>
      </c>
      <c r="D139" s="4" t="s">
        <v>28</v>
      </c>
      <c r="E139" s="4" t="s">
        <v>2</v>
      </c>
      <c r="F139" s="5">
        <v>42179.426736111112</v>
      </c>
      <c r="G139" s="4">
        <v>0</v>
      </c>
      <c r="H139" s="4" t="s">
        <v>1</v>
      </c>
      <c r="I139" s="3" t="s">
        <v>718</v>
      </c>
    </row>
    <row r="140" spans="1:9" x14ac:dyDescent="0.25">
      <c r="A140" s="4">
        <v>42667</v>
      </c>
      <c r="B140" s="4" t="s">
        <v>5</v>
      </c>
      <c r="C140" s="4" t="s">
        <v>29</v>
      </c>
      <c r="D140" s="4" t="s">
        <v>3</v>
      </c>
      <c r="E140" s="4" t="s">
        <v>2</v>
      </c>
      <c r="F140" s="5">
        <v>42179.426712962966</v>
      </c>
      <c r="G140" s="4">
        <v>0</v>
      </c>
      <c r="H140" s="4" t="s">
        <v>1</v>
      </c>
      <c r="I140" s="3" t="s">
        <v>722</v>
      </c>
    </row>
    <row r="141" spans="1:9" ht="225" x14ac:dyDescent="0.25">
      <c r="A141" s="4">
        <v>42666</v>
      </c>
      <c r="B141" s="4" t="s">
        <v>5</v>
      </c>
      <c r="C141" s="4" t="s">
        <v>29</v>
      </c>
      <c r="D141" s="4" t="s">
        <v>28</v>
      </c>
      <c r="E141" s="4" t="s">
        <v>2</v>
      </c>
      <c r="F141" s="5">
        <v>42179.426712962966</v>
      </c>
      <c r="G141" s="4">
        <v>0</v>
      </c>
      <c r="H141" s="4" t="s">
        <v>1</v>
      </c>
      <c r="I141" s="3" t="s">
        <v>718</v>
      </c>
    </row>
    <row r="142" spans="1:9" x14ac:dyDescent="0.25">
      <c r="A142" s="4">
        <v>42665</v>
      </c>
      <c r="B142" s="4" t="s">
        <v>5</v>
      </c>
      <c r="C142" s="4" t="s">
        <v>29</v>
      </c>
      <c r="D142" s="4" t="s">
        <v>3</v>
      </c>
      <c r="E142" s="4" t="s">
        <v>2</v>
      </c>
      <c r="F142" s="5">
        <v>42179.426655092589</v>
      </c>
      <c r="G142" s="4">
        <v>0</v>
      </c>
      <c r="H142" s="4" t="s">
        <v>1</v>
      </c>
      <c r="I142" s="3" t="s">
        <v>723</v>
      </c>
    </row>
    <row r="143" spans="1:9" ht="225" x14ac:dyDescent="0.25">
      <c r="A143" s="4">
        <v>42664</v>
      </c>
      <c r="B143" s="4" t="s">
        <v>5</v>
      </c>
      <c r="C143" s="4" t="s">
        <v>29</v>
      </c>
      <c r="D143" s="4" t="s">
        <v>28</v>
      </c>
      <c r="E143" s="4" t="s">
        <v>2</v>
      </c>
      <c r="F143" s="5">
        <v>42179.426655092589</v>
      </c>
      <c r="G143" s="4">
        <v>0</v>
      </c>
      <c r="H143" s="4" t="s">
        <v>1</v>
      </c>
      <c r="I143" s="3" t="s">
        <v>718</v>
      </c>
    </row>
    <row r="144" spans="1:9" x14ac:dyDescent="0.25">
      <c r="A144" s="4">
        <v>42663</v>
      </c>
      <c r="B144" s="4" t="s">
        <v>5</v>
      </c>
      <c r="C144" s="4" t="s">
        <v>29</v>
      </c>
      <c r="D144" s="4" t="s">
        <v>3</v>
      </c>
      <c r="E144" s="4" t="s">
        <v>2</v>
      </c>
      <c r="F144" s="5">
        <v>42179.414421296293</v>
      </c>
      <c r="G144" s="4">
        <v>0</v>
      </c>
      <c r="H144" s="4" t="s">
        <v>1</v>
      </c>
      <c r="I144" s="3" t="s">
        <v>724</v>
      </c>
    </row>
    <row r="145" spans="1:9" ht="225" x14ac:dyDescent="0.25">
      <c r="A145" s="4">
        <v>42662</v>
      </c>
      <c r="B145" s="4" t="s">
        <v>5</v>
      </c>
      <c r="C145" s="4" t="s">
        <v>29</v>
      </c>
      <c r="D145" s="4" t="s">
        <v>28</v>
      </c>
      <c r="E145" s="4" t="s">
        <v>2</v>
      </c>
      <c r="F145" s="5">
        <v>42179.414421296293</v>
      </c>
      <c r="G145" s="4">
        <v>0</v>
      </c>
      <c r="H145" s="4" t="s">
        <v>1</v>
      </c>
      <c r="I145" s="3" t="s">
        <v>718</v>
      </c>
    </row>
    <row r="146" spans="1:9" x14ac:dyDescent="0.25">
      <c r="A146" s="4">
        <v>42661</v>
      </c>
      <c r="B146" s="4" t="s">
        <v>5</v>
      </c>
      <c r="C146" s="4" t="s">
        <v>29</v>
      </c>
      <c r="D146" s="4" t="s">
        <v>3</v>
      </c>
      <c r="E146" s="4" t="s">
        <v>2</v>
      </c>
      <c r="F146" s="5">
        <v>42179.414398148147</v>
      </c>
      <c r="G146" s="4">
        <v>0</v>
      </c>
      <c r="H146" s="4" t="s">
        <v>1</v>
      </c>
      <c r="I146" s="3" t="s">
        <v>725</v>
      </c>
    </row>
    <row r="147" spans="1:9" ht="225" x14ac:dyDescent="0.25">
      <c r="A147" s="4">
        <v>42660</v>
      </c>
      <c r="B147" s="4" t="s">
        <v>5</v>
      </c>
      <c r="C147" s="4" t="s">
        <v>29</v>
      </c>
      <c r="D147" s="4" t="s">
        <v>28</v>
      </c>
      <c r="E147" s="4" t="s">
        <v>2</v>
      </c>
      <c r="F147" s="5">
        <v>42179.414398148147</v>
      </c>
      <c r="G147" s="4">
        <v>0</v>
      </c>
      <c r="H147" s="4" t="s">
        <v>1</v>
      </c>
      <c r="I147" s="3" t="s">
        <v>718</v>
      </c>
    </row>
    <row r="148" spans="1:9" x14ac:dyDescent="0.25">
      <c r="A148" s="4">
        <v>42658</v>
      </c>
      <c r="B148" s="4" t="s">
        <v>5</v>
      </c>
      <c r="C148" s="4" t="s">
        <v>29</v>
      </c>
      <c r="D148" s="4" t="s">
        <v>3</v>
      </c>
      <c r="E148" s="4" t="s">
        <v>2</v>
      </c>
      <c r="F148" s="5">
        <v>42179.408449074072</v>
      </c>
      <c r="G148" s="4">
        <v>0</v>
      </c>
      <c r="H148" s="4" t="s">
        <v>1</v>
      </c>
      <c r="I148" s="3" t="s">
        <v>726</v>
      </c>
    </row>
    <row r="149" spans="1:9" ht="225" x14ac:dyDescent="0.25">
      <c r="A149" s="4">
        <v>42657</v>
      </c>
      <c r="B149" s="4" t="s">
        <v>5</v>
      </c>
      <c r="C149" s="4" t="s">
        <v>29</v>
      </c>
      <c r="D149" s="4" t="s">
        <v>28</v>
      </c>
      <c r="E149" s="4" t="s">
        <v>2</v>
      </c>
      <c r="F149" s="5">
        <v>42179.408449074072</v>
      </c>
      <c r="G149" s="4">
        <v>0</v>
      </c>
      <c r="H149" s="4" t="s">
        <v>1</v>
      </c>
      <c r="I149" s="3" t="s">
        <v>718</v>
      </c>
    </row>
    <row r="150" spans="1:9" x14ac:dyDescent="0.25">
      <c r="A150" s="4">
        <v>42656</v>
      </c>
      <c r="B150" s="4" t="s">
        <v>5</v>
      </c>
      <c r="C150" s="4" t="s">
        <v>29</v>
      </c>
      <c r="D150" s="4" t="s">
        <v>3</v>
      </c>
      <c r="E150" s="4" t="s">
        <v>2</v>
      </c>
      <c r="F150" s="5">
        <v>42179.408425925925</v>
      </c>
      <c r="G150" s="4">
        <v>0</v>
      </c>
      <c r="H150" s="4" t="s">
        <v>1</v>
      </c>
      <c r="I150" s="3" t="s">
        <v>727</v>
      </c>
    </row>
    <row r="151" spans="1:9" ht="225" x14ac:dyDescent="0.25">
      <c r="A151" s="4">
        <v>42655</v>
      </c>
      <c r="B151" s="4" t="s">
        <v>5</v>
      </c>
      <c r="C151" s="4" t="s">
        <v>29</v>
      </c>
      <c r="D151" s="4" t="s">
        <v>28</v>
      </c>
      <c r="E151" s="4" t="s">
        <v>2</v>
      </c>
      <c r="F151" s="5">
        <v>42179.408425925925</v>
      </c>
      <c r="G151" s="4">
        <v>0</v>
      </c>
      <c r="H151" s="4" t="s">
        <v>1</v>
      </c>
      <c r="I151" s="3" t="s">
        <v>718</v>
      </c>
    </row>
    <row r="152" spans="1:9" x14ac:dyDescent="0.25">
      <c r="A152" s="4">
        <v>42654</v>
      </c>
      <c r="B152" s="4" t="s">
        <v>5</v>
      </c>
      <c r="C152" s="4" t="s">
        <v>29</v>
      </c>
      <c r="D152" s="4" t="s">
        <v>3</v>
      </c>
      <c r="E152" s="4" t="s">
        <v>2</v>
      </c>
      <c r="F152" s="5">
        <v>42179.403437499997</v>
      </c>
      <c r="G152" s="4">
        <v>0</v>
      </c>
      <c r="H152" s="4" t="s">
        <v>1</v>
      </c>
      <c r="I152" s="3" t="s">
        <v>728</v>
      </c>
    </row>
    <row r="153" spans="1:9" ht="225" x14ac:dyDescent="0.25">
      <c r="A153" s="4">
        <v>42653</v>
      </c>
      <c r="B153" s="4" t="s">
        <v>5</v>
      </c>
      <c r="C153" s="4" t="s">
        <v>29</v>
      </c>
      <c r="D153" s="4" t="s">
        <v>28</v>
      </c>
      <c r="E153" s="4" t="s">
        <v>2</v>
      </c>
      <c r="F153" s="5">
        <v>42179.403437499997</v>
      </c>
      <c r="G153" s="4">
        <v>0</v>
      </c>
      <c r="H153" s="4" t="s">
        <v>1</v>
      </c>
      <c r="I153" s="3" t="s">
        <v>718</v>
      </c>
    </row>
    <row r="154" spans="1:9" x14ac:dyDescent="0.25">
      <c r="A154" s="4">
        <v>42652</v>
      </c>
      <c r="B154" s="4" t="s">
        <v>5</v>
      </c>
      <c r="C154" s="4" t="s">
        <v>29</v>
      </c>
      <c r="D154" s="4" t="s">
        <v>3</v>
      </c>
      <c r="E154" s="4" t="s">
        <v>2</v>
      </c>
      <c r="F154" s="5">
        <v>42179.403391203705</v>
      </c>
      <c r="G154" s="4">
        <v>0</v>
      </c>
      <c r="H154" s="4" t="s">
        <v>1</v>
      </c>
      <c r="I154" s="3" t="s">
        <v>729</v>
      </c>
    </row>
    <row r="155" spans="1:9" ht="225" x14ac:dyDescent="0.25">
      <c r="A155" s="4">
        <v>42651</v>
      </c>
      <c r="B155" s="4" t="s">
        <v>5</v>
      </c>
      <c r="C155" s="4" t="s">
        <v>29</v>
      </c>
      <c r="D155" s="4" t="s">
        <v>28</v>
      </c>
      <c r="E155" s="4" t="s">
        <v>2</v>
      </c>
      <c r="F155" s="5">
        <v>42179.403391203705</v>
      </c>
      <c r="G155" s="4">
        <v>0</v>
      </c>
      <c r="H155" s="4" t="s">
        <v>1</v>
      </c>
      <c r="I155" s="3" t="s">
        <v>718</v>
      </c>
    </row>
    <row r="156" spans="1:9" x14ac:dyDescent="0.25">
      <c r="A156" s="4">
        <v>42636</v>
      </c>
      <c r="B156" s="4" t="s">
        <v>5</v>
      </c>
      <c r="C156" s="4" t="s">
        <v>29</v>
      </c>
      <c r="D156" s="4" t="s">
        <v>3</v>
      </c>
      <c r="E156" s="4" t="s">
        <v>2</v>
      </c>
      <c r="F156" s="5">
        <v>42178.989629629628</v>
      </c>
      <c r="G156" s="4">
        <v>0</v>
      </c>
      <c r="H156" s="4" t="s">
        <v>1</v>
      </c>
      <c r="I156" s="3" t="s">
        <v>730</v>
      </c>
    </row>
    <row r="157" spans="1:9" ht="90" x14ac:dyDescent="0.25">
      <c r="A157" s="4">
        <v>42635</v>
      </c>
      <c r="B157" s="4" t="s">
        <v>5</v>
      </c>
      <c r="C157" s="4" t="s">
        <v>29</v>
      </c>
      <c r="D157" s="4" t="s">
        <v>3</v>
      </c>
      <c r="E157" s="4" t="s">
        <v>2</v>
      </c>
      <c r="F157" s="5">
        <v>42178.989629629628</v>
      </c>
      <c r="G157" s="4">
        <v>0</v>
      </c>
      <c r="H157" s="4" t="s">
        <v>1</v>
      </c>
      <c r="I157" s="3" t="s">
        <v>674</v>
      </c>
    </row>
    <row r="158" spans="1:9" x14ac:dyDescent="0.25">
      <c r="A158" s="4">
        <v>42634</v>
      </c>
      <c r="B158" s="4" t="s">
        <v>5</v>
      </c>
      <c r="C158" s="4" t="s">
        <v>29</v>
      </c>
      <c r="D158" s="4" t="s">
        <v>3</v>
      </c>
      <c r="E158" s="4" t="s">
        <v>2</v>
      </c>
      <c r="F158" s="5">
        <v>42178.989629629628</v>
      </c>
      <c r="G158" s="4">
        <v>0</v>
      </c>
      <c r="H158" s="4" t="s">
        <v>1</v>
      </c>
      <c r="I158" s="3" t="s">
        <v>597</v>
      </c>
    </row>
    <row r="159" spans="1:9" x14ac:dyDescent="0.25">
      <c r="A159" s="4">
        <v>42633</v>
      </c>
      <c r="B159" s="4" t="s">
        <v>5</v>
      </c>
      <c r="C159" s="4" t="s">
        <v>29</v>
      </c>
      <c r="D159" s="4" t="s">
        <v>3</v>
      </c>
      <c r="E159" s="4" t="s">
        <v>2</v>
      </c>
      <c r="F159" s="5">
        <v>42178.989618055559</v>
      </c>
      <c r="G159" s="4">
        <v>0</v>
      </c>
      <c r="H159" s="4" t="s">
        <v>1</v>
      </c>
      <c r="I159" s="3" t="s">
        <v>598</v>
      </c>
    </row>
    <row r="160" spans="1:9" ht="90" x14ac:dyDescent="0.25">
      <c r="A160" s="4">
        <v>42632</v>
      </c>
      <c r="B160" s="4" t="s">
        <v>5</v>
      </c>
      <c r="C160" s="4" t="s">
        <v>29</v>
      </c>
      <c r="D160" s="4" t="s">
        <v>3</v>
      </c>
      <c r="E160" s="4" t="s">
        <v>2</v>
      </c>
      <c r="F160" s="5">
        <v>42178.989618055559</v>
      </c>
      <c r="G160" s="4">
        <v>0</v>
      </c>
      <c r="H160" s="4" t="s">
        <v>1</v>
      </c>
      <c r="I160" s="3" t="s">
        <v>675</v>
      </c>
    </row>
    <row r="161" spans="1:9" ht="150" x14ac:dyDescent="0.25">
      <c r="A161" s="4">
        <v>42631</v>
      </c>
      <c r="B161" s="4" t="s">
        <v>5</v>
      </c>
      <c r="C161" s="4" t="s">
        <v>29</v>
      </c>
      <c r="D161" s="4" t="s">
        <v>3</v>
      </c>
      <c r="E161" s="4" t="s">
        <v>2</v>
      </c>
      <c r="F161" s="5">
        <v>42178.989618055559</v>
      </c>
      <c r="G161" s="4">
        <v>0</v>
      </c>
      <c r="H161" s="4" t="s">
        <v>1</v>
      </c>
      <c r="I161" s="3" t="s">
        <v>731</v>
      </c>
    </row>
    <row r="162" spans="1:9" ht="30" x14ac:dyDescent="0.25">
      <c r="A162" s="4">
        <v>42630</v>
      </c>
      <c r="B162" s="4" t="s">
        <v>5</v>
      </c>
      <c r="C162" s="4" t="s">
        <v>29</v>
      </c>
      <c r="D162" s="4" t="s">
        <v>3</v>
      </c>
      <c r="E162" s="4" t="s">
        <v>2</v>
      </c>
      <c r="F162" s="5">
        <v>42178.989606481482</v>
      </c>
      <c r="G162" s="4">
        <v>0</v>
      </c>
      <c r="H162" s="4" t="s">
        <v>1</v>
      </c>
      <c r="I162" s="3" t="s">
        <v>732</v>
      </c>
    </row>
    <row r="163" spans="1:9" x14ac:dyDescent="0.25">
      <c r="A163" s="4">
        <v>42626</v>
      </c>
      <c r="B163" s="4" t="s">
        <v>5</v>
      </c>
      <c r="C163" s="4" t="s">
        <v>29</v>
      </c>
      <c r="D163" s="4" t="s">
        <v>3</v>
      </c>
      <c r="E163" s="4" t="s">
        <v>2</v>
      </c>
      <c r="F163" s="5">
        <v>42178.973587962966</v>
      </c>
      <c r="G163" s="4">
        <v>0</v>
      </c>
      <c r="H163" s="4" t="s">
        <v>1</v>
      </c>
      <c r="I163" s="3" t="s">
        <v>733</v>
      </c>
    </row>
    <row r="164" spans="1:9" ht="90" x14ac:dyDescent="0.25">
      <c r="A164" s="4">
        <v>42625</v>
      </c>
      <c r="B164" s="4" t="s">
        <v>5</v>
      </c>
      <c r="C164" s="4" t="s">
        <v>29</v>
      </c>
      <c r="D164" s="4" t="s">
        <v>3</v>
      </c>
      <c r="E164" s="4" t="s">
        <v>2</v>
      </c>
      <c r="F164" s="5">
        <v>42178.973587962966</v>
      </c>
      <c r="G164" s="4">
        <v>0</v>
      </c>
      <c r="H164" s="4" t="s">
        <v>1</v>
      </c>
      <c r="I164" s="3" t="s">
        <v>674</v>
      </c>
    </row>
    <row r="165" spans="1:9" x14ac:dyDescent="0.25">
      <c r="A165" s="4">
        <v>42624</v>
      </c>
      <c r="B165" s="4" t="s">
        <v>5</v>
      </c>
      <c r="C165" s="4" t="s">
        <v>29</v>
      </c>
      <c r="D165" s="4" t="s">
        <v>3</v>
      </c>
      <c r="E165" s="4" t="s">
        <v>2</v>
      </c>
      <c r="F165" s="5">
        <v>42178.973587962966</v>
      </c>
      <c r="G165" s="4">
        <v>0</v>
      </c>
      <c r="H165" s="4" t="s">
        <v>1</v>
      </c>
      <c r="I165" s="3" t="s">
        <v>597</v>
      </c>
    </row>
    <row r="166" spans="1:9" x14ac:dyDescent="0.25">
      <c r="A166" s="4">
        <v>42623</v>
      </c>
      <c r="B166" s="4" t="s">
        <v>5</v>
      </c>
      <c r="C166" s="4" t="s">
        <v>29</v>
      </c>
      <c r="D166" s="4" t="s">
        <v>3</v>
      </c>
      <c r="E166" s="4" t="s">
        <v>2</v>
      </c>
      <c r="F166" s="5">
        <v>42178.97351851852</v>
      </c>
      <c r="G166" s="4">
        <v>0</v>
      </c>
      <c r="H166" s="4" t="s">
        <v>1</v>
      </c>
      <c r="I166" s="3" t="s">
        <v>598</v>
      </c>
    </row>
    <row r="167" spans="1:9" ht="90" x14ac:dyDescent="0.25">
      <c r="A167" s="4">
        <v>42622</v>
      </c>
      <c r="B167" s="4" t="s">
        <v>5</v>
      </c>
      <c r="C167" s="4" t="s">
        <v>29</v>
      </c>
      <c r="D167" s="4" t="s">
        <v>3</v>
      </c>
      <c r="E167" s="4" t="s">
        <v>2</v>
      </c>
      <c r="F167" s="5">
        <v>42178.97351851852</v>
      </c>
      <c r="G167" s="4">
        <v>0</v>
      </c>
      <c r="H167" s="4" t="s">
        <v>1</v>
      </c>
      <c r="I167" s="3" t="s">
        <v>675</v>
      </c>
    </row>
    <row r="168" spans="1:9" ht="105" x14ac:dyDescent="0.25">
      <c r="A168" s="4">
        <v>42621</v>
      </c>
      <c r="B168" s="4" t="s">
        <v>5</v>
      </c>
      <c r="C168" s="4" t="s">
        <v>29</v>
      </c>
      <c r="D168" s="4" t="s">
        <v>3</v>
      </c>
      <c r="E168" s="4" t="s">
        <v>2</v>
      </c>
      <c r="F168" s="5">
        <v>42178.97351851852</v>
      </c>
      <c r="G168" s="4">
        <v>0</v>
      </c>
      <c r="H168" s="4" t="s">
        <v>1</v>
      </c>
      <c r="I168" s="3" t="s">
        <v>600</v>
      </c>
    </row>
    <row r="169" spans="1:9" ht="30" x14ac:dyDescent="0.25">
      <c r="A169" s="4">
        <v>42620</v>
      </c>
      <c r="B169" s="4" t="s">
        <v>5</v>
      </c>
      <c r="C169" s="4" t="s">
        <v>29</v>
      </c>
      <c r="D169" s="4" t="s">
        <v>3</v>
      </c>
      <c r="E169" s="4" t="s">
        <v>2</v>
      </c>
      <c r="F169" s="5">
        <v>42178.97351851852</v>
      </c>
      <c r="G169" s="4">
        <v>0</v>
      </c>
      <c r="H169" s="4" t="s">
        <v>1</v>
      </c>
      <c r="I169" s="3" t="s">
        <v>734</v>
      </c>
    </row>
    <row r="170" spans="1:9" x14ac:dyDescent="0.25">
      <c r="A170" s="4">
        <v>42619</v>
      </c>
      <c r="B170" s="4" t="s">
        <v>5</v>
      </c>
      <c r="C170" s="4" t="s">
        <v>29</v>
      </c>
      <c r="D170" s="4" t="s">
        <v>3</v>
      </c>
      <c r="E170" s="4" t="s">
        <v>2</v>
      </c>
      <c r="F170" s="5">
        <v>42178.959027777775</v>
      </c>
      <c r="G170" s="4">
        <v>0</v>
      </c>
      <c r="H170" s="4" t="s">
        <v>1</v>
      </c>
      <c r="I170" s="3" t="s">
        <v>595</v>
      </c>
    </row>
    <row r="171" spans="1:9" ht="90" x14ac:dyDescent="0.25">
      <c r="A171" s="4">
        <v>42618</v>
      </c>
      <c r="B171" s="4" t="s">
        <v>5</v>
      </c>
      <c r="C171" s="4" t="s">
        <v>29</v>
      </c>
      <c r="D171" s="4" t="s">
        <v>3</v>
      </c>
      <c r="E171" s="4" t="s">
        <v>2</v>
      </c>
      <c r="F171" s="5">
        <v>42178.959027777775</v>
      </c>
      <c r="G171" s="4">
        <v>0</v>
      </c>
      <c r="H171" s="4" t="s">
        <v>1</v>
      </c>
      <c r="I171" s="3" t="s">
        <v>596</v>
      </c>
    </row>
    <row r="172" spans="1:9" x14ac:dyDescent="0.25">
      <c r="A172" s="4">
        <v>42617</v>
      </c>
      <c r="B172" s="4" t="s">
        <v>5</v>
      </c>
      <c r="C172" s="4" t="s">
        <v>29</v>
      </c>
      <c r="D172" s="4" t="s">
        <v>3</v>
      </c>
      <c r="E172" s="4" t="s">
        <v>2</v>
      </c>
      <c r="F172" s="5">
        <v>42178.959027777775</v>
      </c>
      <c r="G172" s="4">
        <v>0</v>
      </c>
      <c r="H172" s="4" t="s">
        <v>1</v>
      </c>
      <c r="I172" s="3" t="s">
        <v>597</v>
      </c>
    </row>
    <row r="173" spans="1:9" x14ac:dyDescent="0.25">
      <c r="A173" s="4">
        <v>42616</v>
      </c>
      <c r="B173" s="4" t="s">
        <v>5</v>
      </c>
      <c r="C173" s="4" t="s">
        <v>29</v>
      </c>
      <c r="D173" s="4" t="s">
        <v>3</v>
      </c>
      <c r="E173" s="4" t="s">
        <v>2</v>
      </c>
      <c r="F173" s="5">
        <v>42178.95894675926</v>
      </c>
      <c r="G173" s="4">
        <v>0</v>
      </c>
      <c r="H173" s="4" t="s">
        <v>1</v>
      </c>
      <c r="I173" s="3" t="s">
        <v>598</v>
      </c>
    </row>
    <row r="174" spans="1:9" ht="90" x14ac:dyDescent="0.25">
      <c r="A174" s="4">
        <v>42615</v>
      </c>
      <c r="B174" s="4" t="s">
        <v>5</v>
      </c>
      <c r="C174" s="4" t="s">
        <v>29</v>
      </c>
      <c r="D174" s="4" t="s">
        <v>3</v>
      </c>
      <c r="E174" s="4" t="s">
        <v>2</v>
      </c>
      <c r="F174" s="5">
        <v>42178.95894675926</v>
      </c>
      <c r="G174" s="4">
        <v>0</v>
      </c>
      <c r="H174" s="4" t="s">
        <v>1</v>
      </c>
      <c r="I174" s="3" t="s">
        <v>599</v>
      </c>
    </row>
    <row r="175" spans="1:9" ht="105" x14ac:dyDescent="0.25">
      <c r="A175" s="4">
        <v>42614</v>
      </c>
      <c r="B175" s="4" t="s">
        <v>5</v>
      </c>
      <c r="C175" s="4" t="s">
        <v>29</v>
      </c>
      <c r="D175" s="4" t="s">
        <v>3</v>
      </c>
      <c r="E175" s="4" t="s">
        <v>2</v>
      </c>
      <c r="F175" s="5">
        <v>42178.95894675926</v>
      </c>
      <c r="G175" s="4">
        <v>0</v>
      </c>
      <c r="H175" s="4" t="s">
        <v>1</v>
      </c>
      <c r="I175" s="3" t="s">
        <v>600</v>
      </c>
    </row>
    <row r="176" spans="1:9" ht="30" x14ac:dyDescent="0.25">
      <c r="A176" s="4">
        <v>42613</v>
      </c>
      <c r="B176" s="4" t="s">
        <v>5</v>
      </c>
      <c r="C176" s="4" t="s">
        <v>29</v>
      </c>
      <c r="D176" s="4" t="s">
        <v>3</v>
      </c>
      <c r="E176" s="4" t="s">
        <v>2</v>
      </c>
      <c r="F176" s="5">
        <v>42178.95894675926</v>
      </c>
      <c r="G176" s="4">
        <v>0</v>
      </c>
      <c r="H176" s="4" t="s">
        <v>1</v>
      </c>
      <c r="I176" s="3" t="s">
        <v>601</v>
      </c>
    </row>
    <row r="177" spans="1:9" ht="90" x14ac:dyDescent="0.25">
      <c r="A177" s="4">
        <v>42612</v>
      </c>
      <c r="B177" s="4" t="s">
        <v>5</v>
      </c>
      <c r="C177" s="4" t="s">
        <v>29</v>
      </c>
      <c r="D177" s="4" t="s">
        <v>3</v>
      </c>
      <c r="E177" s="4" t="s">
        <v>2</v>
      </c>
      <c r="F177" s="5">
        <v>42178.939629629633</v>
      </c>
      <c r="G177" s="4">
        <v>0</v>
      </c>
      <c r="H177" s="4" t="s">
        <v>1</v>
      </c>
      <c r="I177" s="3" t="s">
        <v>596</v>
      </c>
    </row>
    <row r="178" spans="1:9" x14ac:dyDescent="0.25">
      <c r="A178" s="4">
        <v>42611</v>
      </c>
      <c r="B178" s="4" t="s">
        <v>5</v>
      </c>
      <c r="C178" s="4" t="s">
        <v>29</v>
      </c>
      <c r="D178" s="4" t="s">
        <v>3</v>
      </c>
      <c r="E178" s="4" t="s">
        <v>2</v>
      </c>
      <c r="F178" s="5">
        <v>42178.939629629633</v>
      </c>
      <c r="G178" s="4">
        <v>0</v>
      </c>
      <c r="H178" s="4" t="s">
        <v>1</v>
      </c>
      <c r="I178" s="3" t="s">
        <v>597</v>
      </c>
    </row>
    <row r="179" spans="1:9" x14ac:dyDescent="0.25">
      <c r="A179" s="4">
        <v>42610</v>
      </c>
      <c r="B179" s="4" t="s">
        <v>5</v>
      </c>
      <c r="C179" s="4" t="s">
        <v>29</v>
      </c>
      <c r="D179" s="4" t="s">
        <v>3</v>
      </c>
      <c r="E179" s="4" t="s">
        <v>2</v>
      </c>
      <c r="F179" s="5">
        <v>42178.939444444448</v>
      </c>
      <c r="G179" s="4">
        <v>0</v>
      </c>
      <c r="H179" s="4" t="s">
        <v>1</v>
      </c>
      <c r="I179" s="3" t="s">
        <v>598</v>
      </c>
    </row>
    <row r="180" spans="1:9" ht="90" x14ac:dyDescent="0.25">
      <c r="A180" s="4">
        <v>42609</v>
      </c>
      <c r="B180" s="4" t="s">
        <v>5</v>
      </c>
      <c r="C180" s="4" t="s">
        <v>29</v>
      </c>
      <c r="D180" s="4" t="s">
        <v>3</v>
      </c>
      <c r="E180" s="4" t="s">
        <v>2</v>
      </c>
      <c r="F180" s="5">
        <v>42178.939444444448</v>
      </c>
      <c r="G180" s="4">
        <v>0</v>
      </c>
      <c r="H180" s="4" t="s">
        <v>1</v>
      </c>
      <c r="I180" s="3" t="s">
        <v>599</v>
      </c>
    </row>
    <row r="181" spans="1:9" ht="105" x14ac:dyDescent="0.25">
      <c r="A181" s="4">
        <v>42608</v>
      </c>
      <c r="B181" s="4" t="s">
        <v>5</v>
      </c>
      <c r="C181" s="4" t="s">
        <v>29</v>
      </c>
      <c r="D181" s="4" t="s">
        <v>3</v>
      </c>
      <c r="E181" s="4" t="s">
        <v>2</v>
      </c>
      <c r="F181" s="5">
        <v>42178.939444444448</v>
      </c>
      <c r="G181" s="4">
        <v>0</v>
      </c>
      <c r="H181" s="4" t="s">
        <v>1</v>
      </c>
      <c r="I181" s="3" t="s">
        <v>600</v>
      </c>
    </row>
    <row r="182" spans="1:9" ht="30" x14ac:dyDescent="0.25">
      <c r="A182" s="4">
        <v>42607</v>
      </c>
      <c r="B182" s="4" t="s">
        <v>5</v>
      </c>
      <c r="C182" s="4" t="s">
        <v>29</v>
      </c>
      <c r="D182" s="4" t="s">
        <v>3</v>
      </c>
      <c r="E182" s="4" t="s">
        <v>2</v>
      </c>
      <c r="F182" s="5">
        <v>42178.939444444448</v>
      </c>
      <c r="G182" s="4">
        <v>0</v>
      </c>
      <c r="H182" s="4" t="s">
        <v>1</v>
      </c>
      <c r="I182" s="3" t="s">
        <v>602</v>
      </c>
    </row>
    <row r="183" spans="1:9" ht="30" x14ac:dyDescent="0.25">
      <c r="A183" s="4">
        <v>42598</v>
      </c>
      <c r="B183" s="4" t="s">
        <v>5</v>
      </c>
      <c r="C183" s="4" t="s">
        <v>29</v>
      </c>
      <c r="D183" s="4" t="s">
        <v>3</v>
      </c>
      <c r="E183" s="4" t="s">
        <v>2</v>
      </c>
      <c r="F183" s="5">
        <v>42178.909710648149</v>
      </c>
      <c r="G183" s="4">
        <v>0</v>
      </c>
      <c r="H183" s="4" t="s">
        <v>1</v>
      </c>
      <c r="I183" s="3" t="s">
        <v>603</v>
      </c>
    </row>
    <row r="184" spans="1:9" ht="90" x14ac:dyDescent="0.25">
      <c r="A184" s="4">
        <v>42597</v>
      </c>
      <c r="B184" s="4" t="s">
        <v>5</v>
      </c>
      <c r="C184" s="4" t="s">
        <v>29</v>
      </c>
      <c r="D184" s="4" t="s">
        <v>3</v>
      </c>
      <c r="E184" s="4" t="s">
        <v>2</v>
      </c>
      <c r="F184" s="5">
        <v>42178.909710648149</v>
      </c>
      <c r="G184" s="4">
        <v>0</v>
      </c>
      <c r="H184" s="4" t="s">
        <v>1</v>
      </c>
      <c r="I184" s="3" t="s">
        <v>604</v>
      </c>
    </row>
    <row r="185" spans="1:9" ht="90" x14ac:dyDescent="0.25">
      <c r="A185" s="4">
        <v>42596</v>
      </c>
      <c r="B185" s="4" t="s">
        <v>5</v>
      </c>
      <c r="C185" s="4" t="s">
        <v>29</v>
      </c>
      <c r="D185" s="4" t="s">
        <v>3</v>
      </c>
      <c r="E185" s="4" t="s">
        <v>2</v>
      </c>
      <c r="F185" s="5">
        <v>42178.909641203703</v>
      </c>
      <c r="G185" s="4">
        <v>0</v>
      </c>
      <c r="H185" s="4" t="s">
        <v>1</v>
      </c>
      <c r="I185" s="3" t="s">
        <v>605</v>
      </c>
    </row>
    <row r="186" spans="1:9" ht="45" x14ac:dyDescent="0.25">
      <c r="A186" s="4">
        <v>42595</v>
      </c>
      <c r="B186" s="4" t="s">
        <v>5</v>
      </c>
      <c r="C186" s="4" t="s">
        <v>29</v>
      </c>
      <c r="D186" s="4" t="s">
        <v>3</v>
      </c>
      <c r="E186" s="4" t="s">
        <v>2</v>
      </c>
      <c r="F186" s="5">
        <v>42178.909641203703</v>
      </c>
      <c r="G186" s="4">
        <v>0</v>
      </c>
      <c r="H186" s="4" t="s">
        <v>1</v>
      </c>
      <c r="I186" s="3" t="s">
        <v>606</v>
      </c>
    </row>
    <row r="187" spans="1:9" ht="30" x14ac:dyDescent="0.25">
      <c r="A187" s="4">
        <v>42594</v>
      </c>
      <c r="B187" s="4" t="s">
        <v>5</v>
      </c>
      <c r="C187" s="4" t="s">
        <v>29</v>
      </c>
      <c r="D187" s="4" t="s">
        <v>3</v>
      </c>
      <c r="E187" s="4" t="s">
        <v>2</v>
      </c>
      <c r="F187" s="5">
        <v>42178.909641203703</v>
      </c>
      <c r="G187" s="4">
        <v>0</v>
      </c>
      <c r="H187" s="4" t="s">
        <v>1</v>
      </c>
      <c r="I187" s="3" t="s">
        <v>607</v>
      </c>
    </row>
    <row r="188" spans="1:9" ht="30" x14ac:dyDescent="0.25">
      <c r="A188" s="4">
        <v>42592</v>
      </c>
      <c r="B188" s="4" t="s">
        <v>5</v>
      </c>
      <c r="C188" s="4" t="s">
        <v>29</v>
      </c>
      <c r="D188" s="4" t="s">
        <v>3</v>
      </c>
      <c r="E188" s="4" t="s">
        <v>2</v>
      </c>
      <c r="F188" s="5">
        <v>42178.802662037036</v>
      </c>
      <c r="G188" s="4">
        <v>0</v>
      </c>
      <c r="H188" s="4" t="s">
        <v>1</v>
      </c>
      <c r="I188" s="3" t="s">
        <v>608</v>
      </c>
    </row>
    <row r="189" spans="1:9" ht="90" x14ac:dyDescent="0.25">
      <c r="A189" s="4">
        <v>42591</v>
      </c>
      <c r="B189" s="4" t="s">
        <v>5</v>
      </c>
      <c r="C189" s="4" t="s">
        <v>29</v>
      </c>
      <c r="D189" s="4" t="s">
        <v>3</v>
      </c>
      <c r="E189" s="4" t="s">
        <v>2</v>
      </c>
      <c r="F189" s="5">
        <v>42178.802662037036</v>
      </c>
      <c r="G189" s="4">
        <v>0</v>
      </c>
      <c r="H189" s="4" t="s">
        <v>1</v>
      </c>
      <c r="I189" s="3" t="s">
        <v>604</v>
      </c>
    </row>
    <row r="190" spans="1:9" ht="90" x14ac:dyDescent="0.25">
      <c r="A190" s="4">
        <v>42590</v>
      </c>
      <c r="B190" s="4" t="s">
        <v>5</v>
      </c>
      <c r="C190" s="4" t="s">
        <v>29</v>
      </c>
      <c r="D190" s="4" t="s">
        <v>3</v>
      </c>
      <c r="E190" s="4" t="s">
        <v>2</v>
      </c>
      <c r="F190" s="5">
        <v>42178.802604166667</v>
      </c>
      <c r="G190" s="4">
        <v>0</v>
      </c>
      <c r="H190" s="4" t="s">
        <v>1</v>
      </c>
      <c r="I190" s="3" t="s">
        <v>605</v>
      </c>
    </row>
    <row r="191" spans="1:9" ht="45" x14ac:dyDescent="0.25">
      <c r="A191" s="4">
        <v>42589</v>
      </c>
      <c r="B191" s="4" t="s">
        <v>5</v>
      </c>
      <c r="C191" s="4" t="s">
        <v>29</v>
      </c>
      <c r="D191" s="4" t="s">
        <v>3</v>
      </c>
      <c r="E191" s="4" t="s">
        <v>2</v>
      </c>
      <c r="F191" s="5">
        <v>42178.802604166667</v>
      </c>
      <c r="G191" s="4">
        <v>0</v>
      </c>
      <c r="H191" s="4" t="s">
        <v>1</v>
      </c>
      <c r="I191" s="3" t="s">
        <v>606</v>
      </c>
    </row>
    <row r="192" spans="1:9" ht="30" x14ac:dyDescent="0.25">
      <c r="A192" s="4">
        <v>42588</v>
      </c>
      <c r="B192" s="4" t="s">
        <v>5</v>
      </c>
      <c r="C192" s="4" t="s">
        <v>29</v>
      </c>
      <c r="D192" s="4" t="s">
        <v>3</v>
      </c>
      <c r="E192" s="4" t="s">
        <v>2</v>
      </c>
      <c r="F192" s="5">
        <v>42178.80259259259</v>
      </c>
      <c r="G192" s="4">
        <v>0</v>
      </c>
      <c r="H192" s="4" t="s">
        <v>1</v>
      </c>
      <c r="I192" s="3" t="s">
        <v>609</v>
      </c>
    </row>
    <row r="193" spans="1:9" ht="30" x14ac:dyDescent="0.25">
      <c r="A193" s="4">
        <v>42587</v>
      </c>
      <c r="B193" s="4" t="s">
        <v>5</v>
      </c>
      <c r="C193" s="4" t="s">
        <v>29</v>
      </c>
      <c r="D193" s="4" t="s">
        <v>3</v>
      </c>
      <c r="E193" s="4" t="s">
        <v>2</v>
      </c>
      <c r="F193" s="5">
        <v>42178.79991898148</v>
      </c>
      <c r="G193" s="4">
        <v>0</v>
      </c>
      <c r="H193" s="4" t="s">
        <v>1</v>
      </c>
      <c r="I193" s="3" t="s">
        <v>610</v>
      </c>
    </row>
    <row r="194" spans="1:9" ht="240" x14ac:dyDescent="0.25">
      <c r="A194" s="4">
        <v>42586</v>
      </c>
      <c r="B194" s="4" t="s">
        <v>5</v>
      </c>
      <c r="C194" s="4" t="s">
        <v>29</v>
      </c>
      <c r="D194" s="4" t="s">
        <v>28</v>
      </c>
      <c r="E194" s="4" t="s">
        <v>2</v>
      </c>
      <c r="F194" s="5">
        <v>42178.79991898148</v>
      </c>
      <c r="G194" s="4">
        <v>0</v>
      </c>
      <c r="H194" s="4" t="s">
        <v>1</v>
      </c>
      <c r="I194" s="3" t="s">
        <v>611</v>
      </c>
    </row>
    <row r="195" spans="1:9" ht="30" x14ac:dyDescent="0.25">
      <c r="A195" s="4">
        <v>42585</v>
      </c>
      <c r="B195" s="4" t="s">
        <v>5</v>
      </c>
      <c r="C195" s="4" t="s">
        <v>29</v>
      </c>
      <c r="D195" s="4" t="s">
        <v>3</v>
      </c>
      <c r="E195" s="4" t="s">
        <v>2</v>
      </c>
      <c r="F195" s="5">
        <v>42178.79991898148</v>
      </c>
      <c r="G195" s="4">
        <v>0</v>
      </c>
      <c r="H195" s="4" t="s">
        <v>1</v>
      </c>
      <c r="I195" s="3" t="s">
        <v>612</v>
      </c>
    </row>
    <row r="196" spans="1:9" ht="30" x14ac:dyDescent="0.25">
      <c r="A196" s="4">
        <v>42584</v>
      </c>
      <c r="B196" s="4" t="s">
        <v>5</v>
      </c>
      <c r="C196" s="4" t="s">
        <v>29</v>
      </c>
      <c r="D196" s="4" t="s">
        <v>3</v>
      </c>
      <c r="E196" s="4" t="s">
        <v>2</v>
      </c>
      <c r="F196" s="5">
        <v>42178.796724537038</v>
      </c>
      <c r="G196" s="4">
        <v>0</v>
      </c>
      <c r="H196" s="4" t="s">
        <v>1</v>
      </c>
      <c r="I196" s="3" t="s">
        <v>613</v>
      </c>
    </row>
    <row r="197" spans="1:9" ht="240" x14ac:dyDescent="0.25">
      <c r="A197" s="4">
        <v>42583</v>
      </c>
      <c r="B197" s="4" t="s">
        <v>5</v>
      </c>
      <c r="C197" s="4" t="s">
        <v>29</v>
      </c>
      <c r="D197" s="4" t="s">
        <v>28</v>
      </c>
      <c r="E197" s="4" t="s">
        <v>2</v>
      </c>
      <c r="F197" s="5">
        <v>42178.796724537038</v>
      </c>
      <c r="G197" s="4">
        <v>0</v>
      </c>
      <c r="H197" s="4" t="s">
        <v>1</v>
      </c>
      <c r="I197" s="3" t="s">
        <v>611</v>
      </c>
    </row>
    <row r="198" spans="1:9" ht="30" x14ac:dyDescent="0.25">
      <c r="A198" s="4">
        <v>42582</v>
      </c>
      <c r="B198" s="4" t="s">
        <v>5</v>
      </c>
      <c r="C198" s="4" t="s">
        <v>29</v>
      </c>
      <c r="D198" s="4" t="s">
        <v>3</v>
      </c>
      <c r="E198" s="4" t="s">
        <v>2</v>
      </c>
      <c r="F198" s="5">
        <v>42178.796712962961</v>
      </c>
      <c r="G198" s="4">
        <v>0</v>
      </c>
      <c r="H198" s="4" t="s">
        <v>1</v>
      </c>
      <c r="I198" s="3" t="s">
        <v>614</v>
      </c>
    </row>
    <row r="199" spans="1:9" ht="90" x14ac:dyDescent="0.25">
      <c r="A199" s="4">
        <v>42530</v>
      </c>
      <c r="B199" s="4" t="s">
        <v>5</v>
      </c>
      <c r="C199" s="4" t="s">
        <v>29</v>
      </c>
      <c r="D199" s="4" t="s">
        <v>3</v>
      </c>
      <c r="E199" s="4" t="s">
        <v>2</v>
      </c>
      <c r="F199" s="5">
        <v>42178.721747685187</v>
      </c>
      <c r="G199" s="4">
        <v>0</v>
      </c>
      <c r="H199" s="4" t="s">
        <v>1</v>
      </c>
      <c r="I199" s="3" t="s">
        <v>569</v>
      </c>
    </row>
    <row r="200" spans="1:9" ht="90" x14ac:dyDescent="0.25">
      <c r="A200" s="4">
        <v>42529</v>
      </c>
      <c r="B200" s="4" t="s">
        <v>5</v>
      </c>
      <c r="C200" s="4" t="s">
        <v>29</v>
      </c>
      <c r="D200" s="4" t="s">
        <v>3</v>
      </c>
      <c r="E200" s="4" t="s">
        <v>2</v>
      </c>
      <c r="F200" s="5">
        <v>42178.721701388888</v>
      </c>
      <c r="G200" s="4">
        <v>0</v>
      </c>
      <c r="H200" s="4" t="s">
        <v>1</v>
      </c>
      <c r="I200" s="3" t="s">
        <v>570</v>
      </c>
    </row>
    <row r="201" spans="1:9" ht="30" x14ac:dyDescent="0.25">
      <c r="A201" s="4">
        <v>42528</v>
      </c>
      <c r="B201" s="4" t="s">
        <v>5</v>
      </c>
      <c r="C201" s="4" t="s">
        <v>29</v>
      </c>
      <c r="D201" s="4" t="s">
        <v>3</v>
      </c>
      <c r="E201" s="4" t="s">
        <v>2</v>
      </c>
      <c r="F201" s="5">
        <v>42178.721701388888</v>
      </c>
      <c r="G201" s="4">
        <v>0</v>
      </c>
      <c r="H201" s="4" t="s">
        <v>1</v>
      </c>
      <c r="I201" s="3" t="s">
        <v>571</v>
      </c>
    </row>
    <row r="202" spans="1:9" ht="30" x14ac:dyDescent="0.25">
      <c r="A202" s="4">
        <v>42527</v>
      </c>
      <c r="B202" s="4" t="s">
        <v>5</v>
      </c>
      <c r="C202" s="4" t="s">
        <v>29</v>
      </c>
      <c r="D202" s="4" t="s">
        <v>3</v>
      </c>
      <c r="E202" s="4" t="s">
        <v>2</v>
      </c>
      <c r="F202" s="5">
        <v>42178.721701388888</v>
      </c>
      <c r="G202" s="4">
        <v>0</v>
      </c>
      <c r="H202" s="4" t="s">
        <v>1</v>
      </c>
      <c r="I202" s="3" t="s">
        <v>572</v>
      </c>
    </row>
    <row r="203" spans="1:9" ht="90" x14ac:dyDescent="0.25">
      <c r="A203" s="4">
        <v>42526</v>
      </c>
      <c r="B203" s="4" t="s">
        <v>5</v>
      </c>
      <c r="C203" s="4" t="s">
        <v>29</v>
      </c>
      <c r="D203" s="4" t="s">
        <v>3</v>
      </c>
      <c r="E203" s="4" t="s">
        <v>2</v>
      </c>
      <c r="F203" s="5">
        <v>42178.718831018516</v>
      </c>
      <c r="G203" s="4">
        <v>0</v>
      </c>
      <c r="H203" s="4" t="s">
        <v>1</v>
      </c>
      <c r="I203" s="3" t="s">
        <v>569</v>
      </c>
    </row>
    <row r="204" spans="1:9" ht="90" x14ac:dyDescent="0.25">
      <c r="A204" s="4">
        <v>42525</v>
      </c>
      <c r="B204" s="4" t="s">
        <v>5</v>
      </c>
      <c r="C204" s="4" t="s">
        <v>29</v>
      </c>
      <c r="D204" s="4" t="s">
        <v>3</v>
      </c>
      <c r="E204" s="4" t="s">
        <v>2</v>
      </c>
      <c r="F204" s="5">
        <v>42178.718414351853</v>
      </c>
      <c r="G204" s="4">
        <v>0</v>
      </c>
      <c r="H204" s="4" t="s">
        <v>1</v>
      </c>
      <c r="I204" s="3" t="s">
        <v>570</v>
      </c>
    </row>
    <row r="205" spans="1:9" ht="30" x14ac:dyDescent="0.25">
      <c r="A205" s="4">
        <v>42524</v>
      </c>
      <c r="B205" s="4" t="s">
        <v>5</v>
      </c>
      <c r="C205" s="4" t="s">
        <v>29</v>
      </c>
      <c r="D205" s="4" t="s">
        <v>3</v>
      </c>
      <c r="E205" s="4" t="s">
        <v>2</v>
      </c>
      <c r="F205" s="5">
        <v>42178.718391203707</v>
      </c>
      <c r="G205" s="4">
        <v>0</v>
      </c>
      <c r="H205" s="4" t="s">
        <v>1</v>
      </c>
      <c r="I205" s="3" t="s">
        <v>571</v>
      </c>
    </row>
    <row r="206" spans="1:9" ht="30" x14ac:dyDescent="0.25">
      <c r="A206" s="4">
        <v>42523</v>
      </c>
      <c r="B206" s="4" t="s">
        <v>5</v>
      </c>
      <c r="C206" s="4" t="s">
        <v>29</v>
      </c>
      <c r="D206" s="4" t="s">
        <v>3</v>
      </c>
      <c r="E206" s="4" t="s">
        <v>2</v>
      </c>
      <c r="F206" s="5">
        <v>42178.718217592592</v>
      </c>
      <c r="G206" s="4">
        <v>0</v>
      </c>
      <c r="H206" s="4" t="s">
        <v>1</v>
      </c>
      <c r="I206" s="3" t="s">
        <v>573</v>
      </c>
    </row>
    <row r="207" spans="1:9" ht="409.5" x14ac:dyDescent="0.25">
      <c r="A207" s="4">
        <v>42500</v>
      </c>
      <c r="B207" s="4" t="s">
        <v>5</v>
      </c>
      <c r="C207" s="4" t="s">
        <v>29</v>
      </c>
      <c r="D207" s="4" t="s">
        <v>28</v>
      </c>
      <c r="E207" s="4" t="s">
        <v>2</v>
      </c>
      <c r="F207" s="5">
        <v>42178.476111111115</v>
      </c>
      <c r="G207" s="4">
        <v>0</v>
      </c>
      <c r="H207" s="4" t="s">
        <v>1</v>
      </c>
      <c r="I207" s="3" t="s">
        <v>574</v>
      </c>
    </row>
    <row r="208" spans="1:9" ht="409.5" x14ac:dyDescent="0.25">
      <c r="A208" s="4">
        <v>42499</v>
      </c>
      <c r="B208" s="4" t="s">
        <v>5</v>
      </c>
      <c r="C208" s="4" t="s">
        <v>29</v>
      </c>
      <c r="D208" s="4" t="s">
        <v>28</v>
      </c>
      <c r="E208" s="4" t="s">
        <v>2</v>
      </c>
      <c r="F208" s="5">
        <v>42178.475624999999</v>
      </c>
      <c r="G208" s="4">
        <v>0</v>
      </c>
      <c r="H208" s="4" t="s">
        <v>1</v>
      </c>
      <c r="I208" s="3" t="s">
        <v>574</v>
      </c>
    </row>
    <row r="209" spans="1:9" ht="405" x14ac:dyDescent="0.25">
      <c r="A209" s="4">
        <v>42498</v>
      </c>
      <c r="B209" s="4" t="s">
        <v>5</v>
      </c>
      <c r="C209" s="4" t="s">
        <v>29</v>
      </c>
      <c r="D209" s="4" t="s">
        <v>28</v>
      </c>
      <c r="E209" s="4" t="s">
        <v>2</v>
      </c>
      <c r="F209" s="5">
        <v>42178.471377314818</v>
      </c>
      <c r="G209" s="4">
        <v>0</v>
      </c>
      <c r="H209" s="4" t="s">
        <v>1</v>
      </c>
      <c r="I209" s="3" t="s">
        <v>575</v>
      </c>
    </row>
    <row r="210" spans="1:9" ht="405" x14ac:dyDescent="0.25">
      <c r="A210" s="4">
        <v>42497</v>
      </c>
      <c r="B210" s="4" t="s">
        <v>5</v>
      </c>
      <c r="C210" s="4" t="s">
        <v>29</v>
      </c>
      <c r="D210" s="4" t="s">
        <v>28</v>
      </c>
      <c r="E210" s="4" t="s">
        <v>2</v>
      </c>
      <c r="F210" s="5">
        <v>42178.469699074078</v>
      </c>
      <c r="G210" s="4">
        <v>0</v>
      </c>
      <c r="H210" s="4" t="s">
        <v>1</v>
      </c>
      <c r="I210" s="3" t="s">
        <v>575</v>
      </c>
    </row>
    <row r="211" spans="1:9" ht="409.5" x14ac:dyDescent="0.25">
      <c r="A211" s="4">
        <v>42496</v>
      </c>
      <c r="B211" s="4" t="s">
        <v>5</v>
      </c>
      <c r="C211" s="4" t="s">
        <v>29</v>
      </c>
      <c r="D211" s="4" t="s">
        <v>28</v>
      </c>
      <c r="E211" s="4" t="s">
        <v>2</v>
      </c>
      <c r="F211" s="5">
        <v>42178.46665509259</v>
      </c>
      <c r="G211" s="4">
        <v>0</v>
      </c>
      <c r="H211" s="4" t="s">
        <v>1</v>
      </c>
      <c r="I211" s="3" t="s">
        <v>576</v>
      </c>
    </row>
    <row r="212" spans="1:9" ht="225" x14ac:dyDescent="0.25">
      <c r="A212" s="4">
        <v>42495</v>
      </c>
      <c r="B212" s="4" t="s">
        <v>5</v>
      </c>
      <c r="C212" s="4" t="s">
        <v>29</v>
      </c>
      <c r="D212" s="4" t="s">
        <v>28</v>
      </c>
      <c r="E212" s="4" t="s">
        <v>2</v>
      </c>
      <c r="F212" s="5">
        <v>42178.449884259258</v>
      </c>
      <c r="G212" s="4">
        <v>0</v>
      </c>
      <c r="H212" s="4" t="s">
        <v>1</v>
      </c>
      <c r="I212" s="3" t="s">
        <v>577</v>
      </c>
    </row>
    <row r="213" spans="1:9" ht="225" x14ac:dyDescent="0.25">
      <c r="A213" s="4">
        <v>42494</v>
      </c>
      <c r="B213" s="4" t="s">
        <v>5</v>
      </c>
      <c r="C213" s="4" t="s">
        <v>29</v>
      </c>
      <c r="D213" s="4" t="s">
        <v>28</v>
      </c>
      <c r="E213" s="4" t="s">
        <v>2</v>
      </c>
      <c r="F213" s="5">
        <v>42178.444050925929</v>
      </c>
      <c r="G213" s="4">
        <v>0</v>
      </c>
      <c r="H213" s="4" t="s">
        <v>1</v>
      </c>
      <c r="I213" s="3" t="s">
        <v>577</v>
      </c>
    </row>
    <row r="214" spans="1:9" ht="240" x14ac:dyDescent="0.25">
      <c r="A214" s="4">
        <v>42447</v>
      </c>
      <c r="B214" s="4" t="s">
        <v>5</v>
      </c>
      <c r="C214" s="4" t="s">
        <v>29</v>
      </c>
      <c r="D214" s="4" t="s">
        <v>28</v>
      </c>
      <c r="E214" s="4" t="s">
        <v>2</v>
      </c>
      <c r="F214" s="5">
        <v>42178.100844907407</v>
      </c>
      <c r="G214" s="4">
        <v>0</v>
      </c>
      <c r="H214" s="4" t="s">
        <v>1</v>
      </c>
      <c r="I214" s="3" t="s">
        <v>578</v>
      </c>
    </row>
    <row r="215" spans="1:9" ht="240" x14ac:dyDescent="0.25">
      <c r="A215" s="4">
        <v>42446</v>
      </c>
      <c r="B215" s="4" t="s">
        <v>5</v>
      </c>
      <c r="C215" s="4" t="s">
        <v>29</v>
      </c>
      <c r="D215" s="4" t="s">
        <v>28</v>
      </c>
      <c r="E215" s="4" t="s">
        <v>2</v>
      </c>
      <c r="F215" s="5">
        <v>42178.095995370371</v>
      </c>
      <c r="G215" s="4">
        <v>0</v>
      </c>
      <c r="H215" s="4" t="s">
        <v>1</v>
      </c>
      <c r="I215" s="3" t="s">
        <v>578</v>
      </c>
    </row>
    <row r="216" spans="1:9" ht="240" x14ac:dyDescent="0.25">
      <c r="A216" s="4">
        <v>42445</v>
      </c>
      <c r="B216" s="4" t="s">
        <v>5</v>
      </c>
      <c r="C216" s="4" t="s">
        <v>29</v>
      </c>
      <c r="D216" s="4" t="s">
        <v>28</v>
      </c>
      <c r="E216" s="4" t="s">
        <v>2</v>
      </c>
      <c r="F216" s="5">
        <v>42178.095127314817</v>
      </c>
      <c r="G216" s="4">
        <v>0</v>
      </c>
      <c r="H216" s="4" t="s">
        <v>1</v>
      </c>
      <c r="I216" s="3" t="s">
        <v>579</v>
      </c>
    </row>
    <row r="217" spans="1:9" ht="240" x14ac:dyDescent="0.25">
      <c r="A217" s="4">
        <v>42444</v>
      </c>
      <c r="B217" s="4" t="s">
        <v>5</v>
      </c>
      <c r="C217" s="4" t="s">
        <v>29</v>
      </c>
      <c r="D217" s="4" t="s">
        <v>28</v>
      </c>
      <c r="E217" s="4" t="s">
        <v>2</v>
      </c>
      <c r="F217" s="5">
        <v>42178.094027777777</v>
      </c>
      <c r="G217" s="4">
        <v>0</v>
      </c>
      <c r="H217" s="4" t="s">
        <v>1</v>
      </c>
      <c r="I217" s="3" t="s">
        <v>579</v>
      </c>
    </row>
    <row r="218" spans="1:9" ht="240" x14ac:dyDescent="0.25">
      <c r="A218" s="4">
        <v>42443</v>
      </c>
      <c r="B218" s="4" t="s">
        <v>5</v>
      </c>
      <c r="C218" s="4" t="s">
        <v>29</v>
      </c>
      <c r="D218" s="4" t="s">
        <v>28</v>
      </c>
      <c r="E218" s="4" t="s">
        <v>2</v>
      </c>
      <c r="F218" s="5">
        <v>42178.089398148149</v>
      </c>
      <c r="G218" s="4">
        <v>0</v>
      </c>
      <c r="H218" s="4" t="s">
        <v>1</v>
      </c>
      <c r="I218" s="3" t="s">
        <v>580</v>
      </c>
    </row>
  </sheetData>
  <conditionalFormatting sqref="A2:I218">
    <cfRule type="expression" dxfId="81" priority="1">
      <formula>$D2="ERROR"</formula>
    </cfRule>
    <cfRule type="expression" dxfId="80" priority="2">
      <formula>$D2="WARNING"</formula>
    </cfRule>
  </conditionalFormatting>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102"/>
  <sheetViews>
    <sheetView workbookViewId="0">
      <pane xSplit="2" ySplit="1" topLeftCell="C98" activePane="bottomRight" state="frozen"/>
      <selection pane="topRight" activeCell="B1" sqref="B1"/>
      <selection pane="bottomLeft" activeCell="A2" sqref="A2"/>
      <selection pane="bottomRight" activeCell="A105" sqref="A105"/>
    </sheetView>
  </sheetViews>
  <sheetFormatPr defaultRowHeight="15" x14ac:dyDescent="0.25"/>
  <cols>
    <col min="1" max="1" width="27.375" style="1" bestFit="1" customWidth="1"/>
    <col min="2" max="2" width="10.125" style="1" bestFit="1" customWidth="1"/>
    <col min="3" max="3" width="11.875" style="1" bestFit="1" customWidth="1"/>
    <col min="4" max="4" width="13.5" style="1" bestFit="1" customWidth="1"/>
    <col min="5" max="5" width="11.875" style="1" customWidth="1"/>
    <col min="6" max="6" width="8.875" style="1" bestFit="1" customWidth="1"/>
    <col min="7" max="7" width="20.125" style="1" bestFit="1" customWidth="1"/>
    <col min="8" max="8" width="6.375" style="1" bestFit="1" customWidth="1"/>
    <col min="9" max="9" width="9.625" style="1" bestFit="1" customWidth="1"/>
    <col min="10" max="10" width="81" style="2" customWidth="1"/>
    <col min="11" max="16384" width="9" style="1"/>
  </cols>
  <sheetData>
    <row r="1" spans="1:10" x14ac:dyDescent="0.25">
      <c r="A1" s="7" t="s">
        <v>909</v>
      </c>
      <c r="B1" s="7" t="s">
        <v>109</v>
      </c>
      <c r="C1" s="7" t="s">
        <v>108</v>
      </c>
      <c r="D1" s="7" t="s">
        <v>107</v>
      </c>
      <c r="E1" s="7" t="s">
        <v>106</v>
      </c>
      <c r="F1" s="7" t="s">
        <v>105</v>
      </c>
      <c r="G1" s="7" t="s">
        <v>104</v>
      </c>
      <c r="H1" s="7" t="s">
        <v>103</v>
      </c>
      <c r="I1" s="7" t="s">
        <v>102</v>
      </c>
      <c r="J1" s="6" t="s">
        <v>101</v>
      </c>
    </row>
    <row r="2" spans="1:10" ht="165" x14ac:dyDescent="0.25">
      <c r="A2" s="4" t="s">
        <v>910</v>
      </c>
      <c r="B2" s="4">
        <v>45036</v>
      </c>
      <c r="C2" s="4" t="s">
        <v>5</v>
      </c>
      <c r="D2" s="4" t="s">
        <v>29</v>
      </c>
      <c r="E2" s="4" t="s">
        <v>28</v>
      </c>
      <c r="F2" s="4" t="s">
        <v>2</v>
      </c>
      <c r="G2" s="5">
        <v>42198.809525462966</v>
      </c>
      <c r="H2" s="4">
        <v>0</v>
      </c>
      <c r="I2" s="4" t="s">
        <v>1</v>
      </c>
      <c r="J2" s="3" t="s">
        <v>873</v>
      </c>
    </row>
    <row r="3" spans="1:10" ht="165" x14ac:dyDescent="0.25">
      <c r="A3" s="4" t="s">
        <v>910</v>
      </c>
      <c r="B3" s="4">
        <v>45035</v>
      </c>
      <c r="C3" s="4" t="s">
        <v>5</v>
      </c>
      <c r="D3" s="4" t="s">
        <v>29</v>
      </c>
      <c r="E3" s="4" t="s">
        <v>28</v>
      </c>
      <c r="F3" s="4" t="s">
        <v>2</v>
      </c>
      <c r="G3" s="5">
        <v>42198.809479166666</v>
      </c>
      <c r="H3" s="4">
        <v>0</v>
      </c>
      <c r="I3" s="4" t="s">
        <v>1</v>
      </c>
      <c r="J3" s="3" t="s">
        <v>873</v>
      </c>
    </row>
    <row r="4" spans="1:10" ht="165" x14ac:dyDescent="0.25">
      <c r="A4" s="4" t="s">
        <v>910</v>
      </c>
      <c r="B4" s="4">
        <v>45031</v>
      </c>
      <c r="C4" s="4" t="s">
        <v>5</v>
      </c>
      <c r="D4" s="4" t="s">
        <v>29</v>
      </c>
      <c r="E4" s="4" t="s">
        <v>28</v>
      </c>
      <c r="F4" s="4" t="s">
        <v>2</v>
      </c>
      <c r="G4" s="5">
        <v>42198.806863425925</v>
      </c>
      <c r="H4" s="4">
        <v>0</v>
      </c>
      <c r="I4" s="4" t="s">
        <v>1</v>
      </c>
      <c r="J4" s="3" t="s">
        <v>873</v>
      </c>
    </row>
    <row r="5" spans="1:10" x14ac:dyDescent="0.25">
      <c r="A5" s="4" t="s">
        <v>911</v>
      </c>
      <c r="B5" s="4">
        <v>45030</v>
      </c>
      <c r="C5" s="4" t="s">
        <v>5</v>
      </c>
      <c r="D5" s="4" t="s">
        <v>29</v>
      </c>
      <c r="E5" s="4" t="s">
        <v>3</v>
      </c>
      <c r="F5" s="4" t="s">
        <v>2</v>
      </c>
      <c r="G5" s="5">
        <v>42198.80672453704</v>
      </c>
      <c r="H5" s="4">
        <v>0</v>
      </c>
      <c r="I5" s="4" t="s">
        <v>1</v>
      </c>
      <c r="J5" s="3" t="s">
        <v>874</v>
      </c>
    </row>
    <row r="6" spans="1:10" ht="90" x14ac:dyDescent="0.25">
      <c r="A6" s="4" t="s">
        <v>911</v>
      </c>
      <c r="B6" s="4">
        <v>45029</v>
      </c>
      <c r="C6" s="4" t="s">
        <v>5</v>
      </c>
      <c r="D6" s="4" t="s">
        <v>29</v>
      </c>
      <c r="E6" s="4" t="s">
        <v>3</v>
      </c>
      <c r="F6" s="4" t="s">
        <v>2</v>
      </c>
      <c r="G6" s="5">
        <v>42198.80672453704</v>
      </c>
      <c r="H6" s="4">
        <v>0</v>
      </c>
      <c r="I6" s="4" t="s">
        <v>1</v>
      </c>
      <c r="J6" s="3" t="s">
        <v>875</v>
      </c>
    </row>
    <row r="7" spans="1:10" x14ac:dyDescent="0.25">
      <c r="A7" s="4" t="s">
        <v>911</v>
      </c>
      <c r="B7" s="4">
        <v>45028</v>
      </c>
      <c r="C7" s="4" t="s">
        <v>5</v>
      </c>
      <c r="D7" s="4" t="s">
        <v>29</v>
      </c>
      <c r="E7" s="4" t="s">
        <v>3</v>
      </c>
      <c r="F7" s="4" t="s">
        <v>2</v>
      </c>
      <c r="G7" s="5">
        <v>42198.80672453704</v>
      </c>
      <c r="H7" s="4">
        <v>0</v>
      </c>
      <c r="I7" s="4" t="s">
        <v>1</v>
      </c>
      <c r="J7" s="3" t="s">
        <v>597</v>
      </c>
    </row>
    <row r="8" spans="1:10" x14ac:dyDescent="0.25">
      <c r="A8" s="4" t="s">
        <v>911</v>
      </c>
      <c r="B8" s="4">
        <v>45027</v>
      </c>
      <c r="C8" s="4" t="s">
        <v>5</v>
      </c>
      <c r="D8" s="4" t="s">
        <v>29</v>
      </c>
      <c r="E8" s="4" t="s">
        <v>3</v>
      </c>
      <c r="F8" s="4" t="s">
        <v>2</v>
      </c>
      <c r="G8" s="5">
        <v>42198.806712962964</v>
      </c>
      <c r="H8" s="4">
        <v>0</v>
      </c>
      <c r="I8" s="4" t="s">
        <v>1</v>
      </c>
      <c r="J8" s="3" t="s">
        <v>598</v>
      </c>
    </row>
    <row r="9" spans="1:10" ht="90" x14ac:dyDescent="0.25">
      <c r="A9" s="4" t="s">
        <v>911</v>
      </c>
      <c r="B9" s="4">
        <v>45026</v>
      </c>
      <c r="C9" s="4" t="s">
        <v>5</v>
      </c>
      <c r="D9" s="4" t="s">
        <v>29</v>
      </c>
      <c r="E9" s="4" t="s">
        <v>3</v>
      </c>
      <c r="F9" s="4" t="s">
        <v>2</v>
      </c>
      <c r="G9" s="5">
        <v>42198.806712962964</v>
      </c>
      <c r="H9" s="4">
        <v>0</v>
      </c>
      <c r="I9" s="4" t="s">
        <v>1</v>
      </c>
      <c r="J9" s="3" t="s">
        <v>876</v>
      </c>
    </row>
    <row r="10" spans="1:10" ht="150" x14ac:dyDescent="0.25">
      <c r="A10" s="4" t="s">
        <v>911</v>
      </c>
      <c r="B10" s="4">
        <v>45025</v>
      </c>
      <c r="C10" s="4" t="s">
        <v>5</v>
      </c>
      <c r="D10" s="4" t="s">
        <v>29</v>
      </c>
      <c r="E10" s="4" t="s">
        <v>3</v>
      </c>
      <c r="F10" s="4" t="s">
        <v>2</v>
      </c>
      <c r="G10" s="5">
        <v>42198.806712962964</v>
      </c>
      <c r="H10" s="4">
        <v>0</v>
      </c>
      <c r="I10" s="4" t="s">
        <v>1</v>
      </c>
      <c r="J10" s="3" t="s">
        <v>877</v>
      </c>
    </row>
    <row r="11" spans="1:10" x14ac:dyDescent="0.25">
      <c r="A11" s="4" t="s">
        <v>911</v>
      </c>
      <c r="B11" s="4">
        <v>45024</v>
      </c>
      <c r="C11" s="4" t="s">
        <v>5</v>
      </c>
      <c r="D11" s="4" t="s">
        <v>29</v>
      </c>
      <c r="E11" s="4" t="s">
        <v>3</v>
      </c>
      <c r="F11" s="4" t="s">
        <v>2</v>
      </c>
      <c r="G11" s="5">
        <v>42198.806712962964</v>
      </c>
      <c r="H11" s="4">
        <v>0</v>
      </c>
      <c r="I11" s="4" t="s">
        <v>1</v>
      </c>
      <c r="J11" s="3" t="s">
        <v>878</v>
      </c>
    </row>
    <row r="12" spans="1:10" ht="30" x14ac:dyDescent="0.25">
      <c r="A12" s="4" t="s">
        <v>911</v>
      </c>
      <c r="B12" s="4">
        <v>45023</v>
      </c>
      <c r="C12" s="4" t="s">
        <v>5</v>
      </c>
      <c r="D12" s="4" t="s">
        <v>29</v>
      </c>
      <c r="E12" s="4" t="s">
        <v>3</v>
      </c>
      <c r="F12" s="4" t="s">
        <v>2</v>
      </c>
      <c r="G12" s="5">
        <v>42198.806712962964</v>
      </c>
      <c r="H12" s="4">
        <v>0</v>
      </c>
      <c r="I12" s="4" t="s">
        <v>1</v>
      </c>
      <c r="J12" s="3" t="s">
        <v>879</v>
      </c>
    </row>
    <row r="13" spans="1:10" x14ac:dyDescent="0.25">
      <c r="A13" s="4" t="s">
        <v>911</v>
      </c>
      <c r="B13" s="4">
        <v>45022</v>
      </c>
      <c r="C13" s="4" t="s">
        <v>5</v>
      </c>
      <c r="D13" s="4" t="s">
        <v>29</v>
      </c>
      <c r="E13" s="4" t="s">
        <v>3</v>
      </c>
      <c r="F13" s="4" t="s">
        <v>2</v>
      </c>
      <c r="G13" s="5">
        <v>42198.805844907409</v>
      </c>
      <c r="H13" s="4">
        <v>0</v>
      </c>
      <c r="I13" s="4" t="s">
        <v>1</v>
      </c>
      <c r="J13" s="3" t="s">
        <v>698</v>
      </c>
    </row>
    <row r="14" spans="1:10" ht="90" x14ac:dyDescent="0.25">
      <c r="A14" s="4" t="s">
        <v>911</v>
      </c>
      <c r="B14" s="4">
        <v>45021</v>
      </c>
      <c r="C14" s="4" t="s">
        <v>5</v>
      </c>
      <c r="D14" s="4" t="s">
        <v>29</v>
      </c>
      <c r="E14" s="4" t="s">
        <v>3</v>
      </c>
      <c r="F14" s="4" t="s">
        <v>2</v>
      </c>
      <c r="G14" s="5">
        <v>42198.805844907409</v>
      </c>
      <c r="H14" s="4">
        <v>0</v>
      </c>
      <c r="I14" s="4" t="s">
        <v>1</v>
      </c>
      <c r="J14" s="3" t="s">
        <v>674</v>
      </c>
    </row>
    <row r="15" spans="1:10" x14ac:dyDescent="0.25">
      <c r="A15" s="4" t="s">
        <v>911</v>
      </c>
      <c r="B15" s="4">
        <v>45020</v>
      </c>
      <c r="C15" s="4" t="s">
        <v>5</v>
      </c>
      <c r="D15" s="4" t="s">
        <v>29</v>
      </c>
      <c r="E15" s="4" t="s">
        <v>3</v>
      </c>
      <c r="F15" s="4" t="s">
        <v>2</v>
      </c>
      <c r="G15" s="5">
        <v>42198.805844907409</v>
      </c>
      <c r="H15" s="4">
        <v>0</v>
      </c>
      <c r="I15" s="4" t="s">
        <v>1</v>
      </c>
      <c r="J15" s="3" t="s">
        <v>597</v>
      </c>
    </row>
    <row r="16" spans="1:10" x14ac:dyDescent="0.25">
      <c r="A16" s="4" t="s">
        <v>911</v>
      </c>
      <c r="B16" s="4">
        <v>45019</v>
      </c>
      <c r="C16" s="4" t="s">
        <v>5</v>
      </c>
      <c r="D16" s="4" t="s">
        <v>29</v>
      </c>
      <c r="E16" s="4" t="s">
        <v>3</v>
      </c>
      <c r="F16" s="4" t="s">
        <v>2</v>
      </c>
      <c r="G16" s="5">
        <v>42198.805844907409</v>
      </c>
      <c r="H16" s="4">
        <v>0</v>
      </c>
      <c r="I16" s="4" t="s">
        <v>1</v>
      </c>
      <c r="J16" s="3" t="s">
        <v>598</v>
      </c>
    </row>
    <row r="17" spans="1:10" ht="90" x14ac:dyDescent="0.25">
      <c r="A17" s="4" t="s">
        <v>911</v>
      </c>
      <c r="B17" s="4">
        <v>45018</v>
      </c>
      <c r="C17" s="4" t="s">
        <v>5</v>
      </c>
      <c r="D17" s="4" t="s">
        <v>29</v>
      </c>
      <c r="E17" s="4" t="s">
        <v>3</v>
      </c>
      <c r="F17" s="4" t="s">
        <v>2</v>
      </c>
      <c r="G17" s="5">
        <v>42198.805844907409</v>
      </c>
      <c r="H17" s="4">
        <v>0</v>
      </c>
      <c r="I17" s="4" t="s">
        <v>1</v>
      </c>
      <c r="J17" s="3" t="s">
        <v>675</v>
      </c>
    </row>
    <row r="18" spans="1:10" ht="150" x14ac:dyDescent="0.25">
      <c r="A18" s="4" t="s">
        <v>911</v>
      </c>
      <c r="B18" s="4">
        <v>45017</v>
      </c>
      <c r="C18" s="4" t="s">
        <v>5</v>
      </c>
      <c r="D18" s="4" t="s">
        <v>29</v>
      </c>
      <c r="E18" s="4" t="s">
        <v>3</v>
      </c>
      <c r="F18" s="4" t="s">
        <v>2</v>
      </c>
      <c r="G18" s="5">
        <v>42198.805844907409</v>
      </c>
      <c r="H18" s="4">
        <v>0</v>
      </c>
      <c r="I18" s="4" t="s">
        <v>1</v>
      </c>
      <c r="J18" s="3" t="s">
        <v>880</v>
      </c>
    </row>
    <row r="19" spans="1:10" x14ac:dyDescent="0.25">
      <c r="A19" s="4" t="s">
        <v>911</v>
      </c>
      <c r="B19" s="4">
        <v>45016</v>
      </c>
      <c r="C19" s="4" t="s">
        <v>5</v>
      </c>
      <c r="D19" s="4" t="s">
        <v>29</v>
      </c>
      <c r="E19" s="4" t="s">
        <v>3</v>
      </c>
      <c r="F19" s="4" t="s">
        <v>2</v>
      </c>
      <c r="G19" s="5">
        <v>42198.805844907409</v>
      </c>
      <c r="H19" s="4">
        <v>0</v>
      </c>
      <c r="I19" s="4" t="s">
        <v>1</v>
      </c>
      <c r="J19" s="3" t="s">
        <v>878</v>
      </c>
    </row>
    <row r="20" spans="1:10" ht="30" x14ac:dyDescent="0.25">
      <c r="A20" s="4" t="s">
        <v>911</v>
      </c>
      <c r="B20" s="4">
        <v>45015</v>
      </c>
      <c r="C20" s="4" t="s">
        <v>5</v>
      </c>
      <c r="D20" s="4" t="s">
        <v>29</v>
      </c>
      <c r="E20" s="4" t="s">
        <v>3</v>
      </c>
      <c r="F20" s="4" t="s">
        <v>2</v>
      </c>
      <c r="G20" s="5">
        <v>42198.805844907409</v>
      </c>
      <c r="H20" s="4">
        <v>0</v>
      </c>
      <c r="I20" s="4" t="s">
        <v>1</v>
      </c>
      <c r="J20" s="3" t="s">
        <v>881</v>
      </c>
    </row>
    <row r="21" spans="1:10" x14ac:dyDescent="0.25">
      <c r="A21" s="4" t="s">
        <v>911</v>
      </c>
      <c r="B21" s="4">
        <v>45014</v>
      </c>
      <c r="C21" s="4" t="s">
        <v>5</v>
      </c>
      <c r="D21" s="4" t="s">
        <v>29</v>
      </c>
      <c r="E21" s="4" t="s">
        <v>3</v>
      </c>
      <c r="F21" s="4" t="s">
        <v>2</v>
      </c>
      <c r="G21" s="5">
        <v>42198.805810185186</v>
      </c>
      <c r="H21" s="4">
        <v>0</v>
      </c>
      <c r="I21" s="4" t="s">
        <v>1</v>
      </c>
      <c r="J21" s="3" t="s">
        <v>698</v>
      </c>
    </row>
    <row r="22" spans="1:10" ht="90" x14ac:dyDescent="0.25">
      <c r="A22" s="4" t="s">
        <v>911</v>
      </c>
      <c r="B22" s="4">
        <v>45013</v>
      </c>
      <c r="C22" s="4" t="s">
        <v>5</v>
      </c>
      <c r="D22" s="4" t="s">
        <v>29</v>
      </c>
      <c r="E22" s="4" t="s">
        <v>3</v>
      </c>
      <c r="F22" s="4" t="s">
        <v>2</v>
      </c>
      <c r="G22" s="5">
        <v>42198.805810185186</v>
      </c>
      <c r="H22" s="4">
        <v>0</v>
      </c>
      <c r="I22" s="4" t="s">
        <v>1</v>
      </c>
      <c r="J22" s="3" t="s">
        <v>674</v>
      </c>
    </row>
    <row r="23" spans="1:10" x14ac:dyDescent="0.25">
      <c r="A23" s="4" t="s">
        <v>911</v>
      </c>
      <c r="B23" s="4">
        <v>45012</v>
      </c>
      <c r="C23" s="4" t="s">
        <v>5</v>
      </c>
      <c r="D23" s="4" t="s">
        <v>29</v>
      </c>
      <c r="E23" s="4" t="s">
        <v>3</v>
      </c>
      <c r="F23" s="4" t="s">
        <v>2</v>
      </c>
      <c r="G23" s="5">
        <v>42198.805810185186</v>
      </c>
      <c r="H23" s="4">
        <v>0</v>
      </c>
      <c r="I23" s="4" t="s">
        <v>1</v>
      </c>
      <c r="J23" s="3" t="s">
        <v>597</v>
      </c>
    </row>
    <row r="24" spans="1:10" x14ac:dyDescent="0.25">
      <c r="A24" s="4" t="s">
        <v>911</v>
      </c>
      <c r="B24" s="4">
        <v>45011</v>
      </c>
      <c r="C24" s="4" t="s">
        <v>5</v>
      </c>
      <c r="D24" s="4" t="s">
        <v>29</v>
      </c>
      <c r="E24" s="4" t="s">
        <v>3</v>
      </c>
      <c r="F24" s="4" t="s">
        <v>2</v>
      </c>
      <c r="G24" s="5">
        <v>42198.805810185186</v>
      </c>
      <c r="H24" s="4">
        <v>0</v>
      </c>
      <c r="I24" s="4" t="s">
        <v>1</v>
      </c>
      <c r="J24" s="3" t="s">
        <v>598</v>
      </c>
    </row>
    <row r="25" spans="1:10" ht="90" x14ac:dyDescent="0.25">
      <c r="A25" s="4" t="s">
        <v>911</v>
      </c>
      <c r="B25" s="4">
        <v>45010</v>
      </c>
      <c r="C25" s="4" t="s">
        <v>5</v>
      </c>
      <c r="D25" s="4" t="s">
        <v>29</v>
      </c>
      <c r="E25" s="4" t="s">
        <v>3</v>
      </c>
      <c r="F25" s="4" t="s">
        <v>2</v>
      </c>
      <c r="G25" s="5">
        <v>42198.805810185186</v>
      </c>
      <c r="H25" s="4">
        <v>0</v>
      </c>
      <c r="I25" s="4" t="s">
        <v>1</v>
      </c>
      <c r="J25" s="3" t="s">
        <v>675</v>
      </c>
    </row>
    <row r="26" spans="1:10" ht="150" x14ac:dyDescent="0.25">
      <c r="A26" s="4" t="s">
        <v>911</v>
      </c>
      <c r="B26" s="4">
        <v>45009</v>
      </c>
      <c r="C26" s="4" t="s">
        <v>5</v>
      </c>
      <c r="D26" s="4" t="s">
        <v>29</v>
      </c>
      <c r="E26" s="4" t="s">
        <v>3</v>
      </c>
      <c r="F26" s="4" t="s">
        <v>2</v>
      </c>
      <c r="G26" s="5">
        <v>42198.805810185186</v>
      </c>
      <c r="H26" s="4">
        <v>0</v>
      </c>
      <c r="I26" s="4" t="s">
        <v>1</v>
      </c>
      <c r="J26" s="3" t="s">
        <v>880</v>
      </c>
    </row>
    <row r="27" spans="1:10" x14ac:dyDescent="0.25">
      <c r="A27" s="4" t="s">
        <v>911</v>
      </c>
      <c r="B27" s="4">
        <v>45008</v>
      </c>
      <c r="C27" s="4" t="s">
        <v>5</v>
      </c>
      <c r="D27" s="4" t="s">
        <v>29</v>
      </c>
      <c r="E27" s="4" t="s">
        <v>3</v>
      </c>
      <c r="F27" s="4" t="s">
        <v>2</v>
      </c>
      <c r="G27" s="5">
        <v>42198.805810185186</v>
      </c>
      <c r="H27" s="4">
        <v>0</v>
      </c>
      <c r="I27" s="4" t="s">
        <v>1</v>
      </c>
      <c r="J27" s="3" t="s">
        <v>878</v>
      </c>
    </row>
    <row r="28" spans="1:10" ht="30" x14ac:dyDescent="0.25">
      <c r="A28" s="4" t="s">
        <v>911</v>
      </c>
      <c r="B28" s="4">
        <v>45007</v>
      </c>
      <c r="C28" s="4" t="s">
        <v>5</v>
      </c>
      <c r="D28" s="4" t="s">
        <v>29</v>
      </c>
      <c r="E28" s="4" t="s">
        <v>3</v>
      </c>
      <c r="F28" s="4" t="s">
        <v>2</v>
      </c>
      <c r="G28" s="5">
        <v>42198.805810185186</v>
      </c>
      <c r="H28" s="4">
        <v>0</v>
      </c>
      <c r="I28" s="4" t="s">
        <v>1</v>
      </c>
      <c r="J28" s="3" t="s">
        <v>882</v>
      </c>
    </row>
    <row r="29" spans="1:10" x14ac:dyDescent="0.25">
      <c r="A29" s="4" t="s">
        <v>911</v>
      </c>
      <c r="B29" s="4">
        <v>45006</v>
      </c>
      <c r="C29" s="4" t="s">
        <v>5</v>
      </c>
      <c r="D29" s="4" t="s">
        <v>29</v>
      </c>
      <c r="E29" s="4" t="s">
        <v>3</v>
      </c>
      <c r="F29" s="4" t="s">
        <v>2</v>
      </c>
      <c r="G29" s="5">
        <v>42198.804722222223</v>
      </c>
      <c r="H29" s="4">
        <v>0</v>
      </c>
      <c r="I29" s="4" t="s">
        <v>1</v>
      </c>
      <c r="J29" s="3" t="s">
        <v>883</v>
      </c>
    </row>
    <row r="30" spans="1:10" ht="90" x14ac:dyDescent="0.25">
      <c r="A30" s="4" t="s">
        <v>911</v>
      </c>
      <c r="B30" s="4">
        <v>45005</v>
      </c>
      <c r="C30" s="4" t="s">
        <v>5</v>
      </c>
      <c r="D30" s="4" t="s">
        <v>29</v>
      </c>
      <c r="E30" s="4" t="s">
        <v>3</v>
      </c>
      <c r="F30" s="4" t="s">
        <v>2</v>
      </c>
      <c r="G30" s="5">
        <v>42198.804722222223</v>
      </c>
      <c r="H30" s="4">
        <v>0</v>
      </c>
      <c r="I30" s="4" t="s">
        <v>1</v>
      </c>
      <c r="J30" s="3" t="s">
        <v>884</v>
      </c>
    </row>
    <row r="31" spans="1:10" x14ac:dyDescent="0.25">
      <c r="A31" s="4" t="s">
        <v>911</v>
      </c>
      <c r="B31" s="4">
        <v>45004</v>
      </c>
      <c r="C31" s="4" t="s">
        <v>5</v>
      </c>
      <c r="D31" s="4" t="s">
        <v>29</v>
      </c>
      <c r="E31" s="4" t="s">
        <v>3</v>
      </c>
      <c r="F31" s="4" t="s">
        <v>2</v>
      </c>
      <c r="G31" s="5">
        <v>42198.804722222223</v>
      </c>
      <c r="H31" s="4">
        <v>0</v>
      </c>
      <c r="I31" s="4" t="s">
        <v>1</v>
      </c>
      <c r="J31" s="3" t="s">
        <v>597</v>
      </c>
    </row>
    <row r="32" spans="1:10" x14ac:dyDescent="0.25">
      <c r="A32" s="4" t="s">
        <v>911</v>
      </c>
      <c r="B32" s="4">
        <v>45003</v>
      </c>
      <c r="C32" s="4" t="s">
        <v>5</v>
      </c>
      <c r="D32" s="4" t="s">
        <v>29</v>
      </c>
      <c r="E32" s="4" t="s">
        <v>3</v>
      </c>
      <c r="F32" s="4" t="s">
        <v>2</v>
      </c>
      <c r="G32" s="5">
        <v>42198.804699074077</v>
      </c>
      <c r="H32" s="4">
        <v>0</v>
      </c>
      <c r="I32" s="4" t="s">
        <v>1</v>
      </c>
      <c r="J32" s="3" t="s">
        <v>598</v>
      </c>
    </row>
    <row r="33" spans="1:10" ht="90" x14ac:dyDescent="0.25">
      <c r="A33" s="4" t="s">
        <v>911</v>
      </c>
      <c r="B33" s="4">
        <v>45002</v>
      </c>
      <c r="C33" s="4" t="s">
        <v>5</v>
      </c>
      <c r="D33" s="4" t="s">
        <v>29</v>
      </c>
      <c r="E33" s="4" t="s">
        <v>3</v>
      </c>
      <c r="F33" s="4" t="s">
        <v>2</v>
      </c>
      <c r="G33" s="5">
        <v>42198.804699074077</v>
      </c>
      <c r="H33" s="4">
        <v>0</v>
      </c>
      <c r="I33" s="4" t="s">
        <v>1</v>
      </c>
      <c r="J33" s="3" t="s">
        <v>885</v>
      </c>
    </row>
    <row r="34" spans="1:10" ht="150" x14ac:dyDescent="0.25">
      <c r="A34" s="4" t="s">
        <v>911</v>
      </c>
      <c r="B34" s="4">
        <v>45001</v>
      </c>
      <c r="C34" s="4" t="s">
        <v>5</v>
      </c>
      <c r="D34" s="4" t="s">
        <v>29</v>
      </c>
      <c r="E34" s="4" t="s">
        <v>3</v>
      </c>
      <c r="F34" s="4" t="s">
        <v>2</v>
      </c>
      <c r="G34" s="5">
        <v>42198.804699074077</v>
      </c>
      <c r="H34" s="4">
        <v>0</v>
      </c>
      <c r="I34" s="4" t="s">
        <v>1</v>
      </c>
      <c r="J34" s="3" t="s">
        <v>666</v>
      </c>
    </row>
    <row r="35" spans="1:10" x14ac:dyDescent="0.25">
      <c r="A35" s="4" t="s">
        <v>911</v>
      </c>
      <c r="B35" s="4">
        <v>45000</v>
      </c>
      <c r="C35" s="4" t="s">
        <v>5</v>
      </c>
      <c r="D35" s="4" t="s">
        <v>29</v>
      </c>
      <c r="E35" s="4" t="s">
        <v>3</v>
      </c>
      <c r="F35" s="4" t="s">
        <v>2</v>
      </c>
      <c r="G35" s="5">
        <v>42198.804699074077</v>
      </c>
      <c r="H35" s="4">
        <v>0</v>
      </c>
      <c r="I35" s="4" t="s">
        <v>1</v>
      </c>
      <c r="J35" s="3" t="s">
        <v>878</v>
      </c>
    </row>
    <row r="36" spans="1:10" ht="30" x14ac:dyDescent="0.25">
      <c r="A36" s="4" t="s">
        <v>911</v>
      </c>
      <c r="B36" s="4">
        <v>44999</v>
      </c>
      <c r="C36" s="4" t="s">
        <v>5</v>
      </c>
      <c r="D36" s="4" t="s">
        <v>29</v>
      </c>
      <c r="E36" s="4" t="s">
        <v>3</v>
      </c>
      <c r="F36" s="4" t="s">
        <v>2</v>
      </c>
      <c r="G36" s="5">
        <v>42198.804699074077</v>
      </c>
      <c r="H36" s="4">
        <v>0</v>
      </c>
      <c r="I36" s="4" t="s">
        <v>1</v>
      </c>
      <c r="J36" s="3" t="s">
        <v>886</v>
      </c>
    </row>
    <row r="37" spans="1:10" x14ac:dyDescent="0.25">
      <c r="A37" s="4" t="s">
        <v>911</v>
      </c>
      <c r="B37" s="4">
        <v>44998</v>
      </c>
      <c r="C37" s="4" t="s">
        <v>5</v>
      </c>
      <c r="D37" s="4" t="s">
        <v>29</v>
      </c>
      <c r="E37" s="4" t="s">
        <v>3</v>
      </c>
      <c r="F37" s="4" t="s">
        <v>2</v>
      </c>
      <c r="G37" s="5">
        <v>42198.802847222221</v>
      </c>
      <c r="H37" s="4">
        <v>0</v>
      </c>
      <c r="I37" s="4" t="s">
        <v>1</v>
      </c>
      <c r="J37" s="3" t="s">
        <v>887</v>
      </c>
    </row>
    <row r="38" spans="1:10" x14ac:dyDescent="0.25">
      <c r="A38" s="4" t="s">
        <v>911</v>
      </c>
      <c r="B38" s="4">
        <v>44997</v>
      </c>
      <c r="C38" s="4" t="s">
        <v>5</v>
      </c>
      <c r="D38" s="4" t="s">
        <v>29</v>
      </c>
      <c r="E38" s="4" t="s">
        <v>3</v>
      </c>
      <c r="F38" s="4" t="s">
        <v>2</v>
      </c>
      <c r="G38" s="5">
        <v>42198.802847222221</v>
      </c>
      <c r="H38" s="4">
        <v>0</v>
      </c>
      <c r="I38" s="4" t="s">
        <v>1</v>
      </c>
      <c r="J38" s="3" t="s">
        <v>597</v>
      </c>
    </row>
    <row r="39" spans="1:10" x14ac:dyDescent="0.25">
      <c r="A39" s="4" t="s">
        <v>911</v>
      </c>
      <c r="B39" s="4">
        <v>44996</v>
      </c>
      <c r="C39" s="4" t="s">
        <v>5</v>
      </c>
      <c r="D39" s="4" t="s">
        <v>29</v>
      </c>
      <c r="E39" s="4" t="s">
        <v>3</v>
      </c>
      <c r="F39" s="4" t="s">
        <v>2</v>
      </c>
      <c r="G39" s="5">
        <v>42198.802662037036</v>
      </c>
      <c r="H39" s="4">
        <v>0</v>
      </c>
      <c r="I39" s="4" t="s">
        <v>1</v>
      </c>
      <c r="J39" s="3" t="s">
        <v>598</v>
      </c>
    </row>
    <row r="40" spans="1:10" ht="150" x14ac:dyDescent="0.25">
      <c r="A40" s="4" t="s">
        <v>911</v>
      </c>
      <c r="B40" s="4">
        <v>44995</v>
      </c>
      <c r="C40" s="4" t="s">
        <v>5</v>
      </c>
      <c r="D40" s="4" t="s">
        <v>29</v>
      </c>
      <c r="E40" s="4" t="s">
        <v>3</v>
      </c>
      <c r="F40" s="4" t="s">
        <v>2</v>
      </c>
      <c r="G40" s="5">
        <v>42198.802662037036</v>
      </c>
      <c r="H40" s="4">
        <v>0</v>
      </c>
      <c r="I40" s="4" t="s">
        <v>1</v>
      </c>
      <c r="J40" s="3" t="s">
        <v>680</v>
      </c>
    </row>
    <row r="41" spans="1:10" x14ac:dyDescent="0.25">
      <c r="A41" s="4" t="s">
        <v>911</v>
      </c>
      <c r="B41" s="4">
        <v>44994</v>
      </c>
      <c r="C41" s="4" t="s">
        <v>5</v>
      </c>
      <c r="D41" s="4" t="s">
        <v>29</v>
      </c>
      <c r="E41" s="4" t="s">
        <v>3</v>
      </c>
      <c r="F41" s="4" t="s">
        <v>2</v>
      </c>
      <c r="G41" s="5">
        <v>42198.802662037036</v>
      </c>
      <c r="H41" s="4">
        <v>0</v>
      </c>
      <c r="I41" s="4" t="s">
        <v>1</v>
      </c>
      <c r="J41" s="3" t="s">
        <v>878</v>
      </c>
    </row>
    <row r="42" spans="1:10" ht="30" x14ac:dyDescent="0.25">
      <c r="A42" s="4" t="s">
        <v>911</v>
      </c>
      <c r="B42" s="4">
        <v>44993</v>
      </c>
      <c r="C42" s="4" t="s">
        <v>5</v>
      </c>
      <c r="D42" s="4" t="s">
        <v>29</v>
      </c>
      <c r="E42" s="4" t="s">
        <v>3</v>
      </c>
      <c r="F42" s="4" t="s">
        <v>2</v>
      </c>
      <c r="G42" s="5">
        <v>42198.802662037036</v>
      </c>
      <c r="H42" s="4">
        <v>0</v>
      </c>
      <c r="I42" s="4" t="s">
        <v>1</v>
      </c>
      <c r="J42" s="3" t="s">
        <v>888</v>
      </c>
    </row>
    <row r="43" spans="1:10" x14ac:dyDescent="0.25">
      <c r="A43" s="4" t="s">
        <v>911</v>
      </c>
      <c r="B43" s="4">
        <v>44992</v>
      </c>
      <c r="C43" s="4" t="s">
        <v>5</v>
      </c>
      <c r="D43" s="4" t="s">
        <v>29</v>
      </c>
      <c r="E43" s="4" t="s">
        <v>3</v>
      </c>
      <c r="F43" s="4" t="s">
        <v>2</v>
      </c>
      <c r="G43" s="5">
        <v>42198.801087962966</v>
      </c>
      <c r="H43" s="4">
        <v>0</v>
      </c>
      <c r="I43" s="4" t="s">
        <v>1</v>
      </c>
      <c r="J43" s="3" t="s">
        <v>889</v>
      </c>
    </row>
    <row r="44" spans="1:10" ht="90" x14ac:dyDescent="0.25">
      <c r="A44" s="4" t="s">
        <v>911</v>
      </c>
      <c r="B44" s="4">
        <v>44991</v>
      </c>
      <c r="C44" s="4" t="s">
        <v>5</v>
      </c>
      <c r="D44" s="4" t="s">
        <v>29</v>
      </c>
      <c r="E44" s="4" t="s">
        <v>3</v>
      </c>
      <c r="F44" s="4" t="s">
        <v>2</v>
      </c>
      <c r="G44" s="5">
        <v>42198.801087962966</v>
      </c>
      <c r="H44" s="4">
        <v>0</v>
      </c>
      <c r="I44" s="4" t="s">
        <v>1</v>
      </c>
      <c r="J44" s="3" t="s">
        <v>674</v>
      </c>
    </row>
    <row r="45" spans="1:10" x14ac:dyDescent="0.25">
      <c r="A45" s="4" t="s">
        <v>911</v>
      </c>
      <c r="B45" s="4">
        <v>44990</v>
      </c>
      <c r="C45" s="4" t="s">
        <v>5</v>
      </c>
      <c r="D45" s="4" t="s">
        <v>29</v>
      </c>
      <c r="E45" s="4" t="s">
        <v>3</v>
      </c>
      <c r="F45" s="4" t="s">
        <v>2</v>
      </c>
      <c r="G45" s="5">
        <v>42198.801087962966</v>
      </c>
      <c r="H45" s="4">
        <v>0</v>
      </c>
      <c r="I45" s="4" t="s">
        <v>1</v>
      </c>
      <c r="J45" s="3" t="s">
        <v>597</v>
      </c>
    </row>
    <row r="46" spans="1:10" x14ac:dyDescent="0.25">
      <c r="A46" s="4" t="s">
        <v>911</v>
      </c>
      <c r="B46" s="4">
        <v>44989</v>
      </c>
      <c r="C46" s="4" t="s">
        <v>5</v>
      </c>
      <c r="D46" s="4" t="s">
        <v>29</v>
      </c>
      <c r="E46" s="4" t="s">
        <v>3</v>
      </c>
      <c r="F46" s="4" t="s">
        <v>2</v>
      </c>
      <c r="G46" s="5">
        <v>42198.801006944443</v>
      </c>
      <c r="H46" s="4">
        <v>0</v>
      </c>
      <c r="I46" s="4" t="s">
        <v>1</v>
      </c>
      <c r="J46" s="3" t="s">
        <v>598</v>
      </c>
    </row>
    <row r="47" spans="1:10" ht="90" x14ac:dyDescent="0.25">
      <c r="A47" s="4" t="s">
        <v>911</v>
      </c>
      <c r="B47" s="4">
        <v>44988</v>
      </c>
      <c r="C47" s="4" t="s">
        <v>5</v>
      </c>
      <c r="D47" s="4" t="s">
        <v>29</v>
      </c>
      <c r="E47" s="4" t="s">
        <v>3</v>
      </c>
      <c r="F47" s="4" t="s">
        <v>2</v>
      </c>
      <c r="G47" s="5">
        <v>42198.801006944443</v>
      </c>
      <c r="H47" s="4">
        <v>0</v>
      </c>
      <c r="I47" s="4" t="s">
        <v>1</v>
      </c>
      <c r="J47" s="3" t="s">
        <v>675</v>
      </c>
    </row>
    <row r="48" spans="1:10" ht="150" x14ac:dyDescent="0.25">
      <c r="A48" s="4" t="s">
        <v>911</v>
      </c>
      <c r="B48" s="4">
        <v>44987</v>
      </c>
      <c r="C48" s="4" t="s">
        <v>5</v>
      </c>
      <c r="D48" s="4" t="s">
        <v>29</v>
      </c>
      <c r="E48" s="4" t="s">
        <v>3</v>
      </c>
      <c r="F48" s="4" t="s">
        <v>2</v>
      </c>
      <c r="G48" s="5">
        <v>42198.801006944443</v>
      </c>
      <c r="H48" s="4">
        <v>0</v>
      </c>
      <c r="I48" s="4" t="s">
        <v>1</v>
      </c>
      <c r="J48" s="3" t="s">
        <v>731</v>
      </c>
    </row>
    <row r="49" spans="1:10" x14ac:dyDescent="0.25">
      <c r="A49" s="4" t="s">
        <v>911</v>
      </c>
      <c r="B49" s="4">
        <v>44986</v>
      </c>
      <c r="C49" s="4" t="s">
        <v>5</v>
      </c>
      <c r="D49" s="4" t="s">
        <v>29</v>
      </c>
      <c r="E49" s="4" t="s">
        <v>3</v>
      </c>
      <c r="F49" s="4" t="s">
        <v>2</v>
      </c>
      <c r="G49" s="5">
        <v>42198.800798611112</v>
      </c>
      <c r="H49" s="4">
        <v>0</v>
      </c>
      <c r="I49" s="4" t="s">
        <v>1</v>
      </c>
      <c r="J49" s="3" t="s">
        <v>878</v>
      </c>
    </row>
    <row r="50" spans="1:10" ht="30" x14ac:dyDescent="0.25">
      <c r="A50" s="4" t="s">
        <v>911</v>
      </c>
      <c r="B50" s="4">
        <v>44985</v>
      </c>
      <c r="C50" s="4" t="s">
        <v>5</v>
      </c>
      <c r="D50" s="4" t="s">
        <v>29</v>
      </c>
      <c r="E50" s="4" t="s">
        <v>3</v>
      </c>
      <c r="F50" s="4" t="s">
        <v>2</v>
      </c>
      <c r="G50" s="5">
        <v>42198.800798611112</v>
      </c>
      <c r="H50" s="4">
        <v>0</v>
      </c>
      <c r="I50" s="4" t="s">
        <v>1</v>
      </c>
      <c r="J50" s="3" t="s">
        <v>890</v>
      </c>
    </row>
    <row r="51" spans="1:10" x14ac:dyDescent="0.25">
      <c r="A51" s="4" t="s">
        <v>911</v>
      </c>
      <c r="B51" s="4">
        <v>44984</v>
      </c>
      <c r="C51" s="4" t="s">
        <v>5</v>
      </c>
      <c r="D51" s="4" t="s">
        <v>29</v>
      </c>
      <c r="E51" s="4" t="s">
        <v>3</v>
      </c>
      <c r="F51" s="4" t="s">
        <v>2</v>
      </c>
      <c r="G51" s="5">
        <v>42198.800173611111</v>
      </c>
      <c r="H51" s="4">
        <v>0</v>
      </c>
      <c r="I51" s="4" t="s">
        <v>1</v>
      </c>
      <c r="J51" s="3" t="s">
        <v>878</v>
      </c>
    </row>
    <row r="52" spans="1:10" ht="30" x14ac:dyDescent="0.25">
      <c r="A52" s="4" t="s">
        <v>911</v>
      </c>
      <c r="B52" s="4">
        <v>44983</v>
      </c>
      <c r="C52" s="4" t="s">
        <v>5</v>
      </c>
      <c r="D52" s="4" t="s">
        <v>29</v>
      </c>
      <c r="E52" s="4" t="s">
        <v>3</v>
      </c>
      <c r="F52" s="4" t="s">
        <v>2</v>
      </c>
      <c r="G52" s="5">
        <v>42198.800173611111</v>
      </c>
      <c r="H52" s="4">
        <v>0</v>
      </c>
      <c r="I52" s="4" t="s">
        <v>1</v>
      </c>
      <c r="J52" s="3" t="s">
        <v>891</v>
      </c>
    </row>
    <row r="53" spans="1:10" x14ac:dyDescent="0.25">
      <c r="A53" s="4" t="s">
        <v>911</v>
      </c>
      <c r="B53" s="4">
        <v>44982</v>
      </c>
      <c r="C53" s="4" t="s">
        <v>5</v>
      </c>
      <c r="D53" s="4" t="s">
        <v>29</v>
      </c>
      <c r="E53" s="4" t="s">
        <v>3</v>
      </c>
      <c r="F53" s="4" t="s">
        <v>2</v>
      </c>
      <c r="G53" s="5">
        <v>42198.798807870371</v>
      </c>
      <c r="H53" s="4">
        <v>0</v>
      </c>
      <c r="I53" s="4" t="s">
        <v>1</v>
      </c>
      <c r="J53" s="3" t="s">
        <v>878</v>
      </c>
    </row>
    <row r="54" spans="1:10" ht="30" x14ac:dyDescent="0.25">
      <c r="A54" s="4" t="s">
        <v>911</v>
      </c>
      <c r="B54" s="4">
        <v>44981</v>
      </c>
      <c r="C54" s="4" t="s">
        <v>5</v>
      </c>
      <c r="D54" s="4" t="s">
        <v>29</v>
      </c>
      <c r="E54" s="4" t="s">
        <v>3</v>
      </c>
      <c r="F54" s="4" t="s">
        <v>2</v>
      </c>
      <c r="G54" s="5">
        <v>42198.798807870371</v>
      </c>
      <c r="H54" s="4">
        <v>0</v>
      </c>
      <c r="I54" s="4" t="s">
        <v>1</v>
      </c>
      <c r="J54" s="3" t="s">
        <v>892</v>
      </c>
    </row>
    <row r="55" spans="1:10" x14ac:dyDescent="0.25">
      <c r="A55" s="4" t="s">
        <v>911</v>
      </c>
      <c r="B55" s="4">
        <v>44980</v>
      </c>
      <c r="C55" s="4" t="s">
        <v>5</v>
      </c>
      <c r="D55" s="4" t="s">
        <v>29</v>
      </c>
      <c r="E55" s="4" t="s">
        <v>3</v>
      </c>
      <c r="F55" s="4" t="s">
        <v>2</v>
      </c>
      <c r="G55" s="5">
        <v>42198.798125000001</v>
      </c>
      <c r="H55" s="4">
        <v>0</v>
      </c>
      <c r="I55" s="4" t="s">
        <v>1</v>
      </c>
      <c r="J55" s="3" t="s">
        <v>878</v>
      </c>
    </row>
    <row r="56" spans="1:10" ht="30" x14ac:dyDescent="0.25">
      <c r="A56" s="4" t="s">
        <v>911</v>
      </c>
      <c r="B56" s="4">
        <v>44979</v>
      </c>
      <c r="C56" s="4" t="s">
        <v>5</v>
      </c>
      <c r="D56" s="4" t="s">
        <v>29</v>
      </c>
      <c r="E56" s="4" t="s">
        <v>3</v>
      </c>
      <c r="F56" s="4" t="s">
        <v>2</v>
      </c>
      <c r="G56" s="5">
        <v>42198.798125000001</v>
      </c>
      <c r="H56" s="4">
        <v>0</v>
      </c>
      <c r="I56" s="4" t="s">
        <v>1</v>
      </c>
      <c r="J56" s="3" t="s">
        <v>893</v>
      </c>
    </row>
    <row r="57" spans="1:10" x14ac:dyDescent="0.25">
      <c r="A57" s="4" t="s">
        <v>911</v>
      </c>
      <c r="B57" s="4">
        <v>44978</v>
      </c>
      <c r="C57" s="4" t="s">
        <v>5</v>
      </c>
      <c r="D57" s="4" t="s">
        <v>29</v>
      </c>
      <c r="E57" s="4" t="s">
        <v>3</v>
      </c>
      <c r="F57" s="4" t="s">
        <v>2</v>
      </c>
      <c r="G57" s="5">
        <v>42198.794328703705</v>
      </c>
      <c r="H57" s="4">
        <v>0</v>
      </c>
      <c r="I57" s="4" t="s">
        <v>1</v>
      </c>
      <c r="J57" s="3" t="s">
        <v>878</v>
      </c>
    </row>
    <row r="58" spans="1:10" ht="30" x14ac:dyDescent="0.25">
      <c r="A58" s="4" t="s">
        <v>911</v>
      </c>
      <c r="B58" s="4">
        <v>44977</v>
      </c>
      <c r="C58" s="4" t="s">
        <v>5</v>
      </c>
      <c r="D58" s="4" t="s">
        <v>29</v>
      </c>
      <c r="E58" s="4" t="s">
        <v>3</v>
      </c>
      <c r="F58" s="4" t="s">
        <v>2</v>
      </c>
      <c r="G58" s="5">
        <v>42198.794328703705</v>
      </c>
      <c r="H58" s="4">
        <v>0</v>
      </c>
      <c r="I58" s="4" t="s">
        <v>1</v>
      </c>
      <c r="J58" s="3" t="s">
        <v>894</v>
      </c>
    </row>
    <row r="59" spans="1:10" x14ac:dyDescent="0.25">
      <c r="A59" s="4" t="s">
        <v>911</v>
      </c>
      <c r="B59" s="4">
        <v>44976</v>
      </c>
      <c r="C59" s="4" t="s">
        <v>5</v>
      </c>
      <c r="D59" s="4" t="s">
        <v>29</v>
      </c>
      <c r="E59" s="4" t="s">
        <v>3</v>
      </c>
      <c r="F59" s="4" t="s">
        <v>2</v>
      </c>
      <c r="G59" s="5">
        <v>42198.793946759259</v>
      </c>
      <c r="H59" s="4">
        <v>0</v>
      </c>
      <c r="I59" s="4" t="s">
        <v>1</v>
      </c>
      <c r="J59" s="3" t="s">
        <v>878</v>
      </c>
    </row>
    <row r="60" spans="1:10" ht="30" x14ac:dyDescent="0.25">
      <c r="A60" s="4" t="s">
        <v>911</v>
      </c>
      <c r="B60" s="4">
        <v>44975</v>
      </c>
      <c r="C60" s="4" t="s">
        <v>5</v>
      </c>
      <c r="D60" s="4" t="s">
        <v>29</v>
      </c>
      <c r="E60" s="4" t="s">
        <v>3</v>
      </c>
      <c r="F60" s="4" t="s">
        <v>2</v>
      </c>
      <c r="G60" s="5">
        <v>42198.793946759259</v>
      </c>
      <c r="H60" s="4">
        <v>0</v>
      </c>
      <c r="I60" s="4" t="s">
        <v>1</v>
      </c>
      <c r="J60" s="3" t="s">
        <v>895</v>
      </c>
    </row>
    <row r="61" spans="1:10" x14ac:dyDescent="0.25">
      <c r="A61" s="4" t="s">
        <v>911</v>
      </c>
      <c r="B61" s="4">
        <v>44974</v>
      </c>
      <c r="C61" s="4" t="s">
        <v>5</v>
      </c>
      <c r="D61" s="4" t="s">
        <v>29</v>
      </c>
      <c r="E61" s="4" t="s">
        <v>3</v>
      </c>
      <c r="F61" s="4" t="s">
        <v>2</v>
      </c>
      <c r="G61" s="5">
        <v>42198.791620370372</v>
      </c>
      <c r="H61" s="4">
        <v>0</v>
      </c>
      <c r="I61" s="4" t="s">
        <v>1</v>
      </c>
      <c r="J61" s="3" t="s">
        <v>878</v>
      </c>
    </row>
    <row r="62" spans="1:10" ht="30" x14ac:dyDescent="0.25">
      <c r="A62" s="4" t="s">
        <v>911</v>
      </c>
      <c r="B62" s="4">
        <v>44973</v>
      </c>
      <c r="C62" s="4" t="s">
        <v>5</v>
      </c>
      <c r="D62" s="4" t="s">
        <v>29</v>
      </c>
      <c r="E62" s="4" t="s">
        <v>3</v>
      </c>
      <c r="F62" s="4" t="s">
        <v>2</v>
      </c>
      <c r="G62" s="5">
        <v>42198.791620370372</v>
      </c>
      <c r="H62" s="4">
        <v>0</v>
      </c>
      <c r="I62" s="4" t="s">
        <v>1</v>
      </c>
      <c r="J62" s="3" t="s">
        <v>896</v>
      </c>
    </row>
    <row r="63" spans="1:10" x14ac:dyDescent="0.25">
      <c r="A63" s="4" t="s">
        <v>911</v>
      </c>
      <c r="B63" s="4">
        <v>44972</v>
      </c>
      <c r="C63" s="4" t="s">
        <v>5</v>
      </c>
      <c r="D63" s="4" t="s">
        <v>29</v>
      </c>
      <c r="E63" s="4" t="s">
        <v>3</v>
      </c>
      <c r="F63" s="4" t="s">
        <v>2</v>
      </c>
      <c r="G63" s="5">
        <v>42198.79146990741</v>
      </c>
      <c r="H63" s="4">
        <v>0</v>
      </c>
      <c r="I63" s="4" t="s">
        <v>1</v>
      </c>
      <c r="J63" s="3" t="s">
        <v>897</v>
      </c>
    </row>
    <row r="64" spans="1:10" ht="90" x14ac:dyDescent="0.25">
      <c r="A64" s="4" t="s">
        <v>911</v>
      </c>
      <c r="B64" s="4">
        <v>44971</v>
      </c>
      <c r="C64" s="4" t="s">
        <v>5</v>
      </c>
      <c r="D64" s="4" t="s">
        <v>29</v>
      </c>
      <c r="E64" s="4" t="s">
        <v>3</v>
      </c>
      <c r="F64" s="4" t="s">
        <v>2</v>
      </c>
      <c r="G64" s="5">
        <v>42198.79146990741</v>
      </c>
      <c r="H64" s="4">
        <v>0</v>
      </c>
      <c r="I64" s="4" t="s">
        <v>1</v>
      </c>
      <c r="J64" s="3" t="s">
        <v>674</v>
      </c>
    </row>
    <row r="65" spans="1:10" x14ac:dyDescent="0.25">
      <c r="A65" s="4" t="s">
        <v>911</v>
      </c>
      <c r="B65" s="4">
        <v>44970</v>
      </c>
      <c r="C65" s="4" t="s">
        <v>5</v>
      </c>
      <c r="D65" s="4" t="s">
        <v>29</v>
      </c>
      <c r="E65" s="4" t="s">
        <v>3</v>
      </c>
      <c r="F65" s="4" t="s">
        <v>2</v>
      </c>
      <c r="G65" s="5">
        <v>42198.79146990741</v>
      </c>
      <c r="H65" s="4">
        <v>0</v>
      </c>
      <c r="I65" s="4" t="s">
        <v>1</v>
      </c>
      <c r="J65" s="3" t="s">
        <v>597</v>
      </c>
    </row>
    <row r="66" spans="1:10" x14ac:dyDescent="0.25">
      <c r="A66" s="4" t="s">
        <v>911</v>
      </c>
      <c r="B66" s="4">
        <v>44969</v>
      </c>
      <c r="C66" s="4" t="s">
        <v>5</v>
      </c>
      <c r="D66" s="4" t="s">
        <v>29</v>
      </c>
      <c r="E66" s="4" t="s">
        <v>3</v>
      </c>
      <c r="F66" s="4" t="s">
        <v>2</v>
      </c>
      <c r="G66" s="5">
        <v>42198.791435185187</v>
      </c>
      <c r="H66" s="4">
        <v>0</v>
      </c>
      <c r="I66" s="4" t="s">
        <v>1</v>
      </c>
      <c r="J66" s="3" t="s">
        <v>598</v>
      </c>
    </row>
    <row r="67" spans="1:10" ht="90" x14ac:dyDescent="0.25">
      <c r="A67" s="4" t="s">
        <v>911</v>
      </c>
      <c r="B67" s="4">
        <v>44968</v>
      </c>
      <c r="C67" s="4" t="s">
        <v>5</v>
      </c>
      <c r="D67" s="4" t="s">
        <v>29</v>
      </c>
      <c r="E67" s="4" t="s">
        <v>3</v>
      </c>
      <c r="F67" s="4" t="s">
        <v>2</v>
      </c>
      <c r="G67" s="5">
        <v>42198.791435185187</v>
      </c>
      <c r="H67" s="4">
        <v>0</v>
      </c>
      <c r="I67" s="4" t="s">
        <v>1</v>
      </c>
      <c r="J67" s="3" t="s">
        <v>675</v>
      </c>
    </row>
    <row r="68" spans="1:10" ht="165" x14ac:dyDescent="0.25">
      <c r="A68" s="4" t="s">
        <v>911</v>
      </c>
      <c r="B68" s="4">
        <v>44967</v>
      </c>
      <c r="C68" s="4" t="s">
        <v>5</v>
      </c>
      <c r="D68" s="4" t="s">
        <v>29</v>
      </c>
      <c r="E68" s="4" t="s">
        <v>3</v>
      </c>
      <c r="F68" s="4" t="s">
        <v>2</v>
      </c>
      <c r="G68" s="5">
        <v>42198.791435185187</v>
      </c>
      <c r="H68" s="4">
        <v>0</v>
      </c>
      <c r="I68" s="4" t="s">
        <v>1</v>
      </c>
      <c r="J68" s="3" t="s">
        <v>898</v>
      </c>
    </row>
    <row r="69" spans="1:10" x14ac:dyDescent="0.25">
      <c r="A69" s="4" t="s">
        <v>911</v>
      </c>
      <c r="B69" s="4">
        <v>44966</v>
      </c>
      <c r="C69" s="4" t="s">
        <v>5</v>
      </c>
      <c r="D69" s="4" t="s">
        <v>29</v>
      </c>
      <c r="E69" s="4" t="s">
        <v>3</v>
      </c>
      <c r="F69" s="4" t="s">
        <v>2</v>
      </c>
      <c r="G69" s="5">
        <v>42198.791377314818</v>
      </c>
      <c r="H69" s="4">
        <v>0</v>
      </c>
      <c r="I69" s="4" t="s">
        <v>1</v>
      </c>
      <c r="J69" s="3" t="s">
        <v>878</v>
      </c>
    </row>
    <row r="70" spans="1:10" ht="30" x14ac:dyDescent="0.25">
      <c r="A70" s="4" t="s">
        <v>911</v>
      </c>
      <c r="B70" s="4">
        <v>44965</v>
      </c>
      <c r="C70" s="4" t="s">
        <v>5</v>
      </c>
      <c r="D70" s="4" t="s">
        <v>29</v>
      </c>
      <c r="E70" s="4" t="s">
        <v>3</v>
      </c>
      <c r="F70" s="4" t="s">
        <v>2</v>
      </c>
      <c r="G70" s="5">
        <v>42198.791377314818</v>
      </c>
      <c r="H70" s="4">
        <v>0</v>
      </c>
      <c r="I70" s="4" t="s">
        <v>1</v>
      </c>
      <c r="J70" s="3" t="s">
        <v>899</v>
      </c>
    </row>
    <row r="71" spans="1:10" x14ac:dyDescent="0.25">
      <c r="A71" s="4" t="s">
        <v>911</v>
      </c>
      <c r="B71" s="4">
        <v>44964</v>
      </c>
      <c r="C71" s="4" t="s">
        <v>5</v>
      </c>
      <c r="D71" s="4" t="s">
        <v>29</v>
      </c>
      <c r="E71" s="4" t="s">
        <v>3</v>
      </c>
      <c r="F71" s="4" t="s">
        <v>2</v>
      </c>
      <c r="G71" s="5">
        <v>42198.788240740738</v>
      </c>
      <c r="H71" s="4">
        <v>0</v>
      </c>
      <c r="I71" s="4" t="s">
        <v>1</v>
      </c>
      <c r="J71" s="3" t="s">
        <v>900</v>
      </c>
    </row>
    <row r="72" spans="1:10" ht="90" x14ac:dyDescent="0.25">
      <c r="A72" s="4" t="s">
        <v>911</v>
      </c>
      <c r="B72" s="4">
        <v>44963</v>
      </c>
      <c r="C72" s="4" t="s">
        <v>5</v>
      </c>
      <c r="D72" s="4" t="s">
        <v>29</v>
      </c>
      <c r="E72" s="4" t="s">
        <v>3</v>
      </c>
      <c r="F72" s="4" t="s">
        <v>2</v>
      </c>
      <c r="G72" s="5">
        <v>42198.788240740738</v>
      </c>
      <c r="H72" s="4">
        <v>0</v>
      </c>
      <c r="I72" s="4" t="s">
        <v>1</v>
      </c>
      <c r="J72" s="3" t="s">
        <v>674</v>
      </c>
    </row>
    <row r="73" spans="1:10" x14ac:dyDescent="0.25">
      <c r="A73" s="4" t="s">
        <v>911</v>
      </c>
      <c r="B73" s="4">
        <v>44962</v>
      </c>
      <c r="C73" s="4" t="s">
        <v>5</v>
      </c>
      <c r="D73" s="4" t="s">
        <v>29</v>
      </c>
      <c r="E73" s="4" t="s">
        <v>3</v>
      </c>
      <c r="F73" s="4" t="s">
        <v>2</v>
      </c>
      <c r="G73" s="5">
        <v>42198.788240740738</v>
      </c>
      <c r="H73" s="4">
        <v>0</v>
      </c>
      <c r="I73" s="4" t="s">
        <v>1</v>
      </c>
      <c r="J73" s="3" t="s">
        <v>597</v>
      </c>
    </row>
    <row r="74" spans="1:10" x14ac:dyDescent="0.25">
      <c r="A74" s="4" t="s">
        <v>911</v>
      </c>
      <c r="B74" s="4">
        <v>44961</v>
      </c>
      <c r="C74" s="4" t="s">
        <v>5</v>
      </c>
      <c r="D74" s="4" t="s">
        <v>29</v>
      </c>
      <c r="E74" s="4" t="s">
        <v>3</v>
      </c>
      <c r="F74" s="4" t="s">
        <v>2</v>
      </c>
      <c r="G74" s="5">
        <v>42198.788206018522</v>
      </c>
      <c r="H74" s="4">
        <v>0</v>
      </c>
      <c r="I74" s="4" t="s">
        <v>1</v>
      </c>
      <c r="J74" s="3" t="s">
        <v>598</v>
      </c>
    </row>
    <row r="75" spans="1:10" ht="90" x14ac:dyDescent="0.25">
      <c r="A75" s="4" t="s">
        <v>911</v>
      </c>
      <c r="B75" s="4">
        <v>44960</v>
      </c>
      <c r="C75" s="4" t="s">
        <v>5</v>
      </c>
      <c r="D75" s="4" t="s">
        <v>29</v>
      </c>
      <c r="E75" s="4" t="s">
        <v>3</v>
      </c>
      <c r="F75" s="4" t="s">
        <v>2</v>
      </c>
      <c r="G75" s="5">
        <v>42198.788206018522</v>
      </c>
      <c r="H75" s="4">
        <v>0</v>
      </c>
      <c r="I75" s="4" t="s">
        <v>1</v>
      </c>
      <c r="J75" s="3" t="s">
        <v>675</v>
      </c>
    </row>
    <row r="76" spans="1:10" ht="165" x14ac:dyDescent="0.25">
      <c r="A76" s="4" t="s">
        <v>911</v>
      </c>
      <c r="B76" s="4">
        <v>44959</v>
      </c>
      <c r="C76" s="4" t="s">
        <v>5</v>
      </c>
      <c r="D76" s="4" t="s">
        <v>29</v>
      </c>
      <c r="E76" s="4" t="s">
        <v>3</v>
      </c>
      <c r="F76" s="4" t="s">
        <v>2</v>
      </c>
      <c r="G76" s="5">
        <v>42198.788206018522</v>
      </c>
      <c r="H76" s="4">
        <v>0</v>
      </c>
      <c r="I76" s="4" t="s">
        <v>1</v>
      </c>
      <c r="J76" s="3" t="s">
        <v>898</v>
      </c>
    </row>
    <row r="77" spans="1:10" x14ac:dyDescent="0.25">
      <c r="A77" s="4" t="s">
        <v>911</v>
      </c>
      <c r="B77" s="4">
        <v>44958</v>
      </c>
      <c r="C77" s="4" t="s">
        <v>5</v>
      </c>
      <c r="D77" s="4" t="s">
        <v>29</v>
      </c>
      <c r="E77" s="4" t="s">
        <v>3</v>
      </c>
      <c r="F77" s="4" t="s">
        <v>2</v>
      </c>
      <c r="G77" s="5">
        <v>42198.788206018522</v>
      </c>
      <c r="H77" s="4">
        <v>0</v>
      </c>
      <c r="I77" s="4" t="s">
        <v>1</v>
      </c>
      <c r="J77" s="3" t="s">
        <v>878</v>
      </c>
    </row>
    <row r="78" spans="1:10" ht="30" x14ac:dyDescent="0.25">
      <c r="A78" s="4" t="s">
        <v>911</v>
      </c>
      <c r="B78" s="4">
        <v>44957</v>
      </c>
      <c r="C78" s="4" t="s">
        <v>5</v>
      </c>
      <c r="D78" s="4" t="s">
        <v>29</v>
      </c>
      <c r="E78" s="4" t="s">
        <v>3</v>
      </c>
      <c r="F78" s="4" t="s">
        <v>2</v>
      </c>
      <c r="G78" s="5">
        <v>42198.788206018522</v>
      </c>
      <c r="H78" s="4">
        <v>0</v>
      </c>
      <c r="I78" s="4" t="s">
        <v>1</v>
      </c>
      <c r="J78" s="3" t="s">
        <v>901</v>
      </c>
    </row>
    <row r="79" spans="1:10" x14ac:dyDescent="0.25">
      <c r="A79" s="4" t="s">
        <v>911</v>
      </c>
      <c r="B79" s="4">
        <v>44955</v>
      </c>
      <c r="C79" s="4" t="s">
        <v>5</v>
      </c>
      <c r="D79" s="4" t="s">
        <v>29</v>
      </c>
      <c r="E79" s="4" t="s">
        <v>3</v>
      </c>
      <c r="F79" s="4" t="s">
        <v>2</v>
      </c>
      <c r="G79" s="5">
        <v>42198.72792824074</v>
      </c>
      <c r="H79" s="4">
        <v>0</v>
      </c>
      <c r="I79" s="4" t="s">
        <v>1</v>
      </c>
      <c r="J79" s="3" t="s">
        <v>902</v>
      </c>
    </row>
    <row r="80" spans="1:10" ht="90" x14ac:dyDescent="0.25">
      <c r="A80" s="4" t="s">
        <v>911</v>
      </c>
      <c r="B80" s="4">
        <v>44954</v>
      </c>
      <c r="C80" s="4" t="s">
        <v>5</v>
      </c>
      <c r="D80" s="4" t="s">
        <v>29</v>
      </c>
      <c r="E80" s="4" t="s">
        <v>3</v>
      </c>
      <c r="F80" s="4" t="s">
        <v>2</v>
      </c>
      <c r="G80" s="5">
        <v>42198.72792824074</v>
      </c>
      <c r="H80" s="4">
        <v>0</v>
      </c>
      <c r="I80" s="4" t="s">
        <v>1</v>
      </c>
      <c r="J80" s="3" t="s">
        <v>674</v>
      </c>
    </row>
    <row r="81" spans="1:10" x14ac:dyDescent="0.25">
      <c r="A81" s="4" t="s">
        <v>911</v>
      </c>
      <c r="B81" s="4">
        <v>44953</v>
      </c>
      <c r="C81" s="4" t="s">
        <v>5</v>
      </c>
      <c r="D81" s="4" t="s">
        <v>29</v>
      </c>
      <c r="E81" s="4" t="s">
        <v>3</v>
      </c>
      <c r="F81" s="4" t="s">
        <v>2</v>
      </c>
      <c r="G81" s="5">
        <v>42198.72792824074</v>
      </c>
      <c r="H81" s="4">
        <v>0</v>
      </c>
      <c r="I81" s="4" t="s">
        <v>1</v>
      </c>
      <c r="J81" s="3" t="s">
        <v>597</v>
      </c>
    </row>
    <row r="82" spans="1:10" x14ac:dyDescent="0.25">
      <c r="A82" s="4" t="s">
        <v>911</v>
      </c>
      <c r="B82" s="4">
        <v>44952</v>
      </c>
      <c r="C82" s="4" t="s">
        <v>5</v>
      </c>
      <c r="D82" s="4" t="s">
        <v>29</v>
      </c>
      <c r="E82" s="4" t="s">
        <v>3</v>
      </c>
      <c r="F82" s="4" t="s">
        <v>2</v>
      </c>
      <c r="G82" s="5">
        <v>42198.727881944447</v>
      </c>
      <c r="H82" s="4">
        <v>0</v>
      </c>
      <c r="I82" s="4" t="s">
        <v>1</v>
      </c>
      <c r="J82" s="3" t="s">
        <v>598</v>
      </c>
    </row>
    <row r="83" spans="1:10" ht="90" x14ac:dyDescent="0.25">
      <c r="A83" s="4" t="s">
        <v>911</v>
      </c>
      <c r="B83" s="4">
        <v>44951</v>
      </c>
      <c r="C83" s="4" t="s">
        <v>5</v>
      </c>
      <c r="D83" s="4" t="s">
        <v>29</v>
      </c>
      <c r="E83" s="4" t="s">
        <v>3</v>
      </c>
      <c r="F83" s="4" t="s">
        <v>2</v>
      </c>
      <c r="G83" s="5">
        <v>42198.727881944447</v>
      </c>
      <c r="H83" s="4">
        <v>0</v>
      </c>
      <c r="I83" s="4" t="s">
        <v>1</v>
      </c>
      <c r="J83" s="3" t="s">
        <v>675</v>
      </c>
    </row>
    <row r="84" spans="1:10" ht="135" x14ac:dyDescent="0.25">
      <c r="A84" s="4" t="s">
        <v>911</v>
      </c>
      <c r="B84" s="4">
        <v>44950</v>
      </c>
      <c r="C84" s="4" t="s">
        <v>5</v>
      </c>
      <c r="D84" s="4" t="s">
        <v>29</v>
      </c>
      <c r="E84" s="4" t="s">
        <v>3</v>
      </c>
      <c r="F84" s="4" t="s">
        <v>2</v>
      </c>
      <c r="G84" s="5">
        <v>42198.727858796294</v>
      </c>
      <c r="H84" s="4">
        <v>0</v>
      </c>
      <c r="I84" s="4" t="s">
        <v>1</v>
      </c>
      <c r="J84" s="3" t="s">
        <v>903</v>
      </c>
    </row>
    <row r="85" spans="1:10" x14ac:dyDescent="0.25">
      <c r="A85" s="4" t="s">
        <v>911</v>
      </c>
      <c r="B85" s="4">
        <v>44949</v>
      </c>
      <c r="C85" s="4" t="s">
        <v>5</v>
      </c>
      <c r="D85" s="4" t="s">
        <v>29</v>
      </c>
      <c r="E85" s="4" t="s">
        <v>3</v>
      </c>
      <c r="F85" s="4" t="s">
        <v>2</v>
      </c>
      <c r="G85" s="5">
        <v>42198.727546296293</v>
      </c>
      <c r="H85" s="4">
        <v>0</v>
      </c>
      <c r="I85" s="4" t="s">
        <v>1</v>
      </c>
      <c r="J85" s="3" t="s">
        <v>878</v>
      </c>
    </row>
    <row r="86" spans="1:10" ht="30" x14ac:dyDescent="0.25">
      <c r="A86" s="4" t="s">
        <v>911</v>
      </c>
      <c r="B86" s="4">
        <v>44948</v>
      </c>
      <c r="C86" s="4" t="s">
        <v>5</v>
      </c>
      <c r="D86" s="4" t="s">
        <v>29</v>
      </c>
      <c r="E86" s="4" t="s">
        <v>3</v>
      </c>
      <c r="F86" s="4" t="s">
        <v>2</v>
      </c>
      <c r="G86" s="5">
        <v>42198.727546296293</v>
      </c>
      <c r="H86" s="4">
        <v>0</v>
      </c>
      <c r="I86" s="4" t="s">
        <v>1</v>
      </c>
      <c r="J86" s="3" t="s">
        <v>904</v>
      </c>
    </row>
    <row r="87" spans="1:10" x14ac:dyDescent="0.25">
      <c r="A87" s="4" t="s">
        <v>911</v>
      </c>
      <c r="B87" s="4">
        <v>44944</v>
      </c>
      <c r="C87" s="4" t="s">
        <v>5</v>
      </c>
      <c r="D87" s="4" t="s">
        <v>29</v>
      </c>
      <c r="E87" s="4" t="s">
        <v>3</v>
      </c>
      <c r="F87" s="4" t="s">
        <v>2</v>
      </c>
      <c r="G87" s="5">
        <v>42198.723668981482</v>
      </c>
      <c r="H87" s="4">
        <v>0</v>
      </c>
      <c r="I87" s="4" t="s">
        <v>1</v>
      </c>
      <c r="J87" s="3" t="s">
        <v>905</v>
      </c>
    </row>
    <row r="88" spans="1:10" ht="90" x14ac:dyDescent="0.25">
      <c r="A88" s="4" t="s">
        <v>911</v>
      </c>
      <c r="B88" s="4">
        <v>44943</v>
      </c>
      <c r="C88" s="4" t="s">
        <v>5</v>
      </c>
      <c r="D88" s="4" t="s">
        <v>29</v>
      </c>
      <c r="E88" s="4" t="s">
        <v>3</v>
      </c>
      <c r="F88" s="4" t="s">
        <v>2</v>
      </c>
      <c r="G88" s="5">
        <v>42198.723668981482</v>
      </c>
      <c r="H88" s="4">
        <v>0</v>
      </c>
      <c r="I88" s="4" t="s">
        <v>1</v>
      </c>
      <c r="J88" s="3" t="s">
        <v>674</v>
      </c>
    </row>
    <row r="89" spans="1:10" x14ac:dyDescent="0.25">
      <c r="A89" s="4" t="s">
        <v>911</v>
      </c>
      <c r="B89" s="4">
        <v>44942</v>
      </c>
      <c r="C89" s="4" t="s">
        <v>5</v>
      </c>
      <c r="D89" s="4" t="s">
        <v>29</v>
      </c>
      <c r="E89" s="4" t="s">
        <v>3</v>
      </c>
      <c r="F89" s="4" t="s">
        <v>2</v>
      </c>
      <c r="G89" s="5">
        <v>42198.723668981482</v>
      </c>
      <c r="H89" s="4">
        <v>0</v>
      </c>
      <c r="I89" s="4" t="s">
        <v>1</v>
      </c>
      <c r="J89" s="3" t="s">
        <v>597</v>
      </c>
    </row>
    <row r="90" spans="1:10" x14ac:dyDescent="0.25">
      <c r="A90" s="4" t="s">
        <v>911</v>
      </c>
      <c r="B90" s="4">
        <v>44941</v>
      </c>
      <c r="C90" s="4" t="s">
        <v>5</v>
      </c>
      <c r="D90" s="4" t="s">
        <v>29</v>
      </c>
      <c r="E90" s="4" t="s">
        <v>3</v>
      </c>
      <c r="F90" s="4" t="s">
        <v>2</v>
      </c>
      <c r="G90" s="5">
        <v>42198.722349537034</v>
      </c>
      <c r="H90" s="4">
        <v>0</v>
      </c>
      <c r="I90" s="4" t="s">
        <v>1</v>
      </c>
      <c r="J90" s="3" t="s">
        <v>598</v>
      </c>
    </row>
    <row r="91" spans="1:10" ht="90" x14ac:dyDescent="0.25">
      <c r="A91" s="4" t="s">
        <v>911</v>
      </c>
      <c r="B91" s="4">
        <v>44940</v>
      </c>
      <c r="C91" s="4" t="s">
        <v>5</v>
      </c>
      <c r="D91" s="4" t="s">
        <v>29</v>
      </c>
      <c r="E91" s="4" t="s">
        <v>3</v>
      </c>
      <c r="F91" s="4" t="s">
        <v>2</v>
      </c>
      <c r="G91" s="5">
        <v>42198.722349537034</v>
      </c>
      <c r="H91" s="4">
        <v>0</v>
      </c>
      <c r="I91" s="4" t="s">
        <v>1</v>
      </c>
      <c r="J91" s="3" t="s">
        <v>675</v>
      </c>
    </row>
    <row r="92" spans="1:10" ht="135" x14ac:dyDescent="0.25">
      <c r="A92" s="4" t="s">
        <v>911</v>
      </c>
      <c r="B92" s="4">
        <v>44939</v>
      </c>
      <c r="C92" s="4" t="s">
        <v>5</v>
      </c>
      <c r="D92" s="4" t="s">
        <v>29</v>
      </c>
      <c r="E92" s="4" t="s">
        <v>3</v>
      </c>
      <c r="F92" s="4" t="s">
        <v>2</v>
      </c>
      <c r="G92" s="5">
        <v>42198.722349537034</v>
      </c>
      <c r="H92" s="4">
        <v>0</v>
      </c>
      <c r="I92" s="4" t="s">
        <v>1</v>
      </c>
      <c r="J92" s="3" t="s">
        <v>903</v>
      </c>
    </row>
    <row r="93" spans="1:10" x14ac:dyDescent="0.25">
      <c r="A93" s="4" t="s">
        <v>911</v>
      </c>
      <c r="B93" s="4">
        <v>44938</v>
      </c>
      <c r="C93" s="4" t="s">
        <v>5</v>
      </c>
      <c r="D93" s="4" t="s">
        <v>29</v>
      </c>
      <c r="E93" s="4" t="s">
        <v>3</v>
      </c>
      <c r="F93" s="4" t="s">
        <v>2</v>
      </c>
      <c r="G93" s="5">
        <v>42198.722349537034</v>
      </c>
      <c r="H93" s="4">
        <v>0</v>
      </c>
      <c r="I93" s="4" t="s">
        <v>1</v>
      </c>
      <c r="J93" s="3" t="s">
        <v>878</v>
      </c>
    </row>
    <row r="94" spans="1:10" ht="30" x14ac:dyDescent="0.25">
      <c r="A94" s="4" t="s">
        <v>911</v>
      </c>
      <c r="B94" s="4">
        <v>44937</v>
      </c>
      <c r="C94" s="4" t="s">
        <v>5</v>
      </c>
      <c r="D94" s="4" t="s">
        <v>29</v>
      </c>
      <c r="E94" s="4" t="s">
        <v>3</v>
      </c>
      <c r="F94" s="4" t="s">
        <v>2</v>
      </c>
      <c r="G94" s="5">
        <v>42198.722349537034</v>
      </c>
      <c r="H94" s="4">
        <v>0</v>
      </c>
      <c r="I94" s="4" t="s">
        <v>1</v>
      </c>
      <c r="J94" s="3" t="s">
        <v>906</v>
      </c>
    </row>
    <row r="95" spans="1:10" x14ac:dyDescent="0.25">
      <c r="A95" s="4" t="s">
        <v>911</v>
      </c>
      <c r="B95" s="4">
        <v>44936</v>
      </c>
      <c r="C95" s="4" t="s">
        <v>5</v>
      </c>
      <c r="D95" s="4" t="s">
        <v>29</v>
      </c>
      <c r="E95" s="4" t="s">
        <v>3</v>
      </c>
      <c r="F95" s="4" t="s">
        <v>2</v>
      </c>
      <c r="G95" s="5">
        <v>42198.712210648147</v>
      </c>
      <c r="H95" s="4">
        <v>0</v>
      </c>
      <c r="I95" s="4" t="s">
        <v>1</v>
      </c>
      <c r="J95" s="3" t="s">
        <v>907</v>
      </c>
    </row>
    <row r="96" spans="1:10" ht="90" x14ac:dyDescent="0.25">
      <c r="A96" s="4" t="s">
        <v>911</v>
      </c>
      <c r="B96" s="4">
        <v>44935</v>
      </c>
      <c r="C96" s="4" t="s">
        <v>5</v>
      </c>
      <c r="D96" s="4" t="s">
        <v>29</v>
      </c>
      <c r="E96" s="4" t="s">
        <v>3</v>
      </c>
      <c r="F96" s="4" t="s">
        <v>2</v>
      </c>
      <c r="G96" s="5">
        <v>42198.712210648147</v>
      </c>
      <c r="H96" s="4">
        <v>0</v>
      </c>
      <c r="I96" s="4" t="s">
        <v>1</v>
      </c>
      <c r="J96" s="3" t="s">
        <v>674</v>
      </c>
    </row>
    <row r="97" spans="1:10" x14ac:dyDescent="0.25">
      <c r="A97" s="4" t="s">
        <v>911</v>
      </c>
      <c r="B97" s="4">
        <v>44934</v>
      </c>
      <c r="C97" s="4" t="s">
        <v>5</v>
      </c>
      <c r="D97" s="4" t="s">
        <v>29</v>
      </c>
      <c r="E97" s="4" t="s">
        <v>3</v>
      </c>
      <c r="F97" s="4" t="s">
        <v>2</v>
      </c>
      <c r="G97" s="5">
        <v>42198.712210648147</v>
      </c>
      <c r="H97" s="4">
        <v>0</v>
      </c>
      <c r="I97" s="4" t="s">
        <v>1</v>
      </c>
      <c r="J97" s="3" t="s">
        <v>597</v>
      </c>
    </row>
    <row r="98" spans="1:10" x14ac:dyDescent="0.25">
      <c r="A98" s="4" t="s">
        <v>911</v>
      </c>
      <c r="B98" s="4">
        <v>44933</v>
      </c>
      <c r="C98" s="4" t="s">
        <v>5</v>
      </c>
      <c r="D98" s="4" t="s">
        <v>29</v>
      </c>
      <c r="E98" s="4" t="s">
        <v>3</v>
      </c>
      <c r="F98" s="4" t="s">
        <v>2</v>
      </c>
      <c r="G98" s="5">
        <v>42198.712094907409</v>
      </c>
      <c r="H98" s="4">
        <v>0</v>
      </c>
      <c r="I98" s="4" t="s">
        <v>1</v>
      </c>
      <c r="J98" s="3" t="s">
        <v>598</v>
      </c>
    </row>
    <row r="99" spans="1:10" ht="90" x14ac:dyDescent="0.25">
      <c r="A99" s="4"/>
      <c r="B99" s="4">
        <v>44932</v>
      </c>
      <c r="C99" s="4" t="s">
        <v>5</v>
      </c>
      <c r="D99" s="4" t="s">
        <v>29</v>
      </c>
      <c r="E99" s="4" t="s">
        <v>3</v>
      </c>
      <c r="F99" s="4" t="s">
        <v>2</v>
      </c>
      <c r="G99" s="5">
        <v>42198.712094907409</v>
      </c>
      <c r="H99" s="4">
        <v>0</v>
      </c>
      <c r="I99" s="4" t="s">
        <v>1</v>
      </c>
      <c r="J99" s="3" t="s">
        <v>675</v>
      </c>
    </row>
    <row r="100" spans="1:10" ht="135" x14ac:dyDescent="0.25">
      <c r="A100" s="4" t="s">
        <v>911</v>
      </c>
      <c r="B100" s="4">
        <v>44931</v>
      </c>
      <c r="C100" s="4" t="s">
        <v>5</v>
      </c>
      <c r="D100" s="4" t="s">
        <v>29</v>
      </c>
      <c r="E100" s="4" t="s">
        <v>3</v>
      </c>
      <c r="F100" s="4" t="s">
        <v>2</v>
      </c>
      <c r="G100" s="5">
        <v>42198.712094907409</v>
      </c>
      <c r="H100" s="4">
        <v>0</v>
      </c>
      <c r="I100" s="4" t="s">
        <v>1</v>
      </c>
      <c r="J100" s="3" t="s">
        <v>903</v>
      </c>
    </row>
    <row r="101" spans="1:10" x14ac:dyDescent="0.25">
      <c r="A101" s="4" t="s">
        <v>911</v>
      </c>
      <c r="B101" s="4">
        <v>44930</v>
      </c>
      <c r="C101" s="4" t="s">
        <v>5</v>
      </c>
      <c r="D101" s="4" t="s">
        <v>29</v>
      </c>
      <c r="E101" s="4" t="s">
        <v>3</v>
      </c>
      <c r="F101" s="4" t="s">
        <v>2</v>
      </c>
      <c r="G101" s="5">
        <v>42198.712094907409</v>
      </c>
      <c r="H101" s="4">
        <v>0</v>
      </c>
      <c r="I101" s="4" t="s">
        <v>1</v>
      </c>
      <c r="J101" s="3" t="s">
        <v>878</v>
      </c>
    </row>
    <row r="102" spans="1:10" ht="30" x14ac:dyDescent="0.25">
      <c r="A102" s="4" t="s">
        <v>911</v>
      </c>
      <c r="B102" s="4">
        <v>44929</v>
      </c>
      <c r="C102" s="4" t="s">
        <v>5</v>
      </c>
      <c r="D102" s="4" t="s">
        <v>29</v>
      </c>
      <c r="E102" s="4" t="s">
        <v>3</v>
      </c>
      <c r="F102" s="4" t="s">
        <v>2</v>
      </c>
      <c r="G102" s="5">
        <v>42198.712094907409</v>
      </c>
      <c r="H102" s="4">
        <v>0</v>
      </c>
      <c r="I102" s="4" t="s">
        <v>1</v>
      </c>
      <c r="J102" s="3" t="s">
        <v>908</v>
      </c>
    </row>
  </sheetData>
  <conditionalFormatting sqref="B2:J2">
    <cfRule type="expression" dxfId="79" priority="9">
      <formula>$E2="ERROR"</formula>
    </cfRule>
    <cfRule type="expression" dxfId="78" priority="10">
      <formula>$E2="WARNING"</formula>
    </cfRule>
  </conditionalFormatting>
  <conditionalFormatting sqref="A2">
    <cfRule type="expression" dxfId="77" priority="7">
      <formula>$E2="ERROR"</formula>
    </cfRule>
    <cfRule type="expression" dxfId="76" priority="8">
      <formula>$E2="WARNING"</formula>
    </cfRule>
  </conditionalFormatting>
  <conditionalFormatting sqref="A2:J2">
    <cfRule type="expression" dxfId="75" priority="6">
      <formula>NOT(ISERROR(FIND("Redirected to a file",$J2)))</formula>
    </cfRule>
  </conditionalFormatting>
  <conditionalFormatting sqref="B3:J102">
    <cfRule type="expression" dxfId="74" priority="4">
      <formula>$E3="ERROR"</formula>
    </cfRule>
    <cfRule type="expression" dxfId="73" priority="5">
      <formula>$E3="WARNING"</formula>
    </cfRule>
  </conditionalFormatting>
  <conditionalFormatting sqref="A3:A102">
    <cfRule type="expression" dxfId="72" priority="2">
      <formula>$E3="ERROR"</formula>
    </cfRule>
    <cfRule type="expression" dxfId="71" priority="3">
      <formula>$E3="WARNING"</formula>
    </cfRule>
  </conditionalFormatting>
  <conditionalFormatting sqref="A3:J102">
    <cfRule type="expression" dxfId="70" priority="1">
      <formula>NOT(ISERROR(FIND("Redirected to a file",$J3)))</formula>
    </cfRule>
  </conditionalFormatting>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22"/>
  <sheetViews>
    <sheetView workbookViewId="0">
      <pane xSplit="1" ySplit="1" topLeftCell="B2" activePane="bottomRight" state="frozen"/>
      <selection pane="topRight" activeCell="B1" sqref="B1"/>
      <selection pane="bottomLeft" activeCell="A2" sqref="A2"/>
      <selection pane="bottomRight" activeCell="B5" sqref="B5"/>
    </sheetView>
  </sheetViews>
  <sheetFormatPr defaultRowHeight="15" x14ac:dyDescent="0.25"/>
  <cols>
    <col min="1" max="1" width="20.125" style="1" bestFit="1" customWidth="1"/>
    <col min="2" max="2" width="81" style="2" customWidth="1"/>
    <col min="3" max="16384" width="9" style="1"/>
  </cols>
  <sheetData>
    <row r="1" spans="1:2" ht="18" x14ac:dyDescent="0.25">
      <c r="A1" s="29" t="s">
        <v>641</v>
      </c>
      <c r="B1" s="29" t="s">
        <v>101</v>
      </c>
    </row>
    <row r="2" spans="1:2" ht="45" x14ac:dyDescent="0.25">
      <c r="A2" s="28">
        <v>42179.917430555557</v>
      </c>
      <c r="B2" s="27" t="s">
        <v>642</v>
      </c>
    </row>
    <row r="3" spans="1:2" ht="30" x14ac:dyDescent="0.25">
      <c r="A3" s="28">
        <v>42179.917430555557</v>
      </c>
      <c r="B3" s="27" t="s">
        <v>643</v>
      </c>
    </row>
    <row r="4" spans="1:2" ht="45" x14ac:dyDescent="0.25">
      <c r="A4" s="28">
        <v>42179.917430555557</v>
      </c>
      <c r="B4" s="27" t="s">
        <v>644</v>
      </c>
    </row>
    <row r="5" spans="1:2" x14ac:dyDescent="0.25">
      <c r="A5" s="28">
        <v>42179.917430555557</v>
      </c>
      <c r="B5" s="27" t="s">
        <v>645</v>
      </c>
    </row>
    <row r="6" spans="1:2" x14ac:dyDescent="0.25">
      <c r="A6" s="28">
        <v>42179.917430555557</v>
      </c>
      <c r="B6" s="27" t="s">
        <v>646</v>
      </c>
    </row>
    <row r="7" spans="1:2" x14ac:dyDescent="0.25">
      <c r="A7" s="28">
        <v>42179.917951388888</v>
      </c>
      <c r="B7" s="27" t="s">
        <v>647</v>
      </c>
    </row>
    <row r="8" spans="1:2" x14ac:dyDescent="0.25">
      <c r="A8" s="28">
        <v>42179.917951388888</v>
      </c>
      <c r="B8" s="27" t="s">
        <v>648</v>
      </c>
    </row>
    <row r="9" spans="1:2" x14ac:dyDescent="0.25">
      <c r="A9" s="28">
        <v>42179.917951388888</v>
      </c>
      <c r="B9" s="27" t="s">
        <v>649</v>
      </c>
    </row>
    <row r="10" spans="1:2" x14ac:dyDescent="0.25">
      <c r="A10" s="28">
        <v>42179.917951388888</v>
      </c>
      <c r="B10" s="27" t="s">
        <v>650</v>
      </c>
    </row>
    <row r="11" spans="1:2" x14ac:dyDescent="0.25">
      <c r="A11" s="28">
        <v>42179.917962962965</v>
      </c>
      <c r="B11" s="27" t="s">
        <v>651</v>
      </c>
    </row>
    <row r="12" spans="1:2" x14ac:dyDescent="0.25">
      <c r="A12" s="28">
        <v>42179.917962962965</v>
      </c>
      <c r="B12" s="27" t="s">
        <v>652</v>
      </c>
    </row>
    <row r="13" spans="1:2" x14ac:dyDescent="0.25">
      <c r="A13" s="28">
        <v>42179.917962962965</v>
      </c>
      <c r="B13" s="27" t="s">
        <v>653</v>
      </c>
    </row>
    <row r="14" spans="1:2" x14ac:dyDescent="0.25">
      <c r="A14" s="28">
        <v>42179.917962962965</v>
      </c>
      <c r="B14" s="27" t="s">
        <v>654</v>
      </c>
    </row>
    <row r="15" spans="1:2" x14ac:dyDescent="0.25">
      <c r="A15" s="28">
        <v>42179.918356481481</v>
      </c>
      <c r="B15" s="27" t="s">
        <v>655</v>
      </c>
    </row>
    <row r="16" spans="1:2" x14ac:dyDescent="0.25">
      <c r="A16" s="28">
        <v>42179.918356481481</v>
      </c>
      <c r="B16" s="27" t="s">
        <v>656</v>
      </c>
    </row>
    <row r="17" spans="1:2" x14ac:dyDescent="0.25">
      <c r="A17" s="28">
        <v>42179.918356481481</v>
      </c>
      <c r="B17" s="27" t="s">
        <v>657</v>
      </c>
    </row>
    <row r="18" spans="1:2" x14ac:dyDescent="0.25">
      <c r="A18" s="28">
        <v>42179.918356481481</v>
      </c>
      <c r="B18" s="27" t="s">
        <v>658</v>
      </c>
    </row>
    <row r="19" spans="1:2" x14ac:dyDescent="0.25">
      <c r="A19" s="28">
        <v>42179.918495370373</v>
      </c>
      <c r="B19" s="27" t="s">
        <v>659</v>
      </c>
    </row>
    <row r="20" spans="1:2" x14ac:dyDescent="0.25">
      <c r="A20" s="28">
        <v>42179.918495370373</v>
      </c>
      <c r="B20" s="27" t="s">
        <v>660</v>
      </c>
    </row>
    <row r="21" spans="1:2" x14ac:dyDescent="0.25">
      <c r="A21" s="28">
        <v>42179.918576388889</v>
      </c>
      <c r="B21" s="27" t="s">
        <v>661</v>
      </c>
    </row>
    <row r="22" spans="1:2" x14ac:dyDescent="0.25">
      <c r="A22" s="28">
        <v>42179.918576388889</v>
      </c>
      <c r="B22" s="27" t="s">
        <v>662</v>
      </c>
    </row>
  </sheetData>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xSplit="1" ySplit="5" topLeftCell="G8" activePane="bottomRight" state="frozen"/>
      <selection pane="topRight" activeCell="B1" sqref="B1"/>
      <selection pane="bottomLeft" activeCell="A6" sqref="A6"/>
      <selection pane="bottomRight" activeCell="G6" sqref="G6:G24"/>
    </sheetView>
  </sheetViews>
  <sheetFormatPr defaultRowHeight="15" x14ac:dyDescent="0.25"/>
  <cols>
    <col min="1" max="1" width="25.75" bestFit="1" customWidth="1"/>
    <col min="2" max="2" width="20.125" customWidth="1"/>
    <col min="3" max="3" width="8.875" bestFit="1" customWidth="1"/>
    <col min="4" max="4" width="24.25" bestFit="1" customWidth="1"/>
    <col min="5" max="5" width="20.125" bestFit="1" customWidth="1"/>
    <col min="7" max="7" width="255.625" bestFit="1" customWidth="1"/>
  </cols>
  <sheetData>
    <row r="1" spans="1:7" ht="18" x14ac:dyDescent="0.25">
      <c r="A1" s="11" t="s">
        <v>139</v>
      </c>
      <c r="B1" s="62" t="s">
        <v>138</v>
      </c>
      <c r="C1" s="63"/>
      <c r="D1" s="63"/>
      <c r="E1" s="63"/>
      <c r="F1" s="63"/>
      <c r="G1" s="64"/>
    </row>
    <row r="2" spans="1:7" ht="18" x14ac:dyDescent="0.25">
      <c r="A2" s="11" t="s">
        <v>137</v>
      </c>
      <c r="B2" s="62" t="s">
        <v>136</v>
      </c>
      <c r="C2" s="63"/>
      <c r="D2" s="63"/>
      <c r="E2" s="63"/>
      <c r="F2" s="63"/>
      <c r="G2" s="64"/>
    </row>
    <row r="3" spans="1:7" ht="18" x14ac:dyDescent="0.25">
      <c r="A3" s="13"/>
      <c r="B3" s="13"/>
      <c r="C3" s="13"/>
    </row>
    <row r="4" spans="1:7" ht="18" x14ac:dyDescent="0.25">
      <c r="A4" s="11" t="str">
        <f>A1</f>
        <v>ApplicationHelpers2</v>
      </c>
      <c r="B4" s="11"/>
      <c r="C4" s="11"/>
      <c r="D4" s="11" t="str">
        <f>A2</f>
        <v>DLLServices2</v>
      </c>
      <c r="E4" s="12"/>
      <c r="F4" s="12"/>
      <c r="G4" s="12"/>
    </row>
    <row r="5" spans="1:7" ht="18" x14ac:dyDescent="0.25">
      <c r="A5" s="11" t="s">
        <v>134</v>
      </c>
      <c r="B5" s="11" t="s">
        <v>133</v>
      </c>
      <c r="C5" s="11" t="s">
        <v>135</v>
      </c>
      <c r="D5" s="11" t="s">
        <v>134</v>
      </c>
      <c r="E5" s="11" t="s">
        <v>133</v>
      </c>
      <c r="F5" s="11" t="s">
        <v>132</v>
      </c>
      <c r="G5" s="11" t="s">
        <v>131</v>
      </c>
    </row>
    <row r="6" spans="1:7" x14ac:dyDescent="0.25">
      <c r="A6" s="8" t="s">
        <v>130</v>
      </c>
      <c r="B6" s="9">
        <f ca="1">[1]!dtmFileDateInfo(CONCATENATE(INDIRECT(A$4),A6))</f>
        <v>0</v>
      </c>
      <c r="C6" s="10" t="b">
        <f t="shared" ref="C6:C16" ca="1" si="0">VLOOKUP(A6,DLLServices2_Source_File_Data,MATCH(B$5,DLLServices2_Source_File_Labels,0),FALSE)&gt;B6</f>
        <v>1</v>
      </c>
      <c r="D6" s="8" t="s">
        <v>130</v>
      </c>
      <c r="E6" s="9">
        <f ca="1">[1]!dtmFileDateInfo(CONCATENATE(INDIRECT(D$4),D6))</f>
        <v>42247.003518518519</v>
      </c>
      <c r="F6" s="8" t="b">
        <f t="shared" ref="F6:F24" ca="1" si="1">E6&gt;VLOOKUP(D6,ApplicationHelpers2_Source_File_Data,MATCH(E$5,ApplicationHelpers2_Source_File_Labels,0),FALSE)</f>
        <v>1</v>
      </c>
      <c r="G6" s="8" t="str">
        <f ca="1">IF(ISNA(C6),CONCATENATE("XCOPYF.CMD ",[1]!QuoteSpaces(CONCATENATE(INDIRECT(A$4),A6)),CHAR(32),[1]!QuoteSpaces(CONCATENATE(DLLServices2,A6))," /f /v"),"")</f>
        <v/>
      </c>
    </row>
    <row r="7" spans="1:7" x14ac:dyDescent="0.25">
      <c r="A7" s="8" t="s">
        <v>129</v>
      </c>
      <c r="B7" s="9">
        <f ca="1">[1]!dtmFileDateInfo(CONCATENATE(INDIRECT(A$4),A7))</f>
        <v>0</v>
      </c>
      <c r="C7" s="10" t="e">
        <f t="shared" ca="1" si="0"/>
        <v>#N/A</v>
      </c>
      <c r="D7" s="8" t="s">
        <v>128</v>
      </c>
      <c r="E7" s="9">
        <f ca="1">[1]!dtmFileDateInfo(CONCATENATE(INDIRECT(D$4),D7))</f>
        <v>42175.627766203703</v>
      </c>
      <c r="F7" s="8" t="e">
        <f t="shared" ca="1" si="1"/>
        <v>#N/A</v>
      </c>
      <c r="G7" s="8" t="str">
        <f ca="1">IF(ISNA(C7),CONCATENATE("XCOPYF.CMD ",[1]!QuoteSpaces(CONCATENATE(INDIRECT(A$4),A7)),CHAR(32),[1]!QuoteSpaces(CONCATENATE(DLLServices2,A7))," /f /v"),"")</f>
        <v>XCOPYF.CMD "C:\Users\DAVE\Documents\Visual Studio 2013\Projects\WizardWrx_Libs\ApplicationHelpers2\ApplicationHelpers2\CmdLneArgsBasic.cs" "C:\Users\DAVE\Documents\Visual Studio 2013\Projects\WizardWrx_Libs\DLLServices2\DLLServices2\CmdLneArgsBasic.cs" /f /v</v>
      </c>
    </row>
    <row r="8" spans="1:7" x14ac:dyDescent="0.25">
      <c r="A8" s="8" t="s">
        <v>127</v>
      </c>
      <c r="B8" s="9">
        <f ca="1">[1]!dtmFileDateInfo(CONCATENATE(INDIRECT(A$4),A8))</f>
        <v>0</v>
      </c>
      <c r="C8" s="10" t="b">
        <f t="shared" ca="1" si="0"/>
        <v>1</v>
      </c>
      <c r="D8" s="8" t="s">
        <v>127</v>
      </c>
      <c r="E8" s="9">
        <f ca="1">[1]!dtmFileDateInfo(CONCATENATE(INDIRECT(D$4),D8))</f>
        <v>42175.523425925923</v>
      </c>
      <c r="F8" s="8" t="b">
        <f t="shared" ca="1" si="1"/>
        <v>1</v>
      </c>
      <c r="G8" s="8" t="str">
        <f ca="1">IF(ISNA(C8),CONCATENATE("XCOPYF.CMD ",[1]!QuoteSpaces(CONCATENATE(INDIRECT(A$4),A8)),CHAR(32),[1]!QuoteSpaces(CONCATENATE(DLLServices2,A8))," /f /v"),"")</f>
        <v/>
      </c>
    </row>
    <row r="9" spans="1:7" x14ac:dyDescent="0.25">
      <c r="A9" s="8" t="s">
        <v>126</v>
      </c>
      <c r="B9" s="9">
        <f ca="1">[1]!dtmFileDateInfo(CONCATENATE(INDIRECT(A$4),A9))</f>
        <v>0</v>
      </c>
      <c r="C9" s="10" t="b">
        <f t="shared" ca="1" si="0"/>
        <v>1</v>
      </c>
      <c r="D9" s="8" t="s">
        <v>126</v>
      </c>
      <c r="E9" s="9">
        <f ca="1">[1]!dtmFileDateInfo(CONCATENATE(INDIRECT(D$4),D9))</f>
        <v>42175.508750000001</v>
      </c>
      <c r="F9" s="8" t="b">
        <f t="shared" ca="1" si="1"/>
        <v>1</v>
      </c>
      <c r="G9" s="8" t="str">
        <f ca="1">IF(ISNA(C9),CONCATENATE("XCOPYF.CMD ",[1]!QuoteSpaces(CONCATENATE(INDIRECT(A$4),A9)),CHAR(32),[1]!QuoteSpaces(CONCATENATE(DLLServices2,A9))," /f /v"),"")</f>
        <v/>
      </c>
    </row>
    <row r="10" spans="1:7" x14ac:dyDescent="0.25">
      <c r="A10" s="8" t="s">
        <v>122</v>
      </c>
      <c r="B10" s="9">
        <f ca="1">[1]!dtmFileDateInfo(CONCATENATE(INDIRECT(A$4),A10))</f>
        <v>0</v>
      </c>
      <c r="C10" s="10" t="b">
        <f t="shared" ca="1" si="0"/>
        <v>1</v>
      </c>
      <c r="D10" s="8" t="s">
        <v>125</v>
      </c>
      <c r="E10" s="9">
        <f ca="1">[1]!dtmFileDateInfo(CONCATENATE(INDIRECT(D$4),D10))</f>
        <v>42178.411840277775</v>
      </c>
      <c r="F10" s="8" t="e">
        <f t="shared" ca="1" si="1"/>
        <v>#N/A</v>
      </c>
      <c r="G10" s="8" t="str">
        <f ca="1">IF(ISNA(C10),CONCATENATE("XCOPYF.CMD ",[1]!QuoteSpaces(CONCATENATE(INDIRECT(A$4),A10)),CHAR(32),[1]!QuoteSpaces(CONCATENATE(DLLServices2,A10))," /f /v"),"")</f>
        <v/>
      </c>
    </row>
    <row r="11" spans="1:7" x14ac:dyDescent="0.25">
      <c r="A11" s="8" t="s">
        <v>124</v>
      </c>
      <c r="B11" s="9">
        <f ca="1">[1]!dtmFileDateInfo(CONCATENATE(INDIRECT(A$4),A11))</f>
        <v>0</v>
      </c>
      <c r="C11" s="10" t="e">
        <f t="shared" ca="1" si="0"/>
        <v>#N/A</v>
      </c>
      <c r="D11" s="8" t="s">
        <v>123</v>
      </c>
      <c r="E11" s="9">
        <f ca="1">[1]!dtmFileDateInfo(CONCATENATE(INDIRECT(D$4),D11))</f>
        <v>42248.58452546296</v>
      </c>
      <c r="F11" s="8" t="e">
        <f t="shared" ca="1" si="1"/>
        <v>#N/A</v>
      </c>
      <c r="G11" s="8" t="str">
        <f ca="1">IF(ISNA(C11),CONCATENATE("XCOPYF.CMD ",[1]!QuoteSpaces(CONCATENATE(INDIRECT(A$4),A11)),CHAR(32),[1]!QuoteSpaces(CONCATENATE(DLLServices2,A11))," /f /v"),"")</f>
        <v>XCOPYF.CMD "C:\Users\DAVE\Documents\Visual Studio 2013\Projects\WizardWrx_Libs\ApplicationHelpers2\ApplicationHelpers2\IniFileReader.cs" "C:\Users\DAVE\Documents\Visual Studio 2013\Projects\WizardWrx_Libs\DLLServices2\DLLServices2\IniFileReader.cs" /f /v</v>
      </c>
    </row>
    <row r="12" spans="1:7" x14ac:dyDescent="0.25">
      <c r="A12" s="8" t="s">
        <v>120</v>
      </c>
      <c r="B12" s="9">
        <f ca="1">[1]!dtmFileDateInfo(CONCATENATE(INDIRECT(A$4),A12))</f>
        <v>0</v>
      </c>
      <c r="C12" s="10" t="b">
        <f t="shared" ca="1" si="0"/>
        <v>1</v>
      </c>
      <c r="D12" s="8" t="s">
        <v>122</v>
      </c>
      <c r="E12" s="9">
        <f ca="1">[1]!dtmFileDateInfo(CONCATENATE(INDIRECT(D$4),D12))</f>
        <v>42175.480381944442</v>
      </c>
      <c r="F12" s="8" t="b">
        <f t="shared" ca="1" si="1"/>
        <v>1</v>
      </c>
      <c r="G12" s="8" t="str">
        <f ca="1">IF(ISNA(C12),CONCATENATE("XCOPYF.CMD ",[1]!QuoteSpaces(CONCATENATE(INDIRECT(A$4),A12)),CHAR(32),[1]!QuoteSpaces(CONCATENATE(DLLServices2,A12))," /f /v"),"")</f>
        <v/>
      </c>
    </row>
    <row r="13" spans="1:7" x14ac:dyDescent="0.25">
      <c r="A13" s="8" t="s">
        <v>117</v>
      </c>
      <c r="B13" s="9">
        <f ca="1">[1]!dtmFileDateInfo(CONCATENATE(INDIRECT(A$4),A13))</f>
        <v>0</v>
      </c>
      <c r="C13" s="10" t="b">
        <f t="shared" ca="1" si="0"/>
        <v>1</v>
      </c>
      <c r="D13" s="8" t="s">
        <v>121</v>
      </c>
      <c r="E13" s="9">
        <f ca="1">[1]!dtmFileDateInfo(CONCATENATE(INDIRECT(D$4),D13))</f>
        <v>42305.615532407406</v>
      </c>
      <c r="F13" s="8" t="e">
        <f t="shared" ca="1" si="1"/>
        <v>#N/A</v>
      </c>
      <c r="G13" s="8" t="str">
        <f ca="1">IF(ISNA(C13),CONCATENATE("XCOPYF.CMD ",[1]!QuoteSpaces(CONCATENATE(INDIRECT(A$4),A13)),CHAR(32),[1]!QuoteSpaces(CONCATENATE(DLLServices2,A13))," /f /v"),"")</f>
        <v/>
      </c>
    </row>
    <row r="14" spans="1:7" x14ac:dyDescent="0.25">
      <c r="A14" s="8" t="s">
        <v>114</v>
      </c>
      <c r="B14" s="9">
        <f ca="1">[1]!dtmFileDateInfo(CONCATENATE(INDIRECT(A$4),A14))</f>
        <v>0</v>
      </c>
      <c r="C14" s="10" t="b">
        <f t="shared" ca="1" si="0"/>
        <v>1</v>
      </c>
      <c r="D14" s="8" t="s">
        <v>120</v>
      </c>
      <c r="E14" s="9">
        <f ca="1">[1]!dtmFileDateInfo(CONCATENATE(INDIRECT(D$4),D14))</f>
        <v>42248.584502314814</v>
      </c>
      <c r="F14" s="8" t="b">
        <f t="shared" ca="1" si="1"/>
        <v>1</v>
      </c>
      <c r="G14" s="8" t="str">
        <f ca="1">IF(ISNA(C14),CONCATENATE("XCOPYF.CMD ",[1]!QuoteSpaces(CONCATENATE(INDIRECT(A$4),A14)),CHAR(32),[1]!QuoteSpaces(CONCATENATE(DLLServices2,A14))," /f /v"),"")</f>
        <v/>
      </c>
    </row>
    <row r="15" spans="1:7" x14ac:dyDescent="0.25">
      <c r="A15" s="8" t="s">
        <v>112</v>
      </c>
      <c r="B15" s="9">
        <f ca="1">[1]!dtmFileDateInfo(CONCATENATE(INDIRECT(A$4),A15))</f>
        <v>0</v>
      </c>
      <c r="C15" s="10" t="b">
        <f t="shared" ca="1" si="0"/>
        <v>1</v>
      </c>
      <c r="D15" s="8" t="s">
        <v>119</v>
      </c>
      <c r="E15" s="9">
        <f ca="1">[1]!dtmFileDateInfo(CONCATENATE(INDIRECT(D$4),D15))</f>
        <v>42175.480381944442</v>
      </c>
      <c r="F15" s="8" t="e">
        <f t="shared" ca="1" si="1"/>
        <v>#N/A</v>
      </c>
      <c r="G15" s="8" t="str">
        <f ca="1">IF(ISNA(C15),CONCATENATE("XCOPYF.CMD ",[1]!QuoteSpaces(CONCATENATE(INDIRECT(A$4),A15)),CHAR(32),[1]!QuoteSpaces(CONCATENATE(DLLServices2,A15))," /f /v"),"")</f>
        <v/>
      </c>
    </row>
    <row r="16" spans="1:7" x14ac:dyDescent="0.25">
      <c r="A16" s="8" t="s">
        <v>110</v>
      </c>
      <c r="B16" s="9">
        <f ca="1">[1]!dtmFileDateInfo(CONCATENATE(INDIRECT(A$4),A16))</f>
        <v>0</v>
      </c>
      <c r="C16" s="10" t="b">
        <f t="shared" ca="1" si="0"/>
        <v>1</v>
      </c>
      <c r="D16" s="8" t="s">
        <v>118</v>
      </c>
      <c r="E16" s="9">
        <f ca="1">[1]!dtmFileDateInfo(CONCATENATE(INDIRECT(D$4),D16))</f>
        <v>42177.030289351853</v>
      </c>
      <c r="F16" s="8" t="e">
        <f t="shared" ca="1" si="1"/>
        <v>#N/A</v>
      </c>
      <c r="G16" s="8" t="str">
        <f ca="1">IF(ISNA(C16),CONCATENATE("XCOPYF.CMD ",[1]!QuoteSpaces(CONCATENATE(INDIRECT(A$4),A16)),CHAR(32),[1]!QuoteSpaces(CONCATENATE(DLLServices2,A16))," /f /v"),"")</f>
        <v/>
      </c>
    </row>
    <row r="17" spans="4:7" x14ac:dyDescent="0.25">
      <c r="D17" s="8" t="s">
        <v>117</v>
      </c>
      <c r="E17" s="9">
        <f ca="1">[1]!dtmFileDateInfo(CONCATENATE(INDIRECT(D$4),D17))</f>
        <v>42248.584467592591</v>
      </c>
      <c r="F17" s="8" t="b">
        <f t="shared" ca="1" si="1"/>
        <v>1</v>
      </c>
      <c r="G17" s="8" t="str">
        <f ca="1">IF(ISNA(C17),CONCATENATE("XCOPYF.CMD ",[1]!QuoteSpaces(CONCATENATE(INDIRECT(A$4),A17)),CHAR(32),[1]!QuoteSpaces(CONCATENATE(DLLServices2,A17))," /f /v"),"")</f>
        <v/>
      </c>
    </row>
    <row r="18" spans="4:7" x14ac:dyDescent="0.25">
      <c r="D18" s="8" t="s">
        <v>116</v>
      </c>
      <c r="E18" s="9">
        <f ca="1">[1]!dtmFileDateInfo(CONCATENATE(INDIRECT(D$4),D18))</f>
        <v>42175.491782407407</v>
      </c>
      <c r="F18" s="8" t="e">
        <f t="shared" ca="1" si="1"/>
        <v>#N/A</v>
      </c>
      <c r="G18" s="8" t="str">
        <f ca="1">IF(ISNA(C18),CONCATENATE("XCOPYF.CMD ",[1]!QuoteSpaces(CONCATENATE(INDIRECT(A$4),A18)),CHAR(32),[1]!QuoteSpaces(CONCATENATE(DLLServices2,A18))," /f /v"),"")</f>
        <v/>
      </c>
    </row>
    <row r="19" spans="4:7" x14ac:dyDescent="0.25">
      <c r="D19" s="8" t="s">
        <v>115</v>
      </c>
      <c r="E19" s="9">
        <f ca="1">[1]!dtmFileDateInfo(CONCATENATE(INDIRECT(D$4),D19))</f>
        <v>42175.072662037041</v>
      </c>
      <c r="F19" s="8" t="e">
        <f t="shared" ca="1" si="1"/>
        <v>#N/A</v>
      </c>
      <c r="G19" s="8" t="str">
        <f ca="1">IF(ISNA(C19),CONCATENATE("XCOPYF.CMD ",[1]!QuoteSpaces(CONCATENATE(INDIRECT(A$4),A19)),CHAR(32),[1]!QuoteSpaces(CONCATENATE(DLLServices2,A19))," /f /v"),"")</f>
        <v/>
      </c>
    </row>
    <row r="20" spans="4:7" x14ac:dyDescent="0.25">
      <c r="D20" s="8" t="s">
        <v>114</v>
      </c>
      <c r="E20" s="9">
        <f ca="1">[1]!dtmFileDateInfo(CONCATENATE(INDIRECT(D$4),D20))</f>
        <v>42246.786481481482</v>
      </c>
      <c r="F20" s="8" t="b">
        <f t="shared" ca="1" si="1"/>
        <v>1</v>
      </c>
      <c r="G20" s="8" t="str">
        <f ca="1">IF(ISNA(C20),CONCATENATE("XCOPYF.CMD ",[1]!QuoteSpaces(CONCATENATE(INDIRECT(A$4),A20)),CHAR(32),[1]!QuoteSpaces(CONCATENATE(DLLServices2,A20))," /f /v"),"")</f>
        <v/>
      </c>
    </row>
    <row r="21" spans="4:7" x14ac:dyDescent="0.25">
      <c r="D21" s="8" t="s">
        <v>113</v>
      </c>
      <c r="E21" s="9">
        <f ca="1">[1]!dtmFileDateInfo(CONCATENATE(INDIRECT(D$4),D21))</f>
        <v>42295.454363425924</v>
      </c>
      <c r="F21" s="8" t="e">
        <f t="shared" ca="1" si="1"/>
        <v>#N/A</v>
      </c>
      <c r="G21" s="8" t="str">
        <f ca="1">IF(ISNA(C21),CONCATENATE("XCOPYF.CMD ",[1]!QuoteSpaces(CONCATENATE(INDIRECT(A$4),A21)),CHAR(32),[1]!QuoteSpaces(CONCATENATE(DLLServices2,A21))," /f /v"),"")</f>
        <v/>
      </c>
    </row>
    <row r="22" spans="4:7" x14ac:dyDescent="0.25">
      <c r="D22" s="8" t="s">
        <v>112</v>
      </c>
      <c r="E22" s="9">
        <f ca="1">[1]!dtmFileDateInfo(CONCATENATE(INDIRECT(D$4),D22))</f>
        <v>42175.508506944447</v>
      </c>
      <c r="F22" s="8" t="b">
        <f t="shared" ca="1" si="1"/>
        <v>1</v>
      </c>
      <c r="G22" s="8" t="str">
        <f ca="1">IF(ISNA(C22),CONCATENATE("XCOPYF.CMD ",[1]!QuoteSpaces(CONCATENATE(INDIRECT(A$4),A22)),CHAR(32),[1]!QuoteSpaces(CONCATENATE(DLLServices2,A22))," /f /v"),"")</f>
        <v/>
      </c>
    </row>
    <row r="23" spans="4:7" x14ac:dyDescent="0.25">
      <c r="D23" s="8" t="s">
        <v>111</v>
      </c>
      <c r="E23" s="9">
        <f ca="1">[1]!dtmFileDateInfo(CONCATENATE(INDIRECT(D$4),D23))</f>
        <v>42175.55877314815</v>
      </c>
      <c r="F23" s="8" t="e">
        <f t="shared" ca="1" si="1"/>
        <v>#N/A</v>
      </c>
      <c r="G23" s="8" t="str">
        <f ca="1">IF(ISNA(C23),CONCATENATE("XCOPYF.CMD ",[1]!QuoteSpaces(CONCATENATE(INDIRECT(A$4),A23)),CHAR(32),[1]!QuoteSpaces(CONCATENATE(DLLServices2,A23))," /f /v"),"")</f>
        <v/>
      </c>
    </row>
    <row r="24" spans="4:7" x14ac:dyDescent="0.25">
      <c r="D24" s="8" t="s">
        <v>110</v>
      </c>
      <c r="E24" s="9">
        <f ca="1">[1]!dtmFileDateInfo(CONCATENATE(INDIRECT(D$4),D24))</f>
        <v>42297.689016203702</v>
      </c>
      <c r="F24" s="8" t="b">
        <f t="shared" ca="1" si="1"/>
        <v>1</v>
      </c>
      <c r="G24" s="8" t="str">
        <f ca="1">IF(ISNA(C24),CONCATENATE("XCOPYF.CMD ",[1]!QuoteSpaces(CONCATENATE(INDIRECT(A$4),A24)),CHAR(32),[1]!QuoteSpaces(CONCATENATE(DLLServices2,A24))," /f /v"),"")</f>
        <v/>
      </c>
    </row>
  </sheetData>
  <mergeCells count="2">
    <mergeCell ref="B1:G1"/>
    <mergeCell ref="B2:G2"/>
  </mergeCells>
  <conditionalFormatting sqref="A6:C6">
    <cfRule type="expression" dxfId="69" priority="4">
      <formula>ISNA($C6)</formula>
    </cfRule>
  </conditionalFormatting>
  <conditionalFormatting sqref="A7:C16">
    <cfRule type="expression" dxfId="68" priority="3">
      <formula>ISNA($C7)</formula>
    </cfRule>
  </conditionalFormatting>
  <conditionalFormatting sqref="D6:F6">
    <cfRule type="expression" dxfId="67" priority="2">
      <formula>ISNA($F6)</formula>
    </cfRule>
  </conditionalFormatting>
  <conditionalFormatting sqref="D7:F24">
    <cfRule type="expression" dxfId="66" priority="1">
      <formula>ISNA($F7)</formula>
    </cfRule>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22"/>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20.125" style="1" bestFit="1" customWidth="1"/>
    <col min="2" max="2" width="81" style="2" customWidth="1"/>
    <col min="3" max="16384" width="9" style="1"/>
  </cols>
  <sheetData>
    <row r="1" spans="1:2" ht="18" x14ac:dyDescent="0.25">
      <c r="A1" s="29" t="s">
        <v>641</v>
      </c>
      <c r="B1" s="29" t="s">
        <v>101</v>
      </c>
    </row>
    <row r="2" spans="1:2" ht="45" x14ac:dyDescent="0.25">
      <c r="A2" s="28">
        <v>42179.917430555557</v>
      </c>
      <c r="B2" s="27" t="s">
        <v>642</v>
      </c>
    </row>
    <row r="3" spans="1:2" ht="30" x14ac:dyDescent="0.25">
      <c r="A3" s="28">
        <v>42179.917430555557</v>
      </c>
      <c r="B3" s="27" t="s">
        <v>643</v>
      </c>
    </row>
    <row r="4" spans="1:2" ht="45" x14ac:dyDescent="0.25">
      <c r="A4" s="28">
        <v>42179.917430555557</v>
      </c>
      <c r="B4" s="27" t="s">
        <v>644</v>
      </c>
    </row>
    <row r="5" spans="1:2" x14ac:dyDescent="0.25">
      <c r="A5" s="28">
        <v>42179.917430555557</v>
      </c>
      <c r="B5" s="27" t="s">
        <v>645</v>
      </c>
    </row>
    <row r="6" spans="1:2" x14ac:dyDescent="0.25">
      <c r="A6" s="28">
        <v>42179.917430555557</v>
      </c>
      <c r="B6" s="27" t="s">
        <v>646</v>
      </c>
    </row>
    <row r="7" spans="1:2" x14ac:dyDescent="0.25">
      <c r="A7" s="28">
        <v>42179.917951388888</v>
      </c>
      <c r="B7" s="27" t="s">
        <v>647</v>
      </c>
    </row>
    <row r="8" spans="1:2" x14ac:dyDescent="0.25">
      <c r="A8" s="28">
        <v>42179.917951388888</v>
      </c>
      <c r="B8" s="27" t="s">
        <v>648</v>
      </c>
    </row>
    <row r="9" spans="1:2" x14ac:dyDescent="0.25">
      <c r="A9" s="28">
        <v>42179.917951388888</v>
      </c>
      <c r="B9" s="27" t="s">
        <v>649</v>
      </c>
    </row>
    <row r="10" spans="1:2" x14ac:dyDescent="0.25">
      <c r="A10" s="28">
        <v>42179.917951388888</v>
      </c>
      <c r="B10" s="27" t="s">
        <v>650</v>
      </c>
    </row>
    <row r="11" spans="1:2" x14ac:dyDescent="0.25">
      <c r="A11" s="28">
        <v>42179.917962962965</v>
      </c>
      <c r="B11" s="27" t="s">
        <v>651</v>
      </c>
    </row>
    <row r="12" spans="1:2" x14ac:dyDescent="0.25">
      <c r="A12" s="28">
        <v>42179.917962962965</v>
      </c>
      <c r="B12" s="27" t="s">
        <v>652</v>
      </c>
    </row>
    <row r="13" spans="1:2" x14ac:dyDescent="0.25">
      <c r="A13" s="28">
        <v>42179.917962962965</v>
      </c>
      <c r="B13" s="27" t="s">
        <v>653</v>
      </c>
    </row>
    <row r="14" spans="1:2" x14ac:dyDescent="0.25">
      <c r="A14" s="28">
        <v>42179.917962962965</v>
      </c>
      <c r="B14" s="27" t="s">
        <v>654</v>
      </c>
    </row>
    <row r="15" spans="1:2" x14ac:dyDescent="0.25">
      <c r="A15" s="28">
        <v>42179.918356481481</v>
      </c>
      <c r="B15" s="27" t="s">
        <v>655</v>
      </c>
    </row>
    <row r="16" spans="1:2" x14ac:dyDescent="0.25">
      <c r="A16" s="28">
        <v>42179.918356481481</v>
      </c>
      <c r="B16" s="27" t="s">
        <v>656</v>
      </c>
    </row>
    <row r="17" spans="1:2" x14ac:dyDescent="0.25">
      <c r="A17" s="28">
        <v>42179.918356481481</v>
      </c>
      <c r="B17" s="27" t="s">
        <v>657</v>
      </c>
    </row>
    <row r="18" spans="1:2" x14ac:dyDescent="0.25">
      <c r="A18" s="28">
        <v>42179.918356481481</v>
      </c>
      <c r="B18" s="27" t="s">
        <v>658</v>
      </c>
    </row>
    <row r="19" spans="1:2" x14ac:dyDescent="0.25">
      <c r="A19" s="28">
        <v>42179.918495370373</v>
      </c>
      <c r="B19" s="27" t="s">
        <v>659</v>
      </c>
    </row>
    <row r="20" spans="1:2" x14ac:dyDescent="0.25">
      <c r="A20" s="28">
        <v>42179.918495370373</v>
      </c>
      <c r="B20" s="27" t="s">
        <v>660</v>
      </c>
    </row>
    <row r="21" spans="1:2" x14ac:dyDescent="0.25">
      <c r="A21" s="28">
        <v>42179.918576388889</v>
      </c>
      <c r="B21" s="27" t="s">
        <v>661</v>
      </c>
    </row>
    <row r="22" spans="1:2" x14ac:dyDescent="0.25">
      <c r="A22" s="28">
        <v>42179.918576388889</v>
      </c>
      <c r="B22" s="27" t="s">
        <v>662</v>
      </c>
    </row>
  </sheetData>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2"/>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5.875" style="1" customWidth="1"/>
    <col min="2" max="2" width="11.875" style="1" bestFit="1" customWidth="1"/>
    <col min="3" max="3" width="9.875" style="1" customWidth="1"/>
    <col min="4" max="4" width="11.875" style="1" customWidth="1"/>
    <col min="5" max="5" width="6.875" style="1" customWidth="1"/>
    <col min="6" max="6" width="20.125" style="1" bestFit="1" customWidth="1"/>
    <col min="7" max="7" width="1.875" style="1" customWidth="1"/>
    <col min="8" max="8" width="4.875" style="1" customWidth="1"/>
    <col min="9" max="9" width="81" style="2" customWidth="1"/>
    <col min="10" max="16384" width="9" style="1"/>
  </cols>
  <sheetData>
    <row r="1" spans="1:9" x14ac:dyDescent="0.25">
      <c r="A1" s="7" t="s">
        <v>109</v>
      </c>
      <c r="B1" s="7" t="s">
        <v>108</v>
      </c>
      <c r="C1" s="7" t="s">
        <v>107</v>
      </c>
      <c r="D1" s="7" t="s">
        <v>106</v>
      </c>
      <c r="E1" s="7" t="s">
        <v>105</v>
      </c>
      <c r="F1" s="7" t="s">
        <v>104</v>
      </c>
      <c r="G1" s="7" t="s">
        <v>103</v>
      </c>
      <c r="H1" s="7" t="s">
        <v>102</v>
      </c>
      <c r="I1" s="6" t="s">
        <v>101</v>
      </c>
    </row>
    <row r="2" spans="1:9" ht="165" x14ac:dyDescent="0.25">
      <c r="A2" s="4">
        <v>45036</v>
      </c>
      <c r="B2" s="4" t="s">
        <v>5</v>
      </c>
      <c r="C2" s="4" t="s">
        <v>29</v>
      </c>
      <c r="D2" s="4" t="s">
        <v>28</v>
      </c>
      <c r="E2" s="4" t="s">
        <v>2</v>
      </c>
      <c r="F2" s="5">
        <v>42198.809525462966</v>
      </c>
      <c r="G2" s="4">
        <v>0</v>
      </c>
      <c r="H2" s="4" t="s">
        <v>1</v>
      </c>
      <c r="I2" s="3" t="s">
        <v>873</v>
      </c>
    </row>
    <row r="3" spans="1:9" ht="165" x14ac:dyDescent="0.25">
      <c r="A3" s="4">
        <v>45035</v>
      </c>
      <c r="B3" s="4" t="s">
        <v>5</v>
      </c>
      <c r="C3" s="4" t="s">
        <v>29</v>
      </c>
      <c r="D3" s="4" t="s">
        <v>28</v>
      </c>
      <c r="E3" s="4" t="s">
        <v>2</v>
      </c>
      <c r="F3" s="5">
        <v>42198.809479166666</v>
      </c>
      <c r="G3" s="4">
        <v>0</v>
      </c>
      <c r="H3" s="4" t="s">
        <v>1</v>
      </c>
      <c r="I3" s="3" t="s">
        <v>873</v>
      </c>
    </row>
    <row r="4" spans="1:9" ht="165" x14ac:dyDescent="0.25">
      <c r="A4" s="4">
        <v>45031</v>
      </c>
      <c r="B4" s="4" t="s">
        <v>5</v>
      </c>
      <c r="C4" s="4" t="s">
        <v>29</v>
      </c>
      <c r="D4" s="4" t="s">
        <v>28</v>
      </c>
      <c r="E4" s="4" t="s">
        <v>2</v>
      </c>
      <c r="F4" s="5">
        <v>42198.806863425925</v>
      </c>
      <c r="G4" s="4">
        <v>0</v>
      </c>
      <c r="H4" s="4" t="s">
        <v>1</v>
      </c>
      <c r="I4" s="3" t="s">
        <v>873</v>
      </c>
    </row>
    <row r="5" spans="1:9" x14ac:dyDescent="0.25">
      <c r="A5" s="4">
        <v>45030</v>
      </c>
      <c r="B5" s="4" t="s">
        <v>5</v>
      </c>
      <c r="C5" s="4" t="s">
        <v>29</v>
      </c>
      <c r="D5" s="4" t="s">
        <v>3</v>
      </c>
      <c r="E5" s="4" t="s">
        <v>2</v>
      </c>
      <c r="F5" s="5">
        <v>42198.80672453704</v>
      </c>
      <c r="G5" s="4">
        <v>0</v>
      </c>
      <c r="H5" s="4" t="s">
        <v>1</v>
      </c>
      <c r="I5" s="3" t="s">
        <v>874</v>
      </c>
    </row>
    <row r="6" spans="1:9" ht="90" x14ac:dyDescent="0.25">
      <c r="A6" s="4">
        <v>45029</v>
      </c>
      <c r="B6" s="4" t="s">
        <v>5</v>
      </c>
      <c r="C6" s="4" t="s">
        <v>29</v>
      </c>
      <c r="D6" s="4" t="s">
        <v>3</v>
      </c>
      <c r="E6" s="4" t="s">
        <v>2</v>
      </c>
      <c r="F6" s="5">
        <v>42198.80672453704</v>
      </c>
      <c r="G6" s="4">
        <v>0</v>
      </c>
      <c r="H6" s="4" t="s">
        <v>1</v>
      </c>
      <c r="I6" s="3" t="s">
        <v>875</v>
      </c>
    </row>
    <row r="7" spans="1:9" x14ac:dyDescent="0.25">
      <c r="A7" s="4">
        <v>45028</v>
      </c>
      <c r="B7" s="4" t="s">
        <v>5</v>
      </c>
      <c r="C7" s="4" t="s">
        <v>29</v>
      </c>
      <c r="D7" s="4" t="s">
        <v>3</v>
      </c>
      <c r="E7" s="4" t="s">
        <v>2</v>
      </c>
      <c r="F7" s="5">
        <v>42198.80672453704</v>
      </c>
      <c r="G7" s="4">
        <v>0</v>
      </c>
      <c r="H7" s="4" t="s">
        <v>1</v>
      </c>
      <c r="I7" s="3" t="s">
        <v>597</v>
      </c>
    </row>
    <row r="8" spans="1:9" x14ac:dyDescent="0.25">
      <c r="A8" s="4">
        <v>45027</v>
      </c>
      <c r="B8" s="4" t="s">
        <v>5</v>
      </c>
      <c r="C8" s="4" t="s">
        <v>29</v>
      </c>
      <c r="D8" s="4" t="s">
        <v>3</v>
      </c>
      <c r="E8" s="4" t="s">
        <v>2</v>
      </c>
      <c r="F8" s="5">
        <v>42198.806712962964</v>
      </c>
      <c r="G8" s="4">
        <v>0</v>
      </c>
      <c r="H8" s="4" t="s">
        <v>1</v>
      </c>
      <c r="I8" s="3" t="s">
        <v>598</v>
      </c>
    </row>
    <row r="9" spans="1:9" ht="90" x14ac:dyDescent="0.25">
      <c r="A9" s="4">
        <v>45026</v>
      </c>
      <c r="B9" s="4" t="s">
        <v>5</v>
      </c>
      <c r="C9" s="4" t="s">
        <v>29</v>
      </c>
      <c r="D9" s="4" t="s">
        <v>3</v>
      </c>
      <c r="E9" s="4" t="s">
        <v>2</v>
      </c>
      <c r="F9" s="5">
        <v>42198.806712962964</v>
      </c>
      <c r="G9" s="4">
        <v>0</v>
      </c>
      <c r="H9" s="4" t="s">
        <v>1</v>
      </c>
      <c r="I9" s="3" t="s">
        <v>876</v>
      </c>
    </row>
    <row r="10" spans="1:9" ht="150" x14ac:dyDescent="0.25">
      <c r="A10" s="4">
        <v>45025</v>
      </c>
      <c r="B10" s="4" t="s">
        <v>5</v>
      </c>
      <c r="C10" s="4" t="s">
        <v>29</v>
      </c>
      <c r="D10" s="4" t="s">
        <v>3</v>
      </c>
      <c r="E10" s="4" t="s">
        <v>2</v>
      </c>
      <c r="F10" s="5">
        <v>42198.806712962964</v>
      </c>
      <c r="G10" s="4">
        <v>0</v>
      </c>
      <c r="H10" s="4" t="s">
        <v>1</v>
      </c>
      <c r="I10" s="3" t="s">
        <v>877</v>
      </c>
    </row>
    <row r="11" spans="1:9" x14ac:dyDescent="0.25">
      <c r="A11" s="4">
        <v>45024</v>
      </c>
      <c r="B11" s="4" t="s">
        <v>5</v>
      </c>
      <c r="C11" s="4" t="s">
        <v>29</v>
      </c>
      <c r="D11" s="4" t="s">
        <v>3</v>
      </c>
      <c r="E11" s="4" t="s">
        <v>2</v>
      </c>
      <c r="F11" s="5">
        <v>42198.806712962964</v>
      </c>
      <c r="G11" s="4">
        <v>0</v>
      </c>
      <c r="H11" s="4" t="s">
        <v>1</v>
      </c>
      <c r="I11" s="3" t="s">
        <v>878</v>
      </c>
    </row>
    <row r="12" spans="1:9" ht="30" x14ac:dyDescent="0.25">
      <c r="A12" s="4">
        <v>45023</v>
      </c>
      <c r="B12" s="4" t="s">
        <v>5</v>
      </c>
      <c r="C12" s="4" t="s">
        <v>29</v>
      </c>
      <c r="D12" s="4" t="s">
        <v>3</v>
      </c>
      <c r="E12" s="4" t="s">
        <v>2</v>
      </c>
      <c r="F12" s="5">
        <v>42198.806712962964</v>
      </c>
      <c r="G12" s="4">
        <v>0</v>
      </c>
      <c r="H12" s="4" t="s">
        <v>1</v>
      </c>
      <c r="I12" s="3" t="s">
        <v>879</v>
      </c>
    </row>
    <row r="13" spans="1:9" x14ac:dyDescent="0.25">
      <c r="A13" s="4">
        <v>45022</v>
      </c>
      <c r="B13" s="4" t="s">
        <v>5</v>
      </c>
      <c r="C13" s="4" t="s">
        <v>29</v>
      </c>
      <c r="D13" s="4" t="s">
        <v>3</v>
      </c>
      <c r="E13" s="4" t="s">
        <v>2</v>
      </c>
      <c r="F13" s="5">
        <v>42198.805844907409</v>
      </c>
      <c r="G13" s="4">
        <v>0</v>
      </c>
      <c r="H13" s="4" t="s">
        <v>1</v>
      </c>
      <c r="I13" s="3" t="s">
        <v>698</v>
      </c>
    </row>
    <row r="14" spans="1:9" ht="90" x14ac:dyDescent="0.25">
      <c r="A14" s="4">
        <v>45021</v>
      </c>
      <c r="B14" s="4" t="s">
        <v>5</v>
      </c>
      <c r="C14" s="4" t="s">
        <v>29</v>
      </c>
      <c r="D14" s="4" t="s">
        <v>3</v>
      </c>
      <c r="E14" s="4" t="s">
        <v>2</v>
      </c>
      <c r="F14" s="5">
        <v>42198.805844907409</v>
      </c>
      <c r="G14" s="4">
        <v>0</v>
      </c>
      <c r="H14" s="4" t="s">
        <v>1</v>
      </c>
      <c r="I14" s="3" t="s">
        <v>674</v>
      </c>
    </row>
    <row r="15" spans="1:9" x14ac:dyDescent="0.25">
      <c r="A15" s="4">
        <v>45020</v>
      </c>
      <c r="B15" s="4" t="s">
        <v>5</v>
      </c>
      <c r="C15" s="4" t="s">
        <v>29</v>
      </c>
      <c r="D15" s="4" t="s">
        <v>3</v>
      </c>
      <c r="E15" s="4" t="s">
        <v>2</v>
      </c>
      <c r="F15" s="5">
        <v>42198.805844907409</v>
      </c>
      <c r="G15" s="4">
        <v>0</v>
      </c>
      <c r="H15" s="4" t="s">
        <v>1</v>
      </c>
      <c r="I15" s="3" t="s">
        <v>597</v>
      </c>
    </row>
    <row r="16" spans="1:9" x14ac:dyDescent="0.25">
      <c r="A16" s="4">
        <v>45019</v>
      </c>
      <c r="B16" s="4" t="s">
        <v>5</v>
      </c>
      <c r="C16" s="4" t="s">
        <v>29</v>
      </c>
      <c r="D16" s="4" t="s">
        <v>3</v>
      </c>
      <c r="E16" s="4" t="s">
        <v>2</v>
      </c>
      <c r="F16" s="5">
        <v>42198.805844907409</v>
      </c>
      <c r="G16" s="4">
        <v>0</v>
      </c>
      <c r="H16" s="4" t="s">
        <v>1</v>
      </c>
      <c r="I16" s="3" t="s">
        <v>598</v>
      </c>
    </row>
    <row r="17" spans="1:9" ht="90" x14ac:dyDescent="0.25">
      <c r="A17" s="4">
        <v>45018</v>
      </c>
      <c r="B17" s="4" t="s">
        <v>5</v>
      </c>
      <c r="C17" s="4" t="s">
        <v>29</v>
      </c>
      <c r="D17" s="4" t="s">
        <v>3</v>
      </c>
      <c r="E17" s="4" t="s">
        <v>2</v>
      </c>
      <c r="F17" s="5">
        <v>42198.805844907409</v>
      </c>
      <c r="G17" s="4">
        <v>0</v>
      </c>
      <c r="H17" s="4" t="s">
        <v>1</v>
      </c>
      <c r="I17" s="3" t="s">
        <v>675</v>
      </c>
    </row>
    <row r="18" spans="1:9" ht="150" x14ac:dyDescent="0.25">
      <c r="A18" s="4">
        <v>45017</v>
      </c>
      <c r="B18" s="4" t="s">
        <v>5</v>
      </c>
      <c r="C18" s="4" t="s">
        <v>29</v>
      </c>
      <c r="D18" s="4" t="s">
        <v>3</v>
      </c>
      <c r="E18" s="4" t="s">
        <v>2</v>
      </c>
      <c r="F18" s="5">
        <v>42198.805844907409</v>
      </c>
      <c r="G18" s="4">
        <v>0</v>
      </c>
      <c r="H18" s="4" t="s">
        <v>1</v>
      </c>
      <c r="I18" s="3" t="s">
        <v>880</v>
      </c>
    </row>
    <row r="19" spans="1:9" x14ac:dyDescent="0.25">
      <c r="A19" s="4">
        <v>45016</v>
      </c>
      <c r="B19" s="4" t="s">
        <v>5</v>
      </c>
      <c r="C19" s="4" t="s">
        <v>29</v>
      </c>
      <c r="D19" s="4" t="s">
        <v>3</v>
      </c>
      <c r="E19" s="4" t="s">
        <v>2</v>
      </c>
      <c r="F19" s="5">
        <v>42198.805844907409</v>
      </c>
      <c r="G19" s="4">
        <v>0</v>
      </c>
      <c r="H19" s="4" t="s">
        <v>1</v>
      </c>
      <c r="I19" s="3" t="s">
        <v>878</v>
      </c>
    </row>
    <row r="20" spans="1:9" ht="30" x14ac:dyDescent="0.25">
      <c r="A20" s="4">
        <v>45015</v>
      </c>
      <c r="B20" s="4" t="s">
        <v>5</v>
      </c>
      <c r="C20" s="4" t="s">
        <v>29</v>
      </c>
      <c r="D20" s="4" t="s">
        <v>3</v>
      </c>
      <c r="E20" s="4" t="s">
        <v>2</v>
      </c>
      <c r="F20" s="5">
        <v>42198.805844907409</v>
      </c>
      <c r="G20" s="4">
        <v>0</v>
      </c>
      <c r="H20" s="4" t="s">
        <v>1</v>
      </c>
      <c r="I20" s="3" t="s">
        <v>881</v>
      </c>
    </row>
    <row r="21" spans="1:9" x14ac:dyDescent="0.25">
      <c r="A21" s="4">
        <v>45014</v>
      </c>
      <c r="B21" s="4" t="s">
        <v>5</v>
      </c>
      <c r="C21" s="4" t="s">
        <v>29</v>
      </c>
      <c r="D21" s="4" t="s">
        <v>3</v>
      </c>
      <c r="E21" s="4" t="s">
        <v>2</v>
      </c>
      <c r="F21" s="5">
        <v>42198.805810185186</v>
      </c>
      <c r="G21" s="4">
        <v>0</v>
      </c>
      <c r="H21" s="4" t="s">
        <v>1</v>
      </c>
      <c r="I21" s="3" t="s">
        <v>698</v>
      </c>
    </row>
    <row r="22" spans="1:9" ht="90" x14ac:dyDescent="0.25">
      <c r="A22" s="4">
        <v>45013</v>
      </c>
      <c r="B22" s="4" t="s">
        <v>5</v>
      </c>
      <c r="C22" s="4" t="s">
        <v>29</v>
      </c>
      <c r="D22" s="4" t="s">
        <v>3</v>
      </c>
      <c r="E22" s="4" t="s">
        <v>2</v>
      </c>
      <c r="F22" s="5">
        <v>42198.805810185186</v>
      </c>
      <c r="G22" s="4">
        <v>0</v>
      </c>
      <c r="H22" s="4" t="s">
        <v>1</v>
      </c>
      <c r="I22" s="3" t="s">
        <v>674</v>
      </c>
    </row>
    <row r="23" spans="1:9" x14ac:dyDescent="0.25">
      <c r="A23" s="4">
        <v>45012</v>
      </c>
      <c r="B23" s="4" t="s">
        <v>5</v>
      </c>
      <c r="C23" s="4" t="s">
        <v>29</v>
      </c>
      <c r="D23" s="4" t="s">
        <v>3</v>
      </c>
      <c r="E23" s="4" t="s">
        <v>2</v>
      </c>
      <c r="F23" s="5">
        <v>42198.805810185186</v>
      </c>
      <c r="G23" s="4">
        <v>0</v>
      </c>
      <c r="H23" s="4" t="s">
        <v>1</v>
      </c>
      <c r="I23" s="3" t="s">
        <v>597</v>
      </c>
    </row>
    <row r="24" spans="1:9" x14ac:dyDescent="0.25">
      <c r="A24" s="4">
        <v>45011</v>
      </c>
      <c r="B24" s="4" t="s">
        <v>5</v>
      </c>
      <c r="C24" s="4" t="s">
        <v>29</v>
      </c>
      <c r="D24" s="4" t="s">
        <v>3</v>
      </c>
      <c r="E24" s="4" t="s">
        <v>2</v>
      </c>
      <c r="F24" s="5">
        <v>42198.805810185186</v>
      </c>
      <c r="G24" s="4">
        <v>0</v>
      </c>
      <c r="H24" s="4" t="s">
        <v>1</v>
      </c>
      <c r="I24" s="3" t="s">
        <v>598</v>
      </c>
    </row>
    <row r="25" spans="1:9" ht="90" x14ac:dyDescent="0.25">
      <c r="A25" s="4">
        <v>45010</v>
      </c>
      <c r="B25" s="4" t="s">
        <v>5</v>
      </c>
      <c r="C25" s="4" t="s">
        <v>29</v>
      </c>
      <c r="D25" s="4" t="s">
        <v>3</v>
      </c>
      <c r="E25" s="4" t="s">
        <v>2</v>
      </c>
      <c r="F25" s="5">
        <v>42198.805810185186</v>
      </c>
      <c r="G25" s="4">
        <v>0</v>
      </c>
      <c r="H25" s="4" t="s">
        <v>1</v>
      </c>
      <c r="I25" s="3" t="s">
        <v>675</v>
      </c>
    </row>
    <row r="26" spans="1:9" ht="150" x14ac:dyDescent="0.25">
      <c r="A26" s="4">
        <v>45009</v>
      </c>
      <c r="B26" s="4" t="s">
        <v>5</v>
      </c>
      <c r="C26" s="4" t="s">
        <v>29</v>
      </c>
      <c r="D26" s="4" t="s">
        <v>3</v>
      </c>
      <c r="E26" s="4" t="s">
        <v>2</v>
      </c>
      <c r="F26" s="5">
        <v>42198.805810185186</v>
      </c>
      <c r="G26" s="4">
        <v>0</v>
      </c>
      <c r="H26" s="4" t="s">
        <v>1</v>
      </c>
      <c r="I26" s="3" t="s">
        <v>880</v>
      </c>
    </row>
    <row r="27" spans="1:9" x14ac:dyDescent="0.25">
      <c r="A27" s="4">
        <v>45008</v>
      </c>
      <c r="B27" s="4" t="s">
        <v>5</v>
      </c>
      <c r="C27" s="4" t="s">
        <v>29</v>
      </c>
      <c r="D27" s="4" t="s">
        <v>3</v>
      </c>
      <c r="E27" s="4" t="s">
        <v>2</v>
      </c>
      <c r="F27" s="5">
        <v>42198.805810185186</v>
      </c>
      <c r="G27" s="4">
        <v>0</v>
      </c>
      <c r="H27" s="4" t="s">
        <v>1</v>
      </c>
      <c r="I27" s="3" t="s">
        <v>878</v>
      </c>
    </row>
    <row r="28" spans="1:9" ht="30" x14ac:dyDescent="0.25">
      <c r="A28" s="4">
        <v>45007</v>
      </c>
      <c r="B28" s="4" t="s">
        <v>5</v>
      </c>
      <c r="C28" s="4" t="s">
        <v>29</v>
      </c>
      <c r="D28" s="4" t="s">
        <v>3</v>
      </c>
      <c r="E28" s="4" t="s">
        <v>2</v>
      </c>
      <c r="F28" s="5">
        <v>42198.805810185186</v>
      </c>
      <c r="G28" s="4">
        <v>0</v>
      </c>
      <c r="H28" s="4" t="s">
        <v>1</v>
      </c>
      <c r="I28" s="3" t="s">
        <v>882</v>
      </c>
    </row>
    <row r="29" spans="1:9" x14ac:dyDescent="0.25">
      <c r="A29" s="4">
        <v>45006</v>
      </c>
      <c r="B29" s="4" t="s">
        <v>5</v>
      </c>
      <c r="C29" s="4" t="s">
        <v>29</v>
      </c>
      <c r="D29" s="4" t="s">
        <v>3</v>
      </c>
      <c r="E29" s="4" t="s">
        <v>2</v>
      </c>
      <c r="F29" s="5">
        <v>42198.804722222223</v>
      </c>
      <c r="G29" s="4">
        <v>0</v>
      </c>
      <c r="H29" s="4" t="s">
        <v>1</v>
      </c>
      <c r="I29" s="3" t="s">
        <v>883</v>
      </c>
    </row>
    <row r="30" spans="1:9" ht="90" x14ac:dyDescent="0.25">
      <c r="A30" s="4">
        <v>45005</v>
      </c>
      <c r="B30" s="4" t="s">
        <v>5</v>
      </c>
      <c r="C30" s="4" t="s">
        <v>29</v>
      </c>
      <c r="D30" s="4" t="s">
        <v>3</v>
      </c>
      <c r="E30" s="4" t="s">
        <v>2</v>
      </c>
      <c r="F30" s="5">
        <v>42198.804722222223</v>
      </c>
      <c r="G30" s="4">
        <v>0</v>
      </c>
      <c r="H30" s="4" t="s">
        <v>1</v>
      </c>
      <c r="I30" s="3" t="s">
        <v>884</v>
      </c>
    </row>
    <row r="31" spans="1:9" x14ac:dyDescent="0.25">
      <c r="A31" s="4">
        <v>45004</v>
      </c>
      <c r="B31" s="4" t="s">
        <v>5</v>
      </c>
      <c r="C31" s="4" t="s">
        <v>29</v>
      </c>
      <c r="D31" s="4" t="s">
        <v>3</v>
      </c>
      <c r="E31" s="4" t="s">
        <v>2</v>
      </c>
      <c r="F31" s="5">
        <v>42198.804722222223</v>
      </c>
      <c r="G31" s="4">
        <v>0</v>
      </c>
      <c r="H31" s="4" t="s">
        <v>1</v>
      </c>
      <c r="I31" s="3" t="s">
        <v>597</v>
      </c>
    </row>
    <row r="32" spans="1:9" x14ac:dyDescent="0.25">
      <c r="A32" s="4">
        <v>45003</v>
      </c>
      <c r="B32" s="4" t="s">
        <v>5</v>
      </c>
      <c r="C32" s="4" t="s">
        <v>29</v>
      </c>
      <c r="D32" s="4" t="s">
        <v>3</v>
      </c>
      <c r="E32" s="4" t="s">
        <v>2</v>
      </c>
      <c r="F32" s="5">
        <v>42198.804699074077</v>
      </c>
      <c r="G32" s="4">
        <v>0</v>
      </c>
      <c r="H32" s="4" t="s">
        <v>1</v>
      </c>
      <c r="I32" s="3" t="s">
        <v>598</v>
      </c>
    </row>
    <row r="33" spans="1:9" ht="90" x14ac:dyDescent="0.25">
      <c r="A33" s="4">
        <v>45002</v>
      </c>
      <c r="B33" s="4" t="s">
        <v>5</v>
      </c>
      <c r="C33" s="4" t="s">
        <v>29</v>
      </c>
      <c r="D33" s="4" t="s">
        <v>3</v>
      </c>
      <c r="E33" s="4" t="s">
        <v>2</v>
      </c>
      <c r="F33" s="5">
        <v>42198.804699074077</v>
      </c>
      <c r="G33" s="4">
        <v>0</v>
      </c>
      <c r="H33" s="4" t="s">
        <v>1</v>
      </c>
      <c r="I33" s="3" t="s">
        <v>885</v>
      </c>
    </row>
    <row r="34" spans="1:9" ht="150" x14ac:dyDescent="0.25">
      <c r="A34" s="4">
        <v>45001</v>
      </c>
      <c r="B34" s="4" t="s">
        <v>5</v>
      </c>
      <c r="C34" s="4" t="s">
        <v>29</v>
      </c>
      <c r="D34" s="4" t="s">
        <v>3</v>
      </c>
      <c r="E34" s="4" t="s">
        <v>2</v>
      </c>
      <c r="F34" s="5">
        <v>42198.804699074077</v>
      </c>
      <c r="G34" s="4">
        <v>0</v>
      </c>
      <c r="H34" s="4" t="s">
        <v>1</v>
      </c>
      <c r="I34" s="3" t="s">
        <v>666</v>
      </c>
    </row>
    <row r="35" spans="1:9" x14ac:dyDescent="0.25">
      <c r="A35" s="4">
        <v>45000</v>
      </c>
      <c r="B35" s="4" t="s">
        <v>5</v>
      </c>
      <c r="C35" s="4" t="s">
        <v>29</v>
      </c>
      <c r="D35" s="4" t="s">
        <v>3</v>
      </c>
      <c r="E35" s="4" t="s">
        <v>2</v>
      </c>
      <c r="F35" s="5">
        <v>42198.804699074077</v>
      </c>
      <c r="G35" s="4">
        <v>0</v>
      </c>
      <c r="H35" s="4" t="s">
        <v>1</v>
      </c>
      <c r="I35" s="3" t="s">
        <v>878</v>
      </c>
    </row>
    <row r="36" spans="1:9" ht="30" x14ac:dyDescent="0.25">
      <c r="A36" s="4">
        <v>44999</v>
      </c>
      <c r="B36" s="4" t="s">
        <v>5</v>
      </c>
      <c r="C36" s="4" t="s">
        <v>29</v>
      </c>
      <c r="D36" s="4" t="s">
        <v>3</v>
      </c>
      <c r="E36" s="4" t="s">
        <v>2</v>
      </c>
      <c r="F36" s="5">
        <v>42198.804699074077</v>
      </c>
      <c r="G36" s="4">
        <v>0</v>
      </c>
      <c r="H36" s="4" t="s">
        <v>1</v>
      </c>
      <c r="I36" s="3" t="s">
        <v>886</v>
      </c>
    </row>
    <row r="37" spans="1:9" x14ac:dyDescent="0.25">
      <c r="A37" s="4">
        <v>44998</v>
      </c>
      <c r="B37" s="4" t="s">
        <v>5</v>
      </c>
      <c r="C37" s="4" t="s">
        <v>29</v>
      </c>
      <c r="D37" s="4" t="s">
        <v>3</v>
      </c>
      <c r="E37" s="4" t="s">
        <v>2</v>
      </c>
      <c r="F37" s="5">
        <v>42198.802847222221</v>
      </c>
      <c r="G37" s="4">
        <v>0</v>
      </c>
      <c r="H37" s="4" t="s">
        <v>1</v>
      </c>
      <c r="I37" s="3" t="s">
        <v>887</v>
      </c>
    </row>
    <row r="38" spans="1:9" x14ac:dyDescent="0.25">
      <c r="A38" s="4">
        <v>44997</v>
      </c>
      <c r="B38" s="4" t="s">
        <v>5</v>
      </c>
      <c r="C38" s="4" t="s">
        <v>29</v>
      </c>
      <c r="D38" s="4" t="s">
        <v>3</v>
      </c>
      <c r="E38" s="4" t="s">
        <v>2</v>
      </c>
      <c r="F38" s="5">
        <v>42198.802847222221</v>
      </c>
      <c r="G38" s="4">
        <v>0</v>
      </c>
      <c r="H38" s="4" t="s">
        <v>1</v>
      </c>
      <c r="I38" s="3" t="s">
        <v>597</v>
      </c>
    </row>
    <row r="39" spans="1:9" x14ac:dyDescent="0.25">
      <c r="A39" s="4">
        <v>44996</v>
      </c>
      <c r="B39" s="4" t="s">
        <v>5</v>
      </c>
      <c r="C39" s="4" t="s">
        <v>29</v>
      </c>
      <c r="D39" s="4" t="s">
        <v>3</v>
      </c>
      <c r="E39" s="4" t="s">
        <v>2</v>
      </c>
      <c r="F39" s="5">
        <v>42198.802662037036</v>
      </c>
      <c r="G39" s="4">
        <v>0</v>
      </c>
      <c r="H39" s="4" t="s">
        <v>1</v>
      </c>
      <c r="I39" s="3" t="s">
        <v>598</v>
      </c>
    </row>
    <row r="40" spans="1:9" ht="150" x14ac:dyDescent="0.25">
      <c r="A40" s="4">
        <v>44995</v>
      </c>
      <c r="B40" s="4" t="s">
        <v>5</v>
      </c>
      <c r="C40" s="4" t="s">
        <v>29</v>
      </c>
      <c r="D40" s="4" t="s">
        <v>3</v>
      </c>
      <c r="E40" s="4" t="s">
        <v>2</v>
      </c>
      <c r="F40" s="5">
        <v>42198.802662037036</v>
      </c>
      <c r="G40" s="4">
        <v>0</v>
      </c>
      <c r="H40" s="4" t="s">
        <v>1</v>
      </c>
      <c r="I40" s="3" t="s">
        <v>680</v>
      </c>
    </row>
    <row r="41" spans="1:9" x14ac:dyDescent="0.25">
      <c r="A41" s="4">
        <v>44994</v>
      </c>
      <c r="B41" s="4" t="s">
        <v>5</v>
      </c>
      <c r="C41" s="4" t="s">
        <v>29</v>
      </c>
      <c r="D41" s="4" t="s">
        <v>3</v>
      </c>
      <c r="E41" s="4" t="s">
        <v>2</v>
      </c>
      <c r="F41" s="5">
        <v>42198.802662037036</v>
      </c>
      <c r="G41" s="4">
        <v>0</v>
      </c>
      <c r="H41" s="4" t="s">
        <v>1</v>
      </c>
      <c r="I41" s="3" t="s">
        <v>878</v>
      </c>
    </row>
    <row r="42" spans="1:9" ht="30" x14ac:dyDescent="0.25">
      <c r="A42" s="4">
        <v>44993</v>
      </c>
      <c r="B42" s="4" t="s">
        <v>5</v>
      </c>
      <c r="C42" s="4" t="s">
        <v>29</v>
      </c>
      <c r="D42" s="4" t="s">
        <v>3</v>
      </c>
      <c r="E42" s="4" t="s">
        <v>2</v>
      </c>
      <c r="F42" s="5">
        <v>42198.802662037036</v>
      </c>
      <c r="G42" s="4">
        <v>0</v>
      </c>
      <c r="H42" s="4" t="s">
        <v>1</v>
      </c>
      <c r="I42" s="3" t="s">
        <v>888</v>
      </c>
    </row>
    <row r="43" spans="1:9" x14ac:dyDescent="0.25">
      <c r="A43" s="4">
        <v>44992</v>
      </c>
      <c r="B43" s="4" t="s">
        <v>5</v>
      </c>
      <c r="C43" s="4" t="s">
        <v>29</v>
      </c>
      <c r="D43" s="4" t="s">
        <v>3</v>
      </c>
      <c r="E43" s="4" t="s">
        <v>2</v>
      </c>
      <c r="F43" s="5">
        <v>42198.801087962966</v>
      </c>
      <c r="G43" s="4">
        <v>0</v>
      </c>
      <c r="H43" s="4" t="s">
        <v>1</v>
      </c>
      <c r="I43" s="3" t="s">
        <v>889</v>
      </c>
    </row>
    <row r="44" spans="1:9" ht="90" x14ac:dyDescent="0.25">
      <c r="A44" s="4">
        <v>44991</v>
      </c>
      <c r="B44" s="4" t="s">
        <v>5</v>
      </c>
      <c r="C44" s="4" t="s">
        <v>29</v>
      </c>
      <c r="D44" s="4" t="s">
        <v>3</v>
      </c>
      <c r="E44" s="4" t="s">
        <v>2</v>
      </c>
      <c r="F44" s="5">
        <v>42198.801087962966</v>
      </c>
      <c r="G44" s="4">
        <v>0</v>
      </c>
      <c r="H44" s="4" t="s">
        <v>1</v>
      </c>
      <c r="I44" s="3" t="s">
        <v>674</v>
      </c>
    </row>
    <row r="45" spans="1:9" x14ac:dyDescent="0.25">
      <c r="A45" s="4">
        <v>44990</v>
      </c>
      <c r="B45" s="4" t="s">
        <v>5</v>
      </c>
      <c r="C45" s="4" t="s">
        <v>29</v>
      </c>
      <c r="D45" s="4" t="s">
        <v>3</v>
      </c>
      <c r="E45" s="4" t="s">
        <v>2</v>
      </c>
      <c r="F45" s="5">
        <v>42198.801087962966</v>
      </c>
      <c r="G45" s="4">
        <v>0</v>
      </c>
      <c r="H45" s="4" t="s">
        <v>1</v>
      </c>
      <c r="I45" s="3" t="s">
        <v>597</v>
      </c>
    </row>
    <row r="46" spans="1:9" x14ac:dyDescent="0.25">
      <c r="A46" s="4">
        <v>44989</v>
      </c>
      <c r="B46" s="4" t="s">
        <v>5</v>
      </c>
      <c r="C46" s="4" t="s">
        <v>29</v>
      </c>
      <c r="D46" s="4" t="s">
        <v>3</v>
      </c>
      <c r="E46" s="4" t="s">
        <v>2</v>
      </c>
      <c r="F46" s="5">
        <v>42198.801006944443</v>
      </c>
      <c r="G46" s="4">
        <v>0</v>
      </c>
      <c r="H46" s="4" t="s">
        <v>1</v>
      </c>
      <c r="I46" s="3" t="s">
        <v>598</v>
      </c>
    </row>
    <row r="47" spans="1:9" ht="90" x14ac:dyDescent="0.25">
      <c r="A47" s="4">
        <v>44988</v>
      </c>
      <c r="B47" s="4" t="s">
        <v>5</v>
      </c>
      <c r="C47" s="4" t="s">
        <v>29</v>
      </c>
      <c r="D47" s="4" t="s">
        <v>3</v>
      </c>
      <c r="E47" s="4" t="s">
        <v>2</v>
      </c>
      <c r="F47" s="5">
        <v>42198.801006944443</v>
      </c>
      <c r="G47" s="4">
        <v>0</v>
      </c>
      <c r="H47" s="4" t="s">
        <v>1</v>
      </c>
      <c r="I47" s="3" t="s">
        <v>675</v>
      </c>
    </row>
    <row r="48" spans="1:9" ht="150" x14ac:dyDescent="0.25">
      <c r="A48" s="4">
        <v>44987</v>
      </c>
      <c r="B48" s="4" t="s">
        <v>5</v>
      </c>
      <c r="C48" s="4" t="s">
        <v>29</v>
      </c>
      <c r="D48" s="4" t="s">
        <v>3</v>
      </c>
      <c r="E48" s="4" t="s">
        <v>2</v>
      </c>
      <c r="F48" s="5">
        <v>42198.801006944443</v>
      </c>
      <c r="G48" s="4">
        <v>0</v>
      </c>
      <c r="H48" s="4" t="s">
        <v>1</v>
      </c>
      <c r="I48" s="3" t="s">
        <v>731</v>
      </c>
    </row>
    <row r="49" spans="1:9" x14ac:dyDescent="0.25">
      <c r="A49" s="4">
        <v>44986</v>
      </c>
      <c r="B49" s="4" t="s">
        <v>5</v>
      </c>
      <c r="C49" s="4" t="s">
        <v>29</v>
      </c>
      <c r="D49" s="4" t="s">
        <v>3</v>
      </c>
      <c r="E49" s="4" t="s">
        <v>2</v>
      </c>
      <c r="F49" s="5">
        <v>42198.800798611112</v>
      </c>
      <c r="G49" s="4">
        <v>0</v>
      </c>
      <c r="H49" s="4" t="s">
        <v>1</v>
      </c>
      <c r="I49" s="3" t="s">
        <v>878</v>
      </c>
    </row>
    <row r="50" spans="1:9" ht="30" x14ac:dyDescent="0.25">
      <c r="A50" s="4">
        <v>44985</v>
      </c>
      <c r="B50" s="4" t="s">
        <v>5</v>
      </c>
      <c r="C50" s="4" t="s">
        <v>29</v>
      </c>
      <c r="D50" s="4" t="s">
        <v>3</v>
      </c>
      <c r="E50" s="4" t="s">
        <v>2</v>
      </c>
      <c r="F50" s="5">
        <v>42198.800798611112</v>
      </c>
      <c r="G50" s="4">
        <v>0</v>
      </c>
      <c r="H50" s="4" t="s">
        <v>1</v>
      </c>
      <c r="I50" s="3" t="s">
        <v>890</v>
      </c>
    </row>
    <row r="51" spans="1:9" x14ac:dyDescent="0.25">
      <c r="A51" s="4">
        <v>44984</v>
      </c>
      <c r="B51" s="4" t="s">
        <v>5</v>
      </c>
      <c r="C51" s="4" t="s">
        <v>29</v>
      </c>
      <c r="D51" s="4" t="s">
        <v>3</v>
      </c>
      <c r="E51" s="4" t="s">
        <v>2</v>
      </c>
      <c r="F51" s="5">
        <v>42198.800173611111</v>
      </c>
      <c r="G51" s="4">
        <v>0</v>
      </c>
      <c r="H51" s="4" t="s">
        <v>1</v>
      </c>
      <c r="I51" s="3" t="s">
        <v>878</v>
      </c>
    </row>
    <row r="52" spans="1:9" ht="30" x14ac:dyDescent="0.25">
      <c r="A52" s="4">
        <v>44983</v>
      </c>
      <c r="B52" s="4" t="s">
        <v>5</v>
      </c>
      <c r="C52" s="4" t="s">
        <v>29</v>
      </c>
      <c r="D52" s="4" t="s">
        <v>3</v>
      </c>
      <c r="E52" s="4" t="s">
        <v>2</v>
      </c>
      <c r="F52" s="5">
        <v>42198.800173611111</v>
      </c>
      <c r="G52" s="4">
        <v>0</v>
      </c>
      <c r="H52" s="4" t="s">
        <v>1</v>
      </c>
      <c r="I52" s="3" t="s">
        <v>891</v>
      </c>
    </row>
    <row r="53" spans="1:9" x14ac:dyDescent="0.25">
      <c r="A53" s="4">
        <v>44982</v>
      </c>
      <c r="B53" s="4" t="s">
        <v>5</v>
      </c>
      <c r="C53" s="4" t="s">
        <v>29</v>
      </c>
      <c r="D53" s="4" t="s">
        <v>3</v>
      </c>
      <c r="E53" s="4" t="s">
        <v>2</v>
      </c>
      <c r="F53" s="5">
        <v>42198.798807870371</v>
      </c>
      <c r="G53" s="4">
        <v>0</v>
      </c>
      <c r="H53" s="4" t="s">
        <v>1</v>
      </c>
      <c r="I53" s="3" t="s">
        <v>878</v>
      </c>
    </row>
    <row r="54" spans="1:9" ht="30" x14ac:dyDescent="0.25">
      <c r="A54" s="4">
        <v>44981</v>
      </c>
      <c r="B54" s="4" t="s">
        <v>5</v>
      </c>
      <c r="C54" s="4" t="s">
        <v>29</v>
      </c>
      <c r="D54" s="4" t="s">
        <v>3</v>
      </c>
      <c r="E54" s="4" t="s">
        <v>2</v>
      </c>
      <c r="F54" s="5">
        <v>42198.798807870371</v>
      </c>
      <c r="G54" s="4">
        <v>0</v>
      </c>
      <c r="H54" s="4" t="s">
        <v>1</v>
      </c>
      <c r="I54" s="3" t="s">
        <v>892</v>
      </c>
    </row>
    <row r="55" spans="1:9" x14ac:dyDescent="0.25">
      <c r="A55" s="4">
        <v>44980</v>
      </c>
      <c r="B55" s="4" t="s">
        <v>5</v>
      </c>
      <c r="C55" s="4" t="s">
        <v>29</v>
      </c>
      <c r="D55" s="4" t="s">
        <v>3</v>
      </c>
      <c r="E55" s="4" t="s">
        <v>2</v>
      </c>
      <c r="F55" s="5">
        <v>42198.798125000001</v>
      </c>
      <c r="G55" s="4">
        <v>0</v>
      </c>
      <c r="H55" s="4" t="s">
        <v>1</v>
      </c>
      <c r="I55" s="3" t="s">
        <v>878</v>
      </c>
    </row>
    <row r="56" spans="1:9" ht="30" x14ac:dyDescent="0.25">
      <c r="A56" s="4">
        <v>44979</v>
      </c>
      <c r="B56" s="4" t="s">
        <v>5</v>
      </c>
      <c r="C56" s="4" t="s">
        <v>29</v>
      </c>
      <c r="D56" s="4" t="s">
        <v>3</v>
      </c>
      <c r="E56" s="4" t="s">
        <v>2</v>
      </c>
      <c r="F56" s="5">
        <v>42198.798125000001</v>
      </c>
      <c r="G56" s="4">
        <v>0</v>
      </c>
      <c r="H56" s="4" t="s">
        <v>1</v>
      </c>
      <c r="I56" s="3" t="s">
        <v>893</v>
      </c>
    </row>
    <row r="57" spans="1:9" x14ac:dyDescent="0.25">
      <c r="A57" s="4">
        <v>44978</v>
      </c>
      <c r="B57" s="4" t="s">
        <v>5</v>
      </c>
      <c r="C57" s="4" t="s">
        <v>29</v>
      </c>
      <c r="D57" s="4" t="s">
        <v>3</v>
      </c>
      <c r="E57" s="4" t="s">
        <v>2</v>
      </c>
      <c r="F57" s="5">
        <v>42198.794328703705</v>
      </c>
      <c r="G57" s="4">
        <v>0</v>
      </c>
      <c r="H57" s="4" t="s">
        <v>1</v>
      </c>
      <c r="I57" s="3" t="s">
        <v>878</v>
      </c>
    </row>
    <row r="58" spans="1:9" ht="30" x14ac:dyDescent="0.25">
      <c r="A58" s="4">
        <v>44977</v>
      </c>
      <c r="B58" s="4" t="s">
        <v>5</v>
      </c>
      <c r="C58" s="4" t="s">
        <v>29</v>
      </c>
      <c r="D58" s="4" t="s">
        <v>3</v>
      </c>
      <c r="E58" s="4" t="s">
        <v>2</v>
      </c>
      <c r="F58" s="5">
        <v>42198.794328703705</v>
      </c>
      <c r="G58" s="4">
        <v>0</v>
      </c>
      <c r="H58" s="4" t="s">
        <v>1</v>
      </c>
      <c r="I58" s="3" t="s">
        <v>894</v>
      </c>
    </row>
    <row r="59" spans="1:9" x14ac:dyDescent="0.25">
      <c r="A59" s="4">
        <v>44976</v>
      </c>
      <c r="B59" s="4" t="s">
        <v>5</v>
      </c>
      <c r="C59" s="4" t="s">
        <v>29</v>
      </c>
      <c r="D59" s="4" t="s">
        <v>3</v>
      </c>
      <c r="E59" s="4" t="s">
        <v>2</v>
      </c>
      <c r="F59" s="5">
        <v>42198.793946759259</v>
      </c>
      <c r="G59" s="4">
        <v>0</v>
      </c>
      <c r="H59" s="4" t="s">
        <v>1</v>
      </c>
      <c r="I59" s="3" t="s">
        <v>878</v>
      </c>
    </row>
    <row r="60" spans="1:9" ht="30" x14ac:dyDescent="0.25">
      <c r="A60" s="4">
        <v>44975</v>
      </c>
      <c r="B60" s="4" t="s">
        <v>5</v>
      </c>
      <c r="C60" s="4" t="s">
        <v>29</v>
      </c>
      <c r="D60" s="4" t="s">
        <v>3</v>
      </c>
      <c r="E60" s="4" t="s">
        <v>2</v>
      </c>
      <c r="F60" s="5">
        <v>42198.793946759259</v>
      </c>
      <c r="G60" s="4">
        <v>0</v>
      </c>
      <c r="H60" s="4" t="s">
        <v>1</v>
      </c>
      <c r="I60" s="3" t="s">
        <v>895</v>
      </c>
    </row>
    <row r="61" spans="1:9" x14ac:dyDescent="0.25">
      <c r="A61" s="4">
        <v>44974</v>
      </c>
      <c r="B61" s="4" t="s">
        <v>5</v>
      </c>
      <c r="C61" s="4" t="s">
        <v>29</v>
      </c>
      <c r="D61" s="4" t="s">
        <v>3</v>
      </c>
      <c r="E61" s="4" t="s">
        <v>2</v>
      </c>
      <c r="F61" s="5">
        <v>42198.791620370372</v>
      </c>
      <c r="G61" s="4">
        <v>0</v>
      </c>
      <c r="H61" s="4" t="s">
        <v>1</v>
      </c>
      <c r="I61" s="3" t="s">
        <v>878</v>
      </c>
    </row>
    <row r="62" spans="1:9" ht="30" x14ac:dyDescent="0.25">
      <c r="A62" s="4">
        <v>44973</v>
      </c>
      <c r="B62" s="4" t="s">
        <v>5</v>
      </c>
      <c r="C62" s="4" t="s">
        <v>29</v>
      </c>
      <c r="D62" s="4" t="s">
        <v>3</v>
      </c>
      <c r="E62" s="4" t="s">
        <v>2</v>
      </c>
      <c r="F62" s="5">
        <v>42198.791620370372</v>
      </c>
      <c r="G62" s="4">
        <v>0</v>
      </c>
      <c r="H62" s="4" t="s">
        <v>1</v>
      </c>
      <c r="I62" s="3" t="s">
        <v>896</v>
      </c>
    </row>
    <row r="63" spans="1:9" x14ac:dyDescent="0.25">
      <c r="A63" s="4">
        <v>44972</v>
      </c>
      <c r="B63" s="4" t="s">
        <v>5</v>
      </c>
      <c r="C63" s="4" t="s">
        <v>29</v>
      </c>
      <c r="D63" s="4" t="s">
        <v>3</v>
      </c>
      <c r="E63" s="4" t="s">
        <v>2</v>
      </c>
      <c r="F63" s="5">
        <v>42198.79146990741</v>
      </c>
      <c r="G63" s="4">
        <v>0</v>
      </c>
      <c r="H63" s="4" t="s">
        <v>1</v>
      </c>
      <c r="I63" s="3" t="s">
        <v>897</v>
      </c>
    </row>
    <row r="64" spans="1:9" ht="90" x14ac:dyDescent="0.25">
      <c r="A64" s="4">
        <v>44971</v>
      </c>
      <c r="B64" s="4" t="s">
        <v>5</v>
      </c>
      <c r="C64" s="4" t="s">
        <v>29</v>
      </c>
      <c r="D64" s="4" t="s">
        <v>3</v>
      </c>
      <c r="E64" s="4" t="s">
        <v>2</v>
      </c>
      <c r="F64" s="5">
        <v>42198.79146990741</v>
      </c>
      <c r="G64" s="4">
        <v>0</v>
      </c>
      <c r="H64" s="4" t="s">
        <v>1</v>
      </c>
      <c r="I64" s="3" t="s">
        <v>674</v>
      </c>
    </row>
    <row r="65" spans="1:9" x14ac:dyDescent="0.25">
      <c r="A65" s="4">
        <v>44970</v>
      </c>
      <c r="B65" s="4" t="s">
        <v>5</v>
      </c>
      <c r="C65" s="4" t="s">
        <v>29</v>
      </c>
      <c r="D65" s="4" t="s">
        <v>3</v>
      </c>
      <c r="E65" s="4" t="s">
        <v>2</v>
      </c>
      <c r="F65" s="5">
        <v>42198.79146990741</v>
      </c>
      <c r="G65" s="4">
        <v>0</v>
      </c>
      <c r="H65" s="4" t="s">
        <v>1</v>
      </c>
      <c r="I65" s="3" t="s">
        <v>597</v>
      </c>
    </row>
    <row r="66" spans="1:9" x14ac:dyDescent="0.25">
      <c r="A66" s="4">
        <v>44969</v>
      </c>
      <c r="B66" s="4" t="s">
        <v>5</v>
      </c>
      <c r="C66" s="4" t="s">
        <v>29</v>
      </c>
      <c r="D66" s="4" t="s">
        <v>3</v>
      </c>
      <c r="E66" s="4" t="s">
        <v>2</v>
      </c>
      <c r="F66" s="5">
        <v>42198.791435185187</v>
      </c>
      <c r="G66" s="4">
        <v>0</v>
      </c>
      <c r="H66" s="4" t="s">
        <v>1</v>
      </c>
      <c r="I66" s="3" t="s">
        <v>598</v>
      </c>
    </row>
    <row r="67" spans="1:9" ht="90" x14ac:dyDescent="0.25">
      <c r="A67" s="4">
        <v>44968</v>
      </c>
      <c r="B67" s="4" t="s">
        <v>5</v>
      </c>
      <c r="C67" s="4" t="s">
        <v>29</v>
      </c>
      <c r="D67" s="4" t="s">
        <v>3</v>
      </c>
      <c r="E67" s="4" t="s">
        <v>2</v>
      </c>
      <c r="F67" s="5">
        <v>42198.791435185187</v>
      </c>
      <c r="G67" s="4">
        <v>0</v>
      </c>
      <c r="H67" s="4" t="s">
        <v>1</v>
      </c>
      <c r="I67" s="3" t="s">
        <v>675</v>
      </c>
    </row>
    <row r="68" spans="1:9" ht="165" x14ac:dyDescent="0.25">
      <c r="A68" s="4">
        <v>44967</v>
      </c>
      <c r="B68" s="4" t="s">
        <v>5</v>
      </c>
      <c r="C68" s="4" t="s">
        <v>29</v>
      </c>
      <c r="D68" s="4" t="s">
        <v>3</v>
      </c>
      <c r="E68" s="4" t="s">
        <v>2</v>
      </c>
      <c r="F68" s="5">
        <v>42198.791435185187</v>
      </c>
      <c r="G68" s="4">
        <v>0</v>
      </c>
      <c r="H68" s="4" t="s">
        <v>1</v>
      </c>
      <c r="I68" s="3" t="s">
        <v>898</v>
      </c>
    </row>
    <row r="69" spans="1:9" x14ac:dyDescent="0.25">
      <c r="A69" s="4">
        <v>44966</v>
      </c>
      <c r="B69" s="4" t="s">
        <v>5</v>
      </c>
      <c r="C69" s="4" t="s">
        <v>29</v>
      </c>
      <c r="D69" s="4" t="s">
        <v>3</v>
      </c>
      <c r="E69" s="4" t="s">
        <v>2</v>
      </c>
      <c r="F69" s="5">
        <v>42198.791377314818</v>
      </c>
      <c r="G69" s="4">
        <v>0</v>
      </c>
      <c r="H69" s="4" t="s">
        <v>1</v>
      </c>
      <c r="I69" s="3" t="s">
        <v>878</v>
      </c>
    </row>
    <row r="70" spans="1:9" ht="30" x14ac:dyDescent="0.25">
      <c r="A70" s="4">
        <v>44965</v>
      </c>
      <c r="B70" s="4" t="s">
        <v>5</v>
      </c>
      <c r="C70" s="4" t="s">
        <v>29</v>
      </c>
      <c r="D70" s="4" t="s">
        <v>3</v>
      </c>
      <c r="E70" s="4" t="s">
        <v>2</v>
      </c>
      <c r="F70" s="5">
        <v>42198.791377314818</v>
      </c>
      <c r="G70" s="4">
        <v>0</v>
      </c>
      <c r="H70" s="4" t="s">
        <v>1</v>
      </c>
      <c r="I70" s="3" t="s">
        <v>899</v>
      </c>
    </row>
    <row r="71" spans="1:9" x14ac:dyDescent="0.25">
      <c r="A71" s="4">
        <v>44964</v>
      </c>
      <c r="B71" s="4" t="s">
        <v>5</v>
      </c>
      <c r="C71" s="4" t="s">
        <v>29</v>
      </c>
      <c r="D71" s="4" t="s">
        <v>3</v>
      </c>
      <c r="E71" s="4" t="s">
        <v>2</v>
      </c>
      <c r="F71" s="5">
        <v>42198.788240740738</v>
      </c>
      <c r="G71" s="4">
        <v>0</v>
      </c>
      <c r="H71" s="4" t="s">
        <v>1</v>
      </c>
      <c r="I71" s="3" t="s">
        <v>900</v>
      </c>
    </row>
    <row r="72" spans="1:9" ht="90" x14ac:dyDescent="0.25">
      <c r="A72" s="4">
        <v>44963</v>
      </c>
      <c r="B72" s="4" t="s">
        <v>5</v>
      </c>
      <c r="C72" s="4" t="s">
        <v>29</v>
      </c>
      <c r="D72" s="4" t="s">
        <v>3</v>
      </c>
      <c r="E72" s="4" t="s">
        <v>2</v>
      </c>
      <c r="F72" s="5">
        <v>42198.788240740738</v>
      </c>
      <c r="G72" s="4">
        <v>0</v>
      </c>
      <c r="H72" s="4" t="s">
        <v>1</v>
      </c>
      <c r="I72" s="3" t="s">
        <v>674</v>
      </c>
    </row>
    <row r="73" spans="1:9" x14ac:dyDescent="0.25">
      <c r="A73" s="4">
        <v>44962</v>
      </c>
      <c r="B73" s="4" t="s">
        <v>5</v>
      </c>
      <c r="C73" s="4" t="s">
        <v>29</v>
      </c>
      <c r="D73" s="4" t="s">
        <v>3</v>
      </c>
      <c r="E73" s="4" t="s">
        <v>2</v>
      </c>
      <c r="F73" s="5">
        <v>42198.788240740738</v>
      </c>
      <c r="G73" s="4">
        <v>0</v>
      </c>
      <c r="H73" s="4" t="s">
        <v>1</v>
      </c>
      <c r="I73" s="3" t="s">
        <v>597</v>
      </c>
    </row>
    <row r="74" spans="1:9" x14ac:dyDescent="0.25">
      <c r="A74" s="4">
        <v>44961</v>
      </c>
      <c r="B74" s="4" t="s">
        <v>5</v>
      </c>
      <c r="C74" s="4" t="s">
        <v>29</v>
      </c>
      <c r="D74" s="4" t="s">
        <v>3</v>
      </c>
      <c r="E74" s="4" t="s">
        <v>2</v>
      </c>
      <c r="F74" s="5">
        <v>42198.788206018522</v>
      </c>
      <c r="G74" s="4">
        <v>0</v>
      </c>
      <c r="H74" s="4" t="s">
        <v>1</v>
      </c>
      <c r="I74" s="3" t="s">
        <v>598</v>
      </c>
    </row>
    <row r="75" spans="1:9" ht="90" x14ac:dyDescent="0.25">
      <c r="A75" s="4">
        <v>44960</v>
      </c>
      <c r="B75" s="4" t="s">
        <v>5</v>
      </c>
      <c r="C75" s="4" t="s">
        <v>29</v>
      </c>
      <c r="D75" s="4" t="s">
        <v>3</v>
      </c>
      <c r="E75" s="4" t="s">
        <v>2</v>
      </c>
      <c r="F75" s="5">
        <v>42198.788206018522</v>
      </c>
      <c r="G75" s="4">
        <v>0</v>
      </c>
      <c r="H75" s="4" t="s">
        <v>1</v>
      </c>
      <c r="I75" s="3" t="s">
        <v>675</v>
      </c>
    </row>
    <row r="76" spans="1:9" ht="165" x14ac:dyDescent="0.25">
      <c r="A76" s="4">
        <v>44959</v>
      </c>
      <c r="B76" s="4" t="s">
        <v>5</v>
      </c>
      <c r="C76" s="4" t="s">
        <v>29</v>
      </c>
      <c r="D76" s="4" t="s">
        <v>3</v>
      </c>
      <c r="E76" s="4" t="s">
        <v>2</v>
      </c>
      <c r="F76" s="5">
        <v>42198.788206018522</v>
      </c>
      <c r="G76" s="4">
        <v>0</v>
      </c>
      <c r="H76" s="4" t="s">
        <v>1</v>
      </c>
      <c r="I76" s="3" t="s">
        <v>898</v>
      </c>
    </row>
    <row r="77" spans="1:9" x14ac:dyDescent="0.25">
      <c r="A77" s="4">
        <v>44958</v>
      </c>
      <c r="B77" s="4" t="s">
        <v>5</v>
      </c>
      <c r="C77" s="4" t="s">
        <v>29</v>
      </c>
      <c r="D77" s="4" t="s">
        <v>3</v>
      </c>
      <c r="E77" s="4" t="s">
        <v>2</v>
      </c>
      <c r="F77" s="5">
        <v>42198.788206018522</v>
      </c>
      <c r="G77" s="4">
        <v>0</v>
      </c>
      <c r="H77" s="4" t="s">
        <v>1</v>
      </c>
      <c r="I77" s="3" t="s">
        <v>878</v>
      </c>
    </row>
    <row r="78" spans="1:9" ht="30" x14ac:dyDescent="0.25">
      <c r="A78" s="4">
        <v>44957</v>
      </c>
      <c r="B78" s="4" t="s">
        <v>5</v>
      </c>
      <c r="C78" s="4" t="s">
        <v>29</v>
      </c>
      <c r="D78" s="4" t="s">
        <v>3</v>
      </c>
      <c r="E78" s="4" t="s">
        <v>2</v>
      </c>
      <c r="F78" s="5">
        <v>42198.788206018522</v>
      </c>
      <c r="G78" s="4">
        <v>0</v>
      </c>
      <c r="H78" s="4" t="s">
        <v>1</v>
      </c>
      <c r="I78" s="3" t="s">
        <v>901</v>
      </c>
    </row>
    <row r="79" spans="1:9" x14ac:dyDescent="0.25">
      <c r="A79" s="4">
        <v>44955</v>
      </c>
      <c r="B79" s="4" t="s">
        <v>5</v>
      </c>
      <c r="C79" s="4" t="s">
        <v>29</v>
      </c>
      <c r="D79" s="4" t="s">
        <v>3</v>
      </c>
      <c r="E79" s="4" t="s">
        <v>2</v>
      </c>
      <c r="F79" s="5">
        <v>42198.72792824074</v>
      </c>
      <c r="G79" s="4">
        <v>0</v>
      </c>
      <c r="H79" s="4" t="s">
        <v>1</v>
      </c>
      <c r="I79" s="3" t="s">
        <v>902</v>
      </c>
    </row>
    <row r="80" spans="1:9" ht="90" x14ac:dyDescent="0.25">
      <c r="A80" s="4">
        <v>44954</v>
      </c>
      <c r="B80" s="4" t="s">
        <v>5</v>
      </c>
      <c r="C80" s="4" t="s">
        <v>29</v>
      </c>
      <c r="D80" s="4" t="s">
        <v>3</v>
      </c>
      <c r="E80" s="4" t="s">
        <v>2</v>
      </c>
      <c r="F80" s="5">
        <v>42198.72792824074</v>
      </c>
      <c r="G80" s="4">
        <v>0</v>
      </c>
      <c r="H80" s="4" t="s">
        <v>1</v>
      </c>
      <c r="I80" s="3" t="s">
        <v>674</v>
      </c>
    </row>
    <row r="81" spans="1:9" x14ac:dyDescent="0.25">
      <c r="A81" s="4">
        <v>44953</v>
      </c>
      <c r="B81" s="4" t="s">
        <v>5</v>
      </c>
      <c r="C81" s="4" t="s">
        <v>29</v>
      </c>
      <c r="D81" s="4" t="s">
        <v>3</v>
      </c>
      <c r="E81" s="4" t="s">
        <v>2</v>
      </c>
      <c r="F81" s="5">
        <v>42198.72792824074</v>
      </c>
      <c r="G81" s="4">
        <v>0</v>
      </c>
      <c r="H81" s="4" t="s">
        <v>1</v>
      </c>
      <c r="I81" s="3" t="s">
        <v>597</v>
      </c>
    </row>
    <row r="82" spans="1:9" x14ac:dyDescent="0.25">
      <c r="A82" s="4">
        <v>44952</v>
      </c>
      <c r="B82" s="4" t="s">
        <v>5</v>
      </c>
      <c r="C82" s="4" t="s">
        <v>29</v>
      </c>
      <c r="D82" s="4" t="s">
        <v>3</v>
      </c>
      <c r="E82" s="4" t="s">
        <v>2</v>
      </c>
      <c r="F82" s="5">
        <v>42198.727881944447</v>
      </c>
      <c r="G82" s="4">
        <v>0</v>
      </c>
      <c r="H82" s="4" t="s">
        <v>1</v>
      </c>
      <c r="I82" s="3" t="s">
        <v>598</v>
      </c>
    </row>
    <row r="83" spans="1:9" ht="90" x14ac:dyDescent="0.25">
      <c r="A83" s="4">
        <v>44951</v>
      </c>
      <c r="B83" s="4" t="s">
        <v>5</v>
      </c>
      <c r="C83" s="4" t="s">
        <v>29</v>
      </c>
      <c r="D83" s="4" t="s">
        <v>3</v>
      </c>
      <c r="E83" s="4" t="s">
        <v>2</v>
      </c>
      <c r="F83" s="5">
        <v>42198.727881944447</v>
      </c>
      <c r="G83" s="4">
        <v>0</v>
      </c>
      <c r="H83" s="4" t="s">
        <v>1</v>
      </c>
      <c r="I83" s="3" t="s">
        <v>675</v>
      </c>
    </row>
    <row r="84" spans="1:9" ht="135" x14ac:dyDescent="0.25">
      <c r="A84" s="4">
        <v>44950</v>
      </c>
      <c r="B84" s="4" t="s">
        <v>5</v>
      </c>
      <c r="C84" s="4" t="s">
        <v>29</v>
      </c>
      <c r="D84" s="4" t="s">
        <v>3</v>
      </c>
      <c r="E84" s="4" t="s">
        <v>2</v>
      </c>
      <c r="F84" s="5">
        <v>42198.727858796294</v>
      </c>
      <c r="G84" s="4">
        <v>0</v>
      </c>
      <c r="H84" s="4" t="s">
        <v>1</v>
      </c>
      <c r="I84" s="3" t="s">
        <v>903</v>
      </c>
    </row>
    <row r="85" spans="1:9" x14ac:dyDescent="0.25">
      <c r="A85" s="4">
        <v>44949</v>
      </c>
      <c r="B85" s="4" t="s">
        <v>5</v>
      </c>
      <c r="C85" s="4" t="s">
        <v>29</v>
      </c>
      <c r="D85" s="4" t="s">
        <v>3</v>
      </c>
      <c r="E85" s="4" t="s">
        <v>2</v>
      </c>
      <c r="F85" s="5">
        <v>42198.727546296293</v>
      </c>
      <c r="G85" s="4">
        <v>0</v>
      </c>
      <c r="H85" s="4" t="s">
        <v>1</v>
      </c>
      <c r="I85" s="3" t="s">
        <v>878</v>
      </c>
    </row>
    <row r="86" spans="1:9" ht="30" x14ac:dyDescent="0.25">
      <c r="A86" s="4">
        <v>44948</v>
      </c>
      <c r="B86" s="4" t="s">
        <v>5</v>
      </c>
      <c r="C86" s="4" t="s">
        <v>29</v>
      </c>
      <c r="D86" s="4" t="s">
        <v>3</v>
      </c>
      <c r="E86" s="4" t="s">
        <v>2</v>
      </c>
      <c r="F86" s="5">
        <v>42198.727546296293</v>
      </c>
      <c r="G86" s="4">
        <v>0</v>
      </c>
      <c r="H86" s="4" t="s">
        <v>1</v>
      </c>
      <c r="I86" s="3" t="s">
        <v>904</v>
      </c>
    </row>
    <row r="87" spans="1:9" x14ac:dyDescent="0.25">
      <c r="A87" s="4">
        <v>44944</v>
      </c>
      <c r="B87" s="4" t="s">
        <v>5</v>
      </c>
      <c r="C87" s="4" t="s">
        <v>29</v>
      </c>
      <c r="D87" s="4" t="s">
        <v>3</v>
      </c>
      <c r="E87" s="4" t="s">
        <v>2</v>
      </c>
      <c r="F87" s="5">
        <v>42198.723668981482</v>
      </c>
      <c r="G87" s="4">
        <v>0</v>
      </c>
      <c r="H87" s="4" t="s">
        <v>1</v>
      </c>
      <c r="I87" s="3" t="s">
        <v>905</v>
      </c>
    </row>
    <row r="88" spans="1:9" ht="90" x14ac:dyDescent="0.25">
      <c r="A88" s="4">
        <v>44943</v>
      </c>
      <c r="B88" s="4" t="s">
        <v>5</v>
      </c>
      <c r="C88" s="4" t="s">
        <v>29</v>
      </c>
      <c r="D88" s="4" t="s">
        <v>3</v>
      </c>
      <c r="E88" s="4" t="s">
        <v>2</v>
      </c>
      <c r="F88" s="5">
        <v>42198.723668981482</v>
      </c>
      <c r="G88" s="4">
        <v>0</v>
      </c>
      <c r="H88" s="4" t="s">
        <v>1</v>
      </c>
      <c r="I88" s="3" t="s">
        <v>674</v>
      </c>
    </row>
    <row r="89" spans="1:9" x14ac:dyDescent="0.25">
      <c r="A89" s="4">
        <v>44942</v>
      </c>
      <c r="B89" s="4" t="s">
        <v>5</v>
      </c>
      <c r="C89" s="4" t="s">
        <v>29</v>
      </c>
      <c r="D89" s="4" t="s">
        <v>3</v>
      </c>
      <c r="E89" s="4" t="s">
        <v>2</v>
      </c>
      <c r="F89" s="5">
        <v>42198.723668981482</v>
      </c>
      <c r="G89" s="4">
        <v>0</v>
      </c>
      <c r="H89" s="4" t="s">
        <v>1</v>
      </c>
      <c r="I89" s="3" t="s">
        <v>597</v>
      </c>
    </row>
    <row r="90" spans="1:9" x14ac:dyDescent="0.25">
      <c r="A90" s="4">
        <v>44941</v>
      </c>
      <c r="B90" s="4" t="s">
        <v>5</v>
      </c>
      <c r="C90" s="4" t="s">
        <v>29</v>
      </c>
      <c r="D90" s="4" t="s">
        <v>3</v>
      </c>
      <c r="E90" s="4" t="s">
        <v>2</v>
      </c>
      <c r="F90" s="5">
        <v>42198.722349537034</v>
      </c>
      <c r="G90" s="4">
        <v>0</v>
      </c>
      <c r="H90" s="4" t="s">
        <v>1</v>
      </c>
      <c r="I90" s="3" t="s">
        <v>598</v>
      </c>
    </row>
    <row r="91" spans="1:9" ht="90" x14ac:dyDescent="0.25">
      <c r="A91" s="4">
        <v>44940</v>
      </c>
      <c r="B91" s="4" t="s">
        <v>5</v>
      </c>
      <c r="C91" s="4" t="s">
        <v>29</v>
      </c>
      <c r="D91" s="4" t="s">
        <v>3</v>
      </c>
      <c r="E91" s="4" t="s">
        <v>2</v>
      </c>
      <c r="F91" s="5">
        <v>42198.722349537034</v>
      </c>
      <c r="G91" s="4">
        <v>0</v>
      </c>
      <c r="H91" s="4" t="s">
        <v>1</v>
      </c>
      <c r="I91" s="3" t="s">
        <v>675</v>
      </c>
    </row>
    <row r="92" spans="1:9" ht="135" x14ac:dyDescent="0.25">
      <c r="A92" s="4">
        <v>44939</v>
      </c>
      <c r="B92" s="4" t="s">
        <v>5</v>
      </c>
      <c r="C92" s="4" t="s">
        <v>29</v>
      </c>
      <c r="D92" s="4" t="s">
        <v>3</v>
      </c>
      <c r="E92" s="4" t="s">
        <v>2</v>
      </c>
      <c r="F92" s="5">
        <v>42198.722349537034</v>
      </c>
      <c r="G92" s="4">
        <v>0</v>
      </c>
      <c r="H92" s="4" t="s">
        <v>1</v>
      </c>
      <c r="I92" s="3" t="s">
        <v>903</v>
      </c>
    </row>
    <row r="93" spans="1:9" x14ac:dyDescent="0.25">
      <c r="A93" s="4">
        <v>44938</v>
      </c>
      <c r="B93" s="4" t="s">
        <v>5</v>
      </c>
      <c r="C93" s="4" t="s">
        <v>29</v>
      </c>
      <c r="D93" s="4" t="s">
        <v>3</v>
      </c>
      <c r="E93" s="4" t="s">
        <v>2</v>
      </c>
      <c r="F93" s="5">
        <v>42198.722349537034</v>
      </c>
      <c r="G93" s="4">
        <v>0</v>
      </c>
      <c r="H93" s="4" t="s">
        <v>1</v>
      </c>
      <c r="I93" s="3" t="s">
        <v>878</v>
      </c>
    </row>
    <row r="94" spans="1:9" ht="30" x14ac:dyDescent="0.25">
      <c r="A94" s="4">
        <v>44937</v>
      </c>
      <c r="B94" s="4" t="s">
        <v>5</v>
      </c>
      <c r="C94" s="4" t="s">
        <v>29</v>
      </c>
      <c r="D94" s="4" t="s">
        <v>3</v>
      </c>
      <c r="E94" s="4" t="s">
        <v>2</v>
      </c>
      <c r="F94" s="5">
        <v>42198.722349537034</v>
      </c>
      <c r="G94" s="4">
        <v>0</v>
      </c>
      <c r="H94" s="4" t="s">
        <v>1</v>
      </c>
      <c r="I94" s="3" t="s">
        <v>906</v>
      </c>
    </row>
    <row r="95" spans="1:9" x14ac:dyDescent="0.25">
      <c r="A95" s="4">
        <v>44936</v>
      </c>
      <c r="B95" s="4" t="s">
        <v>5</v>
      </c>
      <c r="C95" s="4" t="s">
        <v>29</v>
      </c>
      <c r="D95" s="4" t="s">
        <v>3</v>
      </c>
      <c r="E95" s="4" t="s">
        <v>2</v>
      </c>
      <c r="F95" s="5">
        <v>42198.712210648147</v>
      </c>
      <c r="G95" s="4">
        <v>0</v>
      </c>
      <c r="H95" s="4" t="s">
        <v>1</v>
      </c>
      <c r="I95" s="3" t="s">
        <v>907</v>
      </c>
    </row>
    <row r="96" spans="1:9" ht="90" x14ac:dyDescent="0.25">
      <c r="A96" s="4">
        <v>44935</v>
      </c>
      <c r="B96" s="4" t="s">
        <v>5</v>
      </c>
      <c r="C96" s="4" t="s">
        <v>29</v>
      </c>
      <c r="D96" s="4" t="s">
        <v>3</v>
      </c>
      <c r="E96" s="4" t="s">
        <v>2</v>
      </c>
      <c r="F96" s="5">
        <v>42198.712210648147</v>
      </c>
      <c r="G96" s="4">
        <v>0</v>
      </c>
      <c r="H96" s="4" t="s">
        <v>1</v>
      </c>
      <c r="I96" s="3" t="s">
        <v>674</v>
      </c>
    </row>
    <row r="97" spans="1:9" x14ac:dyDescent="0.25">
      <c r="A97" s="4">
        <v>44934</v>
      </c>
      <c r="B97" s="4" t="s">
        <v>5</v>
      </c>
      <c r="C97" s="4" t="s">
        <v>29</v>
      </c>
      <c r="D97" s="4" t="s">
        <v>3</v>
      </c>
      <c r="E97" s="4" t="s">
        <v>2</v>
      </c>
      <c r="F97" s="5">
        <v>42198.712210648147</v>
      </c>
      <c r="G97" s="4">
        <v>0</v>
      </c>
      <c r="H97" s="4" t="s">
        <v>1</v>
      </c>
      <c r="I97" s="3" t="s">
        <v>597</v>
      </c>
    </row>
    <row r="98" spans="1:9" x14ac:dyDescent="0.25">
      <c r="A98" s="4">
        <v>44933</v>
      </c>
      <c r="B98" s="4" t="s">
        <v>5</v>
      </c>
      <c r="C98" s="4" t="s">
        <v>29</v>
      </c>
      <c r="D98" s="4" t="s">
        <v>3</v>
      </c>
      <c r="E98" s="4" t="s">
        <v>2</v>
      </c>
      <c r="F98" s="5">
        <v>42198.712094907409</v>
      </c>
      <c r="G98" s="4">
        <v>0</v>
      </c>
      <c r="H98" s="4" t="s">
        <v>1</v>
      </c>
      <c r="I98" s="3" t="s">
        <v>598</v>
      </c>
    </row>
    <row r="99" spans="1:9" ht="90" x14ac:dyDescent="0.25">
      <c r="A99" s="4">
        <v>44932</v>
      </c>
      <c r="B99" s="4" t="s">
        <v>5</v>
      </c>
      <c r="C99" s="4" t="s">
        <v>29</v>
      </c>
      <c r="D99" s="4" t="s">
        <v>3</v>
      </c>
      <c r="E99" s="4" t="s">
        <v>2</v>
      </c>
      <c r="F99" s="5">
        <v>42198.712094907409</v>
      </c>
      <c r="G99" s="4">
        <v>0</v>
      </c>
      <c r="H99" s="4" t="s">
        <v>1</v>
      </c>
      <c r="I99" s="3" t="s">
        <v>675</v>
      </c>
    </row>
    <row r="100" spans="1:9" ht="135" x14ac:dyDescent="0.25">
      <c r="A100" s="4">
        <v>44931</v>
      </c>
      <c r="B100" s="4" t="s">
        <v>5</v>
      </c>
      <c r="C100" s="4" t="s">
        <v>29</v>
      </c>
      <c r="D100" s="4" t="s">
        <v>3</v>
      </c>
      <c r="E100" s="4" t="s">
        <v>2</v>
      </c>
      <c r="F100" s="5">
        <v>42198.712094907409</v>
      </c>
      <c r="G100" s="4">
        <v>0</v>
      </c>
      <c r="H100" s="4" t="s">
        <v>1</v>
      </c>
      <c r="I100" s="3" t="s">
        <v>903</v>
      </c>
    </row>
    <row r="101" spans="1:9" x14ac:dyDescent="0.25">
      <c r="A101" s="4">
        <v>44930</v>
      </c>
      <c r="B101" s="4" t="s">
        <v>5</v>
      </c>
      <c r="C101" s="4" t="s">
        <v>29</v>
      </c>
      <c r="D101" s="4" t="s">
        <v>3</v>
      </c>
      <c r="E101" s="4" t="s">
        <v>2</v>
      </c>
      <c r="F101" s="5">
        <v>42198.712094907409</v>
      </c>
      <c r="G101" s="4">
        <v>0</v>
      </c>
      <c r="H101" s="4" t="s">
        <v>1</v>
      </c>
      <c r="I101" s="3" t="s">
        <v>878</v>
      </c>
    </row>
    <row r="102" spans="1:9" ht="30" x14ac:dyDescent="0.25">
      <c r="A102" s="4">
        <v>44929</v>
      </c>
      <c r="B102" s="4" t="s">
        <v>5</v>
      </c>
      <c r="C102" s="4" t="s">
        <v>29</v>
      </c>
      <c r="D102" s="4" t="s">
        <v>3</v>
      </c>
      <c r="E102" s="4" t="s">
        <v>2</v>
      </c>
      <c r="F102" s="5">
        <v>42198.712094907409</v>
      </c>
      <c r="G102" s="4">
        <v>0</v>
      </c>
      <c r="H102" s="4" t="s">
        <v>1</v>
      </c>
      <c r="I102" s="3" t="s">
        <v>908</v>
      </c>
    </row>
  </sheetData>
  <conditionalFormatting sqref="A2:I102">
    <cfRule type="expression" dxfId="65" priority="1">
      <formula>$D2="ERROR"</formula>
    </cfRule>
    <cfRule type="expression" dxfId="64" priority="2">
      <formula>$D2="WARNING"</formula>
    </cfRule>
  </conditionalFormatting>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pane xSplit="1" ySplit="1" topLeftCell="B2" activePane="bottomRight" state="frozen"/>
      <selection pane="topRight" activeCell="B1" sqref="B1"/>
      <selection pane="bottomLeft" activeCell="A2" sqref="A2"/>
      <selection pane="bottomRight" sqref="A1:A16"/>
    </sheetView>
  </sheetViews>
  <sheetFormatPr defaultRowHeight="15" x14ac:dyDescent="0.25"/>
  <cols>
    <col min="1" max="1" width="12.75" bestFit="1" customWidth="1"/>
    <col min="2" max="2" width="66.625" bestFit="1" customWidth="1"/>
    <col min="3" max="3" width="83.125" bestFit="1" customWidth="1"/>
    <col min="5" max="5" width="81" bestFit="1" customWidth="1"/>
    <col min="6" max="6" width="77.875" bestFit="1" customWidth="1"/>
  </cols>
  <sheetData>
    <row r="1" spans="1:6" ht="18" x14ac:dyDescent="0.25">
      <c r="A1" s="15" t="s">
        <v>183</v>
      </c>
      <c r="B1" s="15" t="s">
        <v>184</v>
      </c>
      <c r="C1" s="15" t="s">
        <v>185</v>
      </c>
      <c r="D1" s="15"/>
      <c r="E1" s="15" t="s">
        <v>206</v>
      </c>
      <c r="F1" s="15" t="s">
        <v>207</v>
      </c>
    </row>
    <row r="2" spans="1:6" x14ac:dyDescent="0.25">
      <c r="A2" s="16">
        <f>IF(ISNUMBER(A1),A1+1,1)</f>
        <v>1</v>
      </c>
      <c r="B2" s="16"/>
      <c r="C2" s="16"/>
      <c r="E2" s="16"/>
      <c r="F2" s="16"/>
    </row>
    <row r="3" spans="1:6" x14ac:dyDescent="0.25">
      <c r="A3" s="16">
        <f t="shared" ref="A3:A16" si="0">IF(ISNUMBER(A2),A2+1,1)</f>
        <v>2</v>
      </c>
      <c r="B3" s="16" t="s">
        <v>166</v>
      </c>
      <c r="C3" s="16" t="s">
        <v>174</v>
      </c>
      <c r="E3" s="16" t="s">
        <v>189</v>
      </c>
      <c r="F3" s="16" t="s">
        <v>200</v>
      </c>
    </row>
    <row r="4" spans="1:6" x14ac:dyDescent="0.25">
      <c r="A4" s="16">
        <f t="shared" si="0"/>
        <v>3</v>
      </c>
      <c r="B4" s="16"/>
      <c r="C4" s="16"/>
      <c r="E4" s="16"/>
      <c r="F4" s="16"/>
    </row>
    <row r="5" spans="1:6" x14ac:dyDescent="0.25">
      <c r="A5" s="16">
        <f t="shared" si="0"/>
        <v>4</v>
      </c>
      <c r="B5" s="16" t="s">
        <v>167</v>
      </c>
      <c r="C5" s="16" t="s">
        <v>175</v>
      </c>
      <c r="E5" s="16" t="s">
        <v>190</v>
      </c>
      <c r="F5" s="16" t="s">
        <v>201</v>
      </c>
    </row>
    <row r="6" spans="1:6" x14ac:dyDescent="0.25">
      <c r="A6" s="16">
        <f t="shared" si="0"/>
        <v>5</v>
      </c>
      <c r="B6" s="16" t="s">
        <v>168</v>
      </c>
      <c r="C6" s="16" t="s">
        <v>176</v>
      </c>
      <c r="E6" s="16" t="s">
        <v>191</v>
      </c>
      <c r="F6" s="16" t="s">
        <v>202</v>
      </c>
    </row>
    <row r="7" spans="1:6" x14ac:dyDescent="0.25">
      <c r="A7" s="16">
        <f t="shared" si="0"/>
        <v>6</v>
      </c>
      <c r="B7" s="16" t="s">
        <v>169</v>
      </c>
      <c r="C7" s="16" t="s">
        <v>177</v>
      </c>
      <c r="E7" s="16" t="s">
        <v>192</v>
      </c>
      <c r="F7" s="16" t="s">
        <v>203</v>
      </c>
    </row>
    <row r="8" spans="1:6" x14ac:dyDescent="0.25">
      <c r="A8" s="16">
        <f t="shared" si="0"/>
        <v>7</v>
      </c>
      <c r="B8" s="16" t="s">
        <v>170</v>
      </c>
      <c r="C8" s="16" t="s">
        <v>178</v>
      </c>
      <c r="E8" s="16" t="s">
        <v>193</v>
      </c>
      <c r="F8" s="16"/>
    </row>
    <row r="9" spans="1:6" x14ac:dyDescent="0.25">
      <c r="A9" s="16">
        <f t="shared" si="0"/>
        <v>8</v>
      </c>
      <c r="B9" s="16" t="s">
        <v>171</v>
      </c>
      <c r="C9" s="16" t="s">
        <v>179</v>
      </c>
      <c r="E9" s="16" t="s">
        <v>194</v>
      </c>
      <c r="F9" s="16" t="s">
        <v>204</v>
      </c>
    </row>
    <row r="10" spans="1:6" x14ac:dyDescent="0.25">
      <c r="A10" s="16">
        <f t="shared" si="0"/>
        <v>9</v>
      </c>
      <c r="B10" s="16"/>
      <c r="C10" s="16" t="s">
        <v>180</v>
      </c>
      <c r="E10" s="16" t="s">
        <v>195</v>
      </c>
      <c r="F10" s="16"/>
    </row>
    <row r="11" spans="1:6" x14ac:dyDescent="0.25">
      <c r="A11" s="16">
        <f t="shared" si="0"/>
        <v>10</v>
      </c>
      <c r="B11" s="16" t="s">
        <v>172</v>
      </c>
      <c r="C11" s="16" t="s">
        <v>181</v>
      </c>
      <c r="E11" s="16" t="s">
        <v>196</v>
      </c>
      <c r="F11" s="16" t="s">
        <v>205</v>
      </c>
    </row>
    <row r="12" spans="1:6" x14ac:dyDescent="0.25">
      <c r="A12" s="16">
        <f t="shared" si="0"/>
        <v>11</v>
      </c>
      <c r="B12" s="16" t="s">
        <v>173</v>
      </c>
      <c r="C12" s="16"/>
      <c r="E12" s="16"/>
      <c r="F12" s="16" t="s">
        <v>173</v>
      </c>
    </row>
    <row r="13" spans="1:6" x14ac:dyDescent="0.25">
      <c r="A13" s="16">
        <f t="shared" si="0"/>
        <v>12</v>
      </c>
      <c r="B13" s="16"/>
      <c r="C13" s="16"/>
      <c r="E13" s="16" t="s">
        <v>197</v>
      </c>
      <c r="F13" s="16"/>
    </row>
    <row r="14" spans="1:6" x14ac:dyDescent="0.25">
      <c r="A14" s="16">
        <f t="shared" si="0"/>
        <v>13</v>
      </c>
      <c r="B14" s="16"/>
      <c r="C14" s="16" t="s">
        <v>182</v>
      </c>
      <c r="E14" s="16" t="s">
        <v>198</v>
      </c>
      <c r="F14" s="16"/>
    </row>
    <row r="15" spans="1:6" x14ac:dyDescent="0.25">
      <c r="A15" s="16">
        <f t="shared" si="0"/>
        <v>14</v>
      </c>
      <c r="B15" s="16"/>
      <c r="C15" s="16" t="s">
        <v>173</v>
      </c>
      <c r="E15" s="16" t="s">
        <v>199</v>
      </c>
      <c r="F15" s="16"/>
    </row>
    <row r="16" spans="1:6" x14ac:dyDescent="0.25">
      <c r="A16" s="16">
        <f t="shared" si="0"/>
        <v>15</v>
      </c>
      <c r="B16" s="16"/>
      <c r="C16" s="16"/>
      <c r="E16" s="16" t="s">
        <v>173</v>
      </c>
      <c r="F16" s="16"/>
    </row>
    <row r="17" spans="1:6" ht="18" x14ac:dyDescent="0.25">
      <c r="A17" s="15" t="s">
        <v>186</v>
      </c>
      <c r="B17" s="15" t="str">
        <f>B1</f>
        <v>Test 6 Output</v>
      </c>
      <c r="C17" s="16">
        <f>A11</f>
        <v>10</v>
      </c>
      <c r="E17" s="15" t="str">
        <f>E1</f>
        <v>Test 1 Output</v>
      </c>
      <c r="F17" s="16">
        <f>A15</f>
        <v>14</v>
      </c>
    </row>
    <row r="18" spans="1:6" ht="18" x14ac:dyDescent="0.25">
      <c r="A18" s="15"/>
      <c r="B18" s="15" t="str">
        <f>C1</f>
        <v>Test 7 Output</v>
      </c>
      <c r="C18" s="16">
        <f>A14</f>
        <v>13</v>
      </c>
      <c r="E18" s="15" t="str">
        <f>F1</f>
        <v>Test 2 Output</v>
      </c>
      <c r="F18" s="16">
        <f>A11</f>
        <v>10</v>
      </c>
    </row>
    <row r="19" spans="1:6" ht="18" x14ac:dyDescent="0.25">
      <c r="A19" s="15"/>
      <c r="B19" s="15" t="s">
        <v>187</v>
      </c>
      <c r="C19" s="16">
        <v>1</v>
      </c>
      <c r="E19" s="15" t="s">
        <v>187</v>
      </c>
      <c r="F19" s="16">
        <v>1</v>
      </c>
    </row>
    <row r="20" spans="1:6" ht="18" x14ac:dyDescent="0.25">
      <c r="A20" s="15"/>
      <c r="B20" s="15"/>
      <c r="C20" s="16"/>
      <c r="E20" s="15"/>
      <c r="F20" s="16"/>
    </row>
    <row r="21" spans="1:6" ht="18" x14ac:dyDescent="0.25">
      <c r="A21" s="15" t="s">
        <v>188</v>
      </c>
      <c r="B21" s="15"/>
      <c r="C21" s="15">
        <f>SUM(C17:C20)</f>
        <v>24</v>
      </c>
      <c r="E21" s="15"/>
      <c r="F21" s="15">
        <f>SUM(F17:F20)</f>
        <v>25</v>
      </c>
    </row>
  </sheetData>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2" max="2" width="83.125" bestFit="1" customWidth="1"/>
  </cols>
  <sheetData>
    <row r="1" spans="1:2" ht="18" x14ac:dyDescent="0.25">
      <c r="A1" s="15" t="s">
        <v>183</v>
      </c>
      <c r="B1" s="15" t="s">
        <v>231</v>
      </c>
    </row>
    <row r="2" spans="1:2" x14ac:dyDescent="0.25">
      <c r="A2" s="16">
        <f>IF(ISNUMBER(A1),A1+1,1)</f>
        <v>1</v>
      </c>
      <c r="B2" s="16"/>
    </row>
    <row r="3" spans="1:2" x14ac:dyDescent="0.25">
      <c r="A3" s="16">
        <f t="shared" ref="A3:A33" si="0">IF(ISNUMBER(A2),A2+1,1)</f>
        <v>2</v>
      </c>
      <c r="B3" s="16" t="s">
        <v>208</v>
      </c>
    </row>
    <row r="4" spans="1:2" x14ac:dyDescent="0.25">
      <c r="A4" s="16">
        <f t="shared" si="0"/>
        <v>3</v>
      </c>
      <c r="B4" s="16"/>
    </row>
    <row r="5" spans="1:2" x14ac:dyDescent="0.25">
      <c r="A5" s="16">
        <f t="shared" si="0"/>
        <v>4</v>
      </c>
      <c r="B5" s="16" t="s">
        <v>209</v>
      </c>
    </row>
    <row r="6" spans="1:2" x14ac:dyDescent="0.25">
      <c r="A6" s="16">
        <f t="shared" si="0"/>
        <v>5</v>
      </c>
      <c r="B6" s="16"/>
    </row>
    <row r="7" spans="1:2" x14ac:dyDescent="0.25">
      <c r="A7" s="16">
        <f t="shared" si="0"/>
        <v>6</v>
      </c>
      <c r="B7" s="16" t="s">
        <v>210</v>
      </c>
    </row>
    <row r="8" spans="1:2" x14ac:dyDescent="0.25">
      <c r="A8" s="16">
        <f t="shared" si="0"/>
        <v>7</v>
      </c>
      <c r="B8" s="16" t="s">
        <v>211</v>
      </c>
    </row>
    <row r="9" spans="1:2" x14ac:dyDescent="0.25">
      <c r="A9" s="16">
        <f t="shared" si="0"/>
        <v>8</v>
      </c>
      <c r="B9" s="16" t="s">
        <v>212</v>
      </c>
    </row>
    <row r="10" spans="1:2" x14ac:dyDescent="0.25">
      <c r="A10" s="16">
        <f t="shared" si="0"/>
        <v>9</v>
      </c>
      <c r="B10" s="16" t="s">
        <v>213</v>
      </c>
    </row>
    <row r="11" spans="1:2" x14ac:dyDescent="0.25">
      <c r="A11" s="16">
        <f t="shared" si="0"/>
        <v>10</v>
      </c>
      <c r="B11" s="16" t="s">
        <v>214</v>
      </c>
    </row>
    <row r="12" spans="1:2" x14ac:dyDescent="0.25">
      <c r="A12" s="16">
        <f t="shared" si="0"/>
        <v>11</v>
      </c>
      <c r="B12" s="16" t="s">
        <v>213</v>
      </c>
    </row>
    <row r="13" spans="1:2" x14ac:dyDescent="0.25">
      <c r="A13" s="16">
        <f t="shared" si="0"/>
        <v>12</v>
      </c>
      <c r="B13" s="16" t="s">
        <v>215</v>
      </c>
    </row>
    <row r="14" spans="1:2" x14ac:dyDescent="0.25">
      <c r="A14" s="16">
        <f t="shared" si="0"/>
        <v>13</v>
      </c>
      <c r="B14" s="16" t="s">
        <v>216</v>
      </c>
    </row>
    <row r="15" spans="1:2" x14ac:dyDescent="0.25">
      <c r="A15" s="16">
        <f t="shared" si="0"/>
        <v>14</v>
      </c>
      <c r="B15" s="16"/>
    </row>
    <row r="16" spans="1:2" x14ac:dyDescent="0.25">
      <c r="A16" s="16">
        <f t="shared" si="0"/>
        <v>15</v>
      </c>
      <c r="B16" s="16" t="s">
        <v>217</v>
      </c>
    </row>
    <row r="17" spans="1:2" x14ac:dyDescent="0.25">
      <c r="A17" s="16">
        <f t="shared" si="0"/>
        <v>16</v>
      </c>
      <c r="B17" s="16" t="s">
        <v>218</v>
      </c>
    </row>
    <row r="18" spans="1:2" x14ac:dyDescent="0.25">
      <c r="A18" s="16">
        <f t="shared" si="0"/>
        <v>17</v>
      </c>
      <c r="B18" s="16" t="s">
        <v>217</v>
      </c>
    </row>
    <row r="19" spans="1:2" x14ac:dyDescent="0.25">
      <c r="A19" s="16">
        <f t="shared" si="0"/>
        <v>18</v>
      </c>
      <c r="B19" s="16" t="s">
        <v>218</v>
      </c>
    </row>
    <row r="20" spans="1:2" x14ac:dyDescent="0.25">
      <c r="A20" s="16">
        <f t="shared" si="0"/>
        <v>19</v>
      </c>
      <c r="B20" s="16" t="s">
        <v>219</v>
      </c>
    </row>
    <row r="21" spans="1:2" x14ac:dyDescent="0.25">
      <c r="A21" s="16">
        <f t="shared" si="0"/>
        <v>20</v>
      </c>
      <c r="B21" s="16" t="s">
        <v>220</v>
      </c>
    </row>
    <row r="22" spans="1:2" x14ac:dyDescent="0.25">
      <c r="A22" s="16">
        <f t="shared" si="0"/>
        <v>21</v>
      </c>
      <c r="B22" s="16" t="s">
        <v>221</v>
      </c>
    </row>
    <row r="23" spans="1:2" x14ac:dyDescent="0.25">
      <c r="A23" s="16">
        <f t="shared" si="0"/>
        <v>22</v>
      </c>
      <c r="B23" s="16" t="s">
        <v>222</v>
      </c>
    </row>
    <row r="24" spans="1:2" x14ac:dyDescent="0.25">
      <c r="A24" s="16">
        <f t="shared" si="0"/>
        <v>23</v>
      </c>
      <c r="B24" s="16"/>
    </row>
    <row r="25" spans="1:2" x14ac:dyDescent="0.25">
      <c r="A25" s="16">
        <f t="shared" si="0"/>
        <v>24</v>
      </c>
      <c r="B25" s="16" t="s">
        <v>223</v>
      </c>
    </row>
    <row r="26" spans="1:2" x14ac:dyDescent="0.25">
      <c r="A26" s="16">
        <f t="shared" si="0"/>
        <v>25</v>
      </c>
      <c r="B26" s="16" t="s">
        <v>224</v>
      </c>
    </row>
    <row r="27" spans="1:2" x14ac:dyDescent="0.25">
      <c r="A27" s="16">
        <f t="shared" si="0"/>
        <v>26</v>
      </c>
      <c r="B27" s="16" t="s">
        <v>225</v>
      </c>
    </row>
    <row r="28" spans="1:2" x14ac:dyDescent="0.25">
      <c r="A28" s="16">
        <f t="shared" si="0"/>
        <v>27</v>
      </c>
      <c r="B28" s="16" t="s">
        <v>226</v>
      </c>
    </row>
    <row r="29" spans="1:2" x14ac:dyDescent="0.25">
      <c r="A29" s="16">
        <f t="shared" si="0"/>
        <v>28</v>
      </c>
      <c r="B29" s="16" t="s">
        <v>227</v>
      </c>
    </row>
    <row r="30" spans="1:2" x14ac:dyDescent="0.25">
      <c r="A30" s="16">
        <f t="shared" si="0"/>
        <v>29</v>
      </c>
      <c r="B30" s="16" t="s">
        <v>228</v>
      </c>
    </row>
    <row r="31" spans="1:2" x14ac:dyDescent="0.25">
      <c r="A31" s="16">
        <f t="shared" si="0"/>
        <v>30</v>
      </c>
      <c r="B31" s="16" t="s">
        <v>229</v>
      </c>
    </row>
    <row r="32" spans="1:2" x14ac:dyDescent="0.25">
      <c r="A32" s="16">
        <f t="shared" si="0"/>
        <v>31</v>
      </c>
      <c r="B32" s="16" t="s">
        <v>230</v>
      </c>
    </row>
    <row r="33" spans="1:2" x14ac:dyDescent="0.25">
      <c r="A33" s="16">
        <f t="shared" si="0"/>
        <v>32</v>
      </c>
      <c r="B33" s="16" t="s">
        <v>173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3"/>
  <sheetViews>
    <sheetView workbookViewId="0">
      <pane xSplit="1" ySplit="1" topLeftCell="B51" activePane="bottomRight" state="frozen"/>
      <selection pane="topRight" activeCell="B1" sqref="B1"/>
      <selection pane="bottomLeft" activeCell="A2" sqref="A2"/>
      <selection pane="bottomRight" activeCell="D56" sqref="D56"/>
    </sheetView>
  </sheetViews>
  <sheetFormatPr defaultRowHeight="15" x14ac:dyDescent="0.25"/>
  <cols>
    <col min="5" max="5" width="83.125" bestFit="1" customWidth="1"/>
  </cols>
  <sheetData>
    <row r="1" spans="1:5" ht="18" x14ac:dyDescent="0.25">
      <c r="A1" s="15" t="s">
        <v>183</v>
      </c>
      <c r="B1" s="15"/>
      <c r="C1" s="15"/>
      <c r="D1" s="15"/>
      <c r="E1" s="15" t="s">
        <v>231</v>
      </c>
    </row>
    <row r="2" spans="1:5" x14ac:dyDescent="0.25">
      <c r="A2" s="16">
        <f>IF(ISNUMBER(A1),A1+1,1)</f>
        <v>1</v>
      </c>
      <c r="B2" s="16"/>
      <c r="C2" s="16"/>
      <c r="D2" s="16"/>
      <c r="E2" s="16"/>
    </row>
    <row r="3" spans="1:5" x14ac:dyDescent="0.25">
      <c r="A3" s="16">
        <f t="shared" ref="A3:A66" si="0">IF(ISNUMBER(A2),A2+1,1)</f>
        <v>2</v>
      </c>
      <c r="B3" s="16"/>
      <c r="C3" s="16"/>
      <c r="D3" s="16"/>
      <c r="E3" s="16" t="s">
        <v>232</v>
      </c>
    </row>
    <row r="4" spans="1:5" x14ac:dyDescent="0.25">
      <c r="A4" s="16">
        <f t="shared" si="0"/>
        <v>3</v>
      </c>
      <c r="B4" s="16"/>
      <c r="C4" s="16"/>
      <c r="D4" s="16"/>
      <c r="E4" s="16"/>
    </row>
    <row r="5" spans="1:5" x14ac:dyDescent="0.25">
      <c r="A5" s="16">
        <f t="shared" si="0"/>
        <v>4</v>
      </c>
      <c r="B5" s="16"/>
      <c r="C5" s="16"/>
      <c r="D5" s="16"/>
      <c r="E5" s="16" t="s">
        <v>233</v>
      </c>
    </row>
    <row r="6" spans="1:5" x14ac:dyDescent="0.25">
      <c r="A6" s="16">
        <f t="shared" si="0"/>
        <v>5</v>
      </c>
      <c r="B6" s="16"/>
      <c r="C6" s="16"/>
      <c r="D6" s="16"/>
      <c r="E6" s="16" t="s">
        <v>234</v>
      </c>
    </row>
    <row r="7" spans="1:5" x14ac:dyDescent="0.25">
      <c r="A7" s="16">
        <f t="shared" si="0"/>
        <v>6</v>
      </c>
      <c r="B7" s="16"/>
      <c r="C7" s="16"/>
      <c r="D7" s="16"/>
      <c r="E7" s="16" t="s">
        <v>233</v>
      </c>
    </row>
    <row r="8" spans="1:5" x14ac:dyDescent="0.25">
      <c r="A8" s="16">
        <f t="shared" si="0"/>
        <v>7</v>
      </c>
      <c r="B8" s="16"/>
      <c r="C8" s="16"/>
      <c r="D8" s="16"/>
      <c r="E8" s="16" t="s">
        <v>235</v>
      </c>
    </row>
    <row r="9" spans="1:5" x14ac:dyDescent="0.25">
      <c r="A9" s="16">
        <f t="shared" si="0"/>
        <v>8</v>
      </c>
      <c r="B9" s="16"/>
      <c r="C9" s="16"/>
      <c r="D9" s="16"/>
      <c r="E9" s="16" t="s">
        <v>236</v>
      </c>
    </row>
    <row r="10" spans="1:5" x14ac:dyDescent="0.25">
      <c r="A10" s="16">
        <f t="shared" si="0"/>
        <v>9</v>
      </c>
      <c r="B10" s="16"/>
      <c r="C10" s="16"/>
      <c r="D10" s="16"/>
      <c r="E10" s="16" t="s">
        <v>234</v>
      </c>
    </row>
    <row r="11" spans="1:5" x14ac:dyDescent="0.25">
      <c r="A11" s="16">
        <f t="shared" si="0"/>
        <v>10</v>
      </c>
      <c r="B11" s="16"/>
      <c r="C11" s="16"/>
      <c r="D11" s="16"/>
      <c r="E11" s="16" t="s">
        <v>237</v>
      </c>
    </row>
    <row r="12" spans="1:5" x14ac:dyDescent="0.25">
      <c r="A12" s="16">
        <f t="shared" si="0"/>
        <v>11</v>
      </c>
      <c r="B12" s="16"/>
      <c r="C12" s="16"/>
      <c r="D12" s="16"/>
      <c r="E12" s="16" t="s">
        <v>235</v>
      </c>
    </row>
    <row r="13" spans="1:5" x14ac:dyDescent="0.25">
      <c r="A13" s="16">
        <f t="shared" si="0"/>
        <v>12</v>
      </c>
      <c r="B13" s="16"/>
      <c r="C13" s="16"/>
      <c r="D13" s="16"/>
      <c r="E13" s="16"/>
    </row>
    <row r="14" spans="1:5" x14ac:dyDescent="0.25">
      <c r="A14" s="16">
        <f t="shared" si="0"/>
        <v>13</v>
      </c>
      <c r="B14" s="16">
        <v>1</v>
      </c>
      <c r="C14" s="16"/>
      <c r="D14" s="16"/>
      <c r="E14" s="16" t="s">
        <v>238</v>
      </c>
    </row>
    <row r="15" spans="1:5" x14ac:dyDescent="0.25">
      <c r="A15" s="16">
        <f t="shared" si="0"/>
        <v>14</v>
      </c>
      <c r="B15" s="16">
        <f>IF(ISNUMBER(A15),B14+1,"")</f>
        <v>2</v>
      </c>
      <c r="C15" s="16"/>
      <c r="D15" s="16"/>
      <c r="E15" s="16" t="s">
        <v>239</v>
      </c>
    </row>
    <row r="16" spans="1:5" x14ac:dyDescent="0.25">
      <c r="A16" s="16">
        <f t="shared" si="0"/>
        <v>15</v>
      </c>
      <c r="B16" s="16">
        <f t="shared" ref="B16:D79" si="1">IF(ISNUMBER(A16),B15+1,"")</f>
        <v>3</v>
      </c>
      <c r="C16" s="16"/>
      <c r="D16" s="16"/>
      <c r="E16" s="16" t="s">
        <v>240</v>
      </c>
    </row>
    <row r="17" spans="1:5" x14ac:dyDescent="0.25">
      <c r="A17" s="16">
        <f t="shared" si="0"/>
        <v>16</v>
      </c>
      <c r="B17" s="16">
        <f t="shared" si="1"/>
        <v>4</v>
      </c>
      <c r="C17" s="16"/>
      <c r="D17" s="16"/>
      <c r="E17" s="16" t="s">
        <v>241</v>
      </c>
    </row>
    <row r="18" spans="1:5" x14ac:dyDescent="0.25">
      <c r="A18" s="16">
        <f t="shared" si="0"/>
        <v>17</v>
      </c>
      <c r="B18" s="16">
        <f t="shared" si="1"/>
        <v>5</v>
      </c>
      <c r="C18" s="16"/>
      <c r="D18" s="16"/>
      <c r="E18" s="16" t="s">
        <v>242</v>
      </c>
    </row>
    <row r="19" spans="1:5" x14ac:dyDescent="0.25">
      <c r="A19" s="16">
        <f t="shared" si="0"/>
        <v>18</v>
      </c>
      <c r="B19" s="16">
        <f t="shared" si="1"/>
        <v>6</v>
      </c>
      <c r="C19" s="16"/>
      <c r="D19" s="16"/>
      <c r="E19" s="16"/>
    </row>
    <row r="20" spans="1:5" x14ac:dyDescent="0.25">
      <c r="A20" s="16">
        <f t="shared" si="0"/>
        <v>19</v>
      </c>
      <c r="B20" s="16">
        <f t="shared" si="1"/>
        <v>7</v>
      </c>
      <c r="C20" s="16"/>
      <c r="D20" s="16"/>
      <c r="E20" s="16" t="s">
        <v>238</v>
      </c>
    </row>
    <row r="21" spans="1:5" x14ac:dyDescent="0.25">
      <c r="A21" s="16">
        <f t="shared" si="0"/>
        <v>20</v>
      </c>
      <c r="B21" s="16">
        <f t="shared" si="1"/>
        <v>8</v>
      </c>
      <c r="C21" s="16"/>
      <c r="D21" s="16"/>
      <c r="E21" s="16" t="s">
        <v>243</v>
      </c>
    </row>
    <row r="22" spans="1:5" x14ac:dyDescent="0.25">
      <c r="A22" s="16">
        <f t="shared" si="0"/>
        <v>21</v>
      </c>
      <c r="B22" s="16">
        <f t="shared" si="1"/>
        <v>9</v>
      </c>
      <c r="C22" s="16"/>
      <c r="D22" s="16"/>
      <c r="E22" s="16" t="s">
        <v>244</v>
      </c>
    </row>
    <row r="23" spans="1:5" x14ac:dyDescent="0.25">
      <c r="A23" s="16">
        <f t="shared" si="0"/>
        <v>22</v>
      </c>
      <c r="B23" s="16">
        <f t="shared" si="1"/>
        <v>10</v>
      </c>
      <c r="C23" s="16"/>
      <c r="D23" s="16"/>
      <c r="E23" s="16" t="s">
        <v>241</v>
      </c>
    </row>
    <row r="24" spans="1:5" x14ac:dyDescent="0.25">
      <c r="A24" s="16">
        <f t="shared" si="0"/>
        <v>23</v>
      </c>
      <c r="B24" s="16">
        <f t="shared" si="1"/>
        <v>11</v>
      </c>
      <c r="C24" s="16"/>
      <c r="D24" s="16"/>
      <c r="E24" s="16" t="s">
        <v>245</v>
      </c>
    </row>
    <row r="25" spans="1:5" x14ac:dyDescent="0.25">
      <c r="A25" s="16">
        <f t="shared" si="0"/>
        <v>24</v>
      </c>
      <c r="B25" s="16">
        <f t="shared" si="1"/>
        <v>12</v>
      </c>
      <c r="C25" s="16"/>
      <c r="D25" s="16"/>
      <c r="E25" s="16"/>
    </row>
    <row r="26" spans="1:5" x14ac:dyDescent="0.25">
      <c r="A26" s="16">
        <f t="shared" si="0"/>
        <v>25</v>
      </c>
      <c r="B26" s="16">
        <f t="shared" si="1"/>
        <v>13</v>
      </c>
      <c r="C26" s="16"/>
      <c r="D26" s="16"/>
      <c r="E26" s="16" t="s">
        <v>246</v>
      </c>
    </row>
    <row r="27" spans="1:5" x14ac:dyDescent="0.25">
      <c r="A27" s="16">
        <f t="shared" si="0"/>
        <v>26</v>
      </c>
      <c r="B27" s="16">
        <f t="shared" si="1"/>
        <v>14</v>
      </c>
      <c r="C27" s="16"/>
      <c r="D27" s="16"/>
      <c r="E27" s="16" t="s">
        <v>247</v>
      </c>
    </row>
    <row r="28" spans="1:5" x14ac:dyDescent="0.25">
      <c r="A28" s="16">
        <f t="shared" si="0"/>
        <v>27</v>
      </c>
      <c r="B28" s="16">
        <f t="shared" si="1"/>
        <v>15</v>
      </c>
      <c r="C28" s="16"/>
      <c r="D28" s="16"/>
      <c r="E28" s="16" t="s">
        <v>248</v>
      </c>
    </row>
    <row r="29" spans="1:5" x14ac:dyDescent="0.25">
      <c r="A29" s="16">
        <f t="shared" si="0"/>
        <v>28</v>
      </c>
      <c r="B29" s="16">
        <f t="shared" si="1"/>
        <v>16</v>
      </c>
      <c r="C29" s="16"/>
      <c r="D29" s="16"/>
      <c r="E29" s="16" t="s">
        <v>249</v>
      </c>
    </row>
    <row r="30" spans="1:5" x14ac:dyDescent="0.25">
      <c r="A30" s="16">
        <f t="shared" si="0"/>
        <v>29</v>
      </c>
      <c r="B30" s="16">
        <f t="shared" si="1"/>
        <v>17</v>
      </c>
      <c r="C30" s="16"/>
      <c r="D30" s="16"/>
      <c r="E30" s="16" t="s">
        <v>250</v>
      </c>
    </row>
    <row r="31" spans="1:5" x14ac:dyDescent="0.25">
      <c r="A31" s="16">
        <f t="shared" si="0"/>
        <v>30</v>
      </c>
      <c r="B31" s="16">
        <f t="shared" si="1"/>
        <v>18</v>
      </c>
      <c r="C31" s="16"/>
      <c r="D31" s="16"/>
      <c r="E31" s="16" t="s">
        <v>251</v>
      </c>
    </row>
    <row r="32" spans="1:5" x14ac:dyDescent="0.25">
      <c r="A32" s="16">
        <f t="shared" si="0"/>
        <v>31</v>
      </c>
      <c r="B32" s="16">
        <f t="shared" si="1"/>
        <v>19</v>
      </c>
      <c r="C32" s="16"/>
      <c r="D32" s="16"/>
      <c r="E32" s="16"/>
    </row>
    <row r="33" spans="1:5" x14ac:dyDescent="0.25">
      <c r="A33" s="16">
        <f t="shared" si="0"/>
        <v>32</v>
      </c>
      <c r="B33" s="16">
        <f t="shared" si="1"/>
        <v>20</v>
      </c>
      <c r="C33" s="16">
        <v>1</v>
      </c>
      <c r="D33" s="16">
        <v>1</v>
      </c>
      <c r="E33" s="16" t="s">
        <v>252</v>
      </c>
    </row>
    <row r="34" spans="1:5" x14ac:dyDescent="0.25">
      <c r="A34" s="16">
        <f t="shared" si="0"/>
        <v>33</v>
      </c>
      <c r="B34" s="16">
        <f t="shared" si="1"/>
        <v>21</v>
      </c>
      <c r="C34" s="16">
        <f t="shared" si="1"/>
        <v>2</v>
      </c>
      <c r="D34" s="16"/>
      <c r="E34" s="16" t="s">
        <v>253</v>
      </c>
    </row>
    <row r="35" spans="1:5" x14ac:dyDescent="0.25">
      <c r="A35" s="16">
        <f t="shared" si="0"/>
        <v>34</v>
      </c>
      <c r="B35" s="16">
        <f t="shared" si="1"/>
        <v>22</v>
      </c>
      <c r="C35" s="16">
        <f t="shared" si="1"/>
        <v>3</v>
      </c>
      <c r="D35" s="16"/>
      <c r="E35" s="16" t="s">
        <v>254</v>
      </c>
    </row>
    <row r="36" spans="1:5" x14ac:dyDescent="0.25">
      <c r="A36" s="16">
        <f t="shared" si="0"/>
        <v>35</v>
      </c>
      <c r="B36" s="16">
        <f t="shared" si="1"/>
        <v>23</v>
      </c>
      <c r="C36" s="16">
        <f t="shared" si="1"/>
        <v>4</v>
      </c>
      <c r="D36" s="16"/>
      <c r="E36" s="16" t="s">
        <v>255</v>
      </c>
    </row>
    <row r="37" spans="1:5" x14ac:dyDescent="0.25">
      <c r="A37" s="16">
        <f t="shared" si="0"/>
        <v>36</v>
      </c>
      <c r="B37" s="16">
        <f t="shared" si="1"/>
        <v>24</v>
      </c>
      <c r="C37" s="16">
        <f t="shared" si="1"/>
        <v>5</v>
      </c>
      <c r="D37" s="16"/>
      <c r="E37" s="16" t="s">
        <v>256</v>
      </c>
    </row>
    <row r="38" spans="1:5" x14ac:dyDescent="0.25">
      <c r="A38" s="16">
        <f t="shared" si="0"/>
        <v>37</v>
      </c>
      <c r="B38" s="16">
        <f t="shared" si="1"/>
        <v>25</v>
      </c>
      <c r="C38" s="16">
        <f t="shared" si="1"/>
        <v>6</v>
      </c>
      <c r="D38" s="16"/>
      <c r="E38" s="16" t="s">
        <v>257</v>
      </c>
    </row>
    <row r="39" spans="1:5" x14ac:dyDescent="0.25">
      <c r="A39" s="16">
        <f t="shared" si="0"/>
        <v>38</v>
      </c>
      <c r="B39" s="16">
        <f t="shared" si="1"/>
        <v>26</v>
      </c>
      <c r="C39" s="16">
        <f t="shared" si="1"/>
        <v>7</v>
      </c>
      <c r="D39" s="16"/>
      <c r="E39" s="16"/>
    </row>
    <row r="40" spans="1:5" x14ac:dyDescent="0.25">
      <c r="A40" s="16">
        <f t="shared" si="0"/>
        <v>39</v>
      </c>
      <c r="B40" s="16">
        <f t="shared" si="1"/>
        <v>27</v>
      </c>
      <c r="C40" s="16">
        <f t="shared" si="1"/>
        <v>8</v>
      </c>
      <c r="D40" s="16"/>
      <c r="E40" s="16" t="s">
        <v>258</v>
      </c>
    </row>
    <row r="41" spans="1:5" x14ac:dyDescent="0.25">
      <c r="A41" s="16">
        <f t="shared" si="0"/>
        <v>40</v>
      </c>
      <c r="B41" s="16">
        <f t="shared" si="1"/>
        <v>28</v>
      </c>
      <c r="C41" s="16">
        <f t="shared" si="1"/>
        <v>9</v>
      </c>
      <c r="D41" s="16"/>
      <c r="E41" s="16" t="s">
        <v>259</v>
      </c>
    </row>
    <row r="42" spans="1:5" x14ac:dyDescent="0.25">
      <c r="A42" s="16">
        <f t="shared" si="0"/>
        <v>41</v>
      </c>
      <c r="B42" s="16">
        <f t="shared" si="1"/>
        <v>29</v>
      </c>
      <c r="C42" s="16">
        <f t="shared" si="1"/>
        <v>10</v>
      </c>
      <c r="D42" s="16"/>
      <c r="E42" s="16"/>
    </row>
    <row r="43" spans="1:5" x14ac:dyDescent="0.25">
      <c r="A43" s="16">
        <f t="shared" si="0"/>
        <v>42</v>
      </c>
      <c r="B43" s="16">
        <f t="shared" si="1"/>
        <v>30</v>
      </c>
      <c r="C43" s="16">
        <f t="shared" si="1"/>
        <v>11</v>
      </c>
      <c r="D43" s="16">
        <v>2</v>
      </c>
      <c r="E43" s="16" t="s">
        <v>252</v>
      </c>
    </row>
    <row r="44" spans="1:5" x14ac:dyDescent="0.25">
      <c r="A44" s="16">
        <f t="shared" si="0"/>
        <v>43</v>
      </c>
      <c r="B44" s="16">
        <f t="shared" si="1"/>
        <v>31</v>
      </c>
      <c r="C44" s="16">
        <f t="shared" si="1"/>
        <v>12</v>
      </c>
      <c r="D44" s="16"/>
      <c r="E44" s="16" t="s">
        <v>253</v>
      </c>
    </row>
    <row r="45" spans="1:5" x14ac:dyDescent="0.25">
      <c r="A45" s="16">
        <f t="shared" si="0"/>
        <v>44</v>
      </c>
      <c r="B45" s="16">
        <f t="shared" si="1"/>
        <v>32</v>
      </c>
      <c r="C45" s="16">
        <f t="shared" si="1"/>
        <v>13</v>
      </c>
      <c r="D45" s="16"/>
      <c r="E45" s="16" t="s">
        <v>260</v>
      </c>
    </row>
    <row r="46" spans="1:5" x14ac:dyDescent="0.25">
      <c r="A46" s="16">
        <f t="shared" si="0"/>
        <v>45</v>
      </c>
      <c r="B46" s="16">
        <f t="shared" si="1"/>
        <v>33</v>
      </c>
      <c r="C46" s="16">
        <f t="shared" si="1"/>
        <v>14</v>
      </c>
      <c r="D46" s="16"/>
      <c r="E46" s="16" t="s">
        <v>255</v>
      </c>
    </row>
    <row r="47" spans="1:5" x14ac:dyDescent="0.25">
      <c r="A47" s="16">
        <f t="shared" si="0"/>
        <v>46</v>
      </c>
      <c r="B47" s="16">
        <f t="shared" si="1"/>
        <v>34</v>
      </c>
      <c r="C47" s="16">
        <f t="shared" si="1"/>
        <v>15</v>
      </c>
      <c r="D47" s="16"/>
      <c r="E47" s="16" t="s">
        <v>261</v>
      </c>
    </row>
    <row r="48" spans="1:5" x14ac:dyDescent="0.25">
      <c r="A48" s="16">
        <f t="shared" si="0"/>
        <v>47</v>
      </c>
      <c r="B48" s="16">
        <f t="shared" si="1"/>
        <v>35</v>
      </c>
      <c r="C48" s="16">
        <f t="shared" si="1"/>
        <v>16</v>
      </c>
      <c r="D48" s="16"/>
      <c r="E48" s="16"/>
    </row>
    <row r="49" spans="1:5" x14ac:dyDescent="0.25">
      <c r="A49" s="16">
        <f t="shared" si="0"/>
        <v>48</v>
      </c>
      <c r="B49" s="16">
        <f t="shared" si="1"/>
        <v>36</v>
      </c>
      <c r="C49" s="16">
        <f t="shared" si="1"/>
        <v>17</v>
      </c>
      <c r="D49" s="16">
        <v>3</v>
      </c>
      <c r="E49" s="16" t="s">
        <v>252</v>
      </c>
    </row>
    <row r="50" spans="1:5" x14ac:dyDescent="0.25">
      <c r="A50" s="16">
        <f t="shared" si="0"/>
        <v>49</v>
      </c>
      <c r="B50" s="16">
        <f t="shared" si="1"/>
        <v>37</v>
      </c>
      <c r="C50" s="16">
        <f t="shared" si="1"/>
        <v>18</v>
      </c>
      <c r="D50" s="16"/>
      <c r="E50" s="16" t="s">
        <v>253</v>
      </c>
    </row>
    <row r="51" spans="1:5" x14ac:dyDescent="0.25">
      <c r="A51" s="16">
        <f t="shared" si="0"/>
        <v>50</v>
      </c>
      <c r="B51" s="16">
        <f t="shared" si="1"/>
        <v>38</v>
      </c>
      <c r="C51" s="16">
        <f t="shared" si="1"/>
        <v>19</v>
      </c>
      <c r="D51" s="16"/>
      <c r="E51" s="16" t="s">
        <v>262</v>
      </c>
    </row>
    <row r="52" spans="1:5" x14ac:dyDescent="0.25">
      <c r="A52" s="16">
        <f t="shared" si="0"/>
        <v>51</v>
      </c>
      <c r="B52" s="16">
        <f t="shared" si="1"/>
        <v>39</v>
      </c>
      <c r="C52" s="16">
        <f t="shared" si="1"/>
        <v>20</v>
      </c>
      <c r="D52" s="16"/>
      <c r="E52" s="16" t="s">
        <v>255</v>
      </c>
    </row>
    <row r="53" spans="1:5" x14ac:dyDescent="0.25">
      <c r="A53" s="16">
        <f t="shared" si="0"/>
        <v>52</v>
      </c>
      <c r="B53" s="16">
        <f t="shared" si="1"/>
        <v>40</v>
      </c>
      <c r="C53" s="16">
        <f t="shared" si="1"/>
        <v>21</v>
      </c>
      <c r="D53" s="16"/>
      <c r="E53" s="16" t="s">
        <v>261</v>
      </c>
    </row>
    <row r="54" spans="1:5" x14ac:dyDescent="0.25">
      <c r="A54" s="16">
        <f t="shared" si="0"/>
        <v>53</v>
      </c>
      <c r="B54" s="16">
        <f t="shared" si="1"/>
        <v>41</v>
      </c>
      <c r="C54" s="16">
        <f t="shared" si="1"/>
        <v>22</v>
      </c>
      <c r="D54" s="16">
        <v>1</v>
      </c>
      <c r="E54" s="16"/>
    </row>
    <row r="55" spans="1:5" x14ac:dyDescent="0.25">
      <c r="A55" s="16">
        <f t="shared" si="0"/>
        <v>54</v>
      </c>
      <c r="B55" s="16">
        <f t="shared" si="1"/>
        <v>42</v>
      </c>
      <c r="C55" s="16">
        <f t="shared" si="1"/>
        <v>23</v>
      </c>
      <c r="D55" s="16">
        <f t="shared" si="1"/>
        <v>2</v>
      </c>
      <c r="E55" s="16" t="s">
        <v>252</v>
      </c>
    </row>
    <row r="56" spans="1:5" x14ac:dyDescent="0.25">
      <c r="A56" s="16">
        <f t="shared" si="0"/>
        <v>55</v>
      </c>
      <c r="B56" s="16">
        <f t="shared" si="1"/>
        <v>43</v>
      </c>
      <c r="C56" s="16">
        <f t="shared" si="1"/>
        <v>24</v>
      </c>
      <c r="D56" s="16">
        <f t="shared" si="1"/>
        <v>3</v>
      </c>
      <c r="E56" s="16" t="s">
        <v>263</v>
      </c>
    </row>
    <row r="57" spans="1:5" x14ac:dyDescent="0.25">
      <c r="A57" s="16">
        <f t="shared" si="0"/>
        <v>56</v>
      </c>
      <c r="B57" s="16">
        <f t="shared" si="1"/>
        <v>44</v>
      </c>
      <c r="C57" s="16">
        <f t="shared" si="1"/>
        <v>25</v>
      </c>
      <c r="D57" s="16">
        <f t="shared" si="1"/>
        <v>4</v>
      </c>
      <c r="E57" s="16" t="s">
        <v>264</v>
      </c>
    </row>
    <row r="58" spans="1:5" x14ac:dyDescent="0.25">
      <c r="A58" s="16">
        <f t="shared" si="0"/>
        <v>57</v>
      </c>
      <c r="B58" s="16">
        <f t="shared" si="1"/>
        <v>45</v>
      </c>
      <c r="C58" s="16">
        <f t="shared" si="1"/>
        <v>26</v>
      </c>
      <c r="D58" s="16">
        <f t="shared" si="1"/>
        <v>5</v>
      </c>
      <c r="E58" s="16" t="s">
        <v>265</v>
      </c>
    </row>
    <row r="59" spans="1:5" x14ac:dyDescent="0.25">
      <c r="A59" s="16">
        <f t="shared" si="0"/>
        <v>58</v>
      </c>
      <c r="B59" s="16">
        <f t="shared" si="1"/>
        <v>46</v>
      </c>
      <c r="C59" s="16">
        <f t="shared" si="1"/>
        <v>27</v>
      </c>
      <c r="D59" s="16">
        <f t="shared" si="1"/>
        <v>6</v>
      </c>
      <c r="E59" s="16" t="s">
        <v>266</v>
      </c>
    </row>
    <row r="60" spans="1:5" x14ac:dyDescent="0.25">
      <c r="A60" s="16">
        <f t="shared" si="0"/>
        <v>59</v>
      </c>
      <c r="B60" s="16">
        <f t="shared" si="1"/>
        <v>47</v>
      </c>
      <c r="C60" s="16">
        <f t="shared" si="1"/>
        <v>28</v>
      </c>
      <c r="D60" s="16">
        <f t="shared" si="1"/>
        <v>7</v>
      </c>
      <c r="E60" s="16"/>
    </row>
    <row r="61" spans="1:5" x14ac:dyDescent="0.25">
      <c r="A61" s="16">
        <f t="shared" si="0"/>
        <v>60</v>
      </c>
      <c r="B61" s="16">
        <f t="shared" si="1"/>
        <v>48</v>
      </c>
      <c r="C61" s="16">
        <f t="shared" si="1"/>
        <v>29</v>
      </c>
      <c r="D61" s="16">
        <f t="shared" si="1"/>
        <v>8</v>
      </c>
      <c r="E61" s="16" t="s">
        <v>252</v>
      </c>
    </row>
    <row r="62" spans="1:5" x14ac:dyDescent="0.25">
      <c r="A62" s="16">
        <f t="shared" si="0"/>
        <v>61</v>
      </c>
      <c r="B62" s="16">
        <f t="shared" si="1"/>
        <v>49</v>
      </c>
      <c r="C62" s="16">
        <f t="shared" si="1"/>
        <v>30</v>
      </c>
      <c r="D62" s="16">
        <f t="shared" si="1"/>
        <v>9</v>
      </c>
      <c r="E62" s="16" t="s">
        <v>267</v>
      </c>
    </row>
    <row r="63" spans="1:5" x14ac:dyDescent="0.25">
      <c r="A63" s="16">
        <f t="shared" si="0"/>
        <v>62</v>
      </c>
      <c r="B63" s="16">
        <f t="shared" si="1"/>
        <v>50</v>
      </c>
      <c r="C63" s="16">
        <f t="shared" si="1"/>
        <v>31</v>
      </c>
      <c r="D63" s="16">
        <f t="shared" si="1"/>
        <v>10</v>
      </c>
      <c r="E63" s="16" t="s">
        <v>268</v>
      </c>
    </row>
    <row r="64" spans="1:5" x14ac:dyDescent="0.25">
      <c r="A64" s="16">
        <f t="shared" si="0"/>
        <v>63</v>
      </c>
      <c r="B64" s="16">
        <f t="shared" si="1"/>
        <v>51</v>
      </c>
      <c r="C64" s="16">
        <f t="shared" si="1"/>
        <v>32</v>
      </c>
      <c r="D64" s="16">
        <f t="shared" si="1"/>
        <v>11</v>
      </c>
      <c r="E64" s="16" t="s">
        <v>269</v>
      </c>
    </row>
    <row r="65" spans="1:5" x14ac:dyDescent="0.25">
      <c r="A65" s="16">
        <f t="shared" si="0"/>
        <v>64</v>
      </c>
      <c r="B65" s="16">
        <f t="shared" si="1"/>
        <v>52</v>
      </c>
      <c r="C65" s="16">
        <f t="shared" si="1"/>
        <v>33</v>
      </c>
      <c r="D65" s="16">
        <f t="shared" si="1"/>
        <v>12</v>
      </c>
      <c r="E65" s="16" t="s">
        <v>270</v>
      </c>
    </row>
    <row r="66" spans="1:5" x14ac:dyDescent="0.25">
      <c r="A66" s="16">
        <f t="shared" si="0"/>
        <v>65</v>
      </c>
      <c r="B66" s="16">
        <f t="shared" si="1"/>
        <v>53</v>
      </c>
      <c r="C66" s="16">
        <f t="shared" si="1"/>
        <v>34</v>
      </c>
      <c r="D66" s="16">
        <f t="shared" si="1"/>
        <v>13</v>
      </c>
      <c r="E66" s="16" t="s">
        <v>271</v>
      </c>
    </row>
    <row r="67" spans="1:5" x14ac:dyDescent="0.25">
      <c r="A67" s="16">
        <f t="shared" ref="A67:A130" si="2">IF(ISNUMBER(A66),A66+1,1)</f>
        <v>66</v>
      </c>
      <c r="B67" s="16">
        <f t="shared" si="1"/>
        <v>54</v>
      </c>
      <c r="C67" s="16">
        <f t="shared" si="1"/>
        <v>35</v>
      </c>
      <c r="D67" s="16">
        <f t="shared" si="1"/>
        <v>14</v>
      </c>
      <c r="E67" s="16"/>
    </row>
    <row r="68" spans="1:5" x14ac:dyDescent="0.25">
      <c r="A68" s="16">
        <f t="shared" si="2"/>
        <v>67</v>
      </c>
      <c r="B68" s="16">
        <f t="shared" si="1"/>
        <v>55</v>
      </c>
      <c r="C68" s="16">
        <f t="shared" si="1"/>
        <v>36</v>
      </c>
      <c r="D68" s="16">
        <f t="shared" si="1"/>
        <v>15</v>
      </c>
      <c r="E68" s="16" t="s">
        <v>272</v>
      </c>
    </row>
    <row r="69" spans="1:5" x14ac:dyDescent="0.25">
      <c r="A69" s="16">
        <f t="shared" si="2"/>
        <v>68</v>
      </c>
      <c r="B69" s="16">
        <f t="shared" si="1"/>
        <v>56</v>
      </c>
      <c r="C69" s="16">
        <f t="shared" si="1"/>
        <v>37</v>
      </c>
      <c r="D69" s="16">
        <f t="shared" si="1"/>
        <v>16</v>
      </c>
      <c r="E69" s="16"/>
    </row>
    <row r="70" spans="1:5" x14ac:dyDescent="0.25">
      <c r="A70" s="16">
        <f t="shared" si="2"/>
        <v>69</v>
      </c>
      <c r="B70" s="16">
        <f t="shared" si="1"/>
        <v>57</v>
      </c>
      <c r="C70" s="16">
        <f t="shared" si="1"/>
        <v>38</v>
      </c>
      <c r="D70" s="16">
        <f t="shared" si="1"/>
        <v>17</v>
      </c>
      <c r="E70" s="16" t="s">
        <v>273</v>
      </c>
    </row>
    <row r="71" spans="1:5" x14ac:dyDescent="0.25">
      <c r="A71" s="16">
        <f t="shared" si="2"/>
        <v>70</v>
      </c>
      <c r="B71" s="16">
        <f t="shared" si="1"/>
        <v>58</v>
      </c>
      <c r="C71" s="16">
        <f t="shared" si="1"/>
        <v>39</v>
      </c>
      <c r="D71" s="16">
        <f t="shared" si="1"/>
        <v>18</v>
      </c>
      <c r="E71" s="16" t="s">
        <v>274</v>
      </c>
    </row>
    <row r="72" spans="1:5" x14ac:dyDescent="0.25">
      <c r="A72" s="16">
        <f t="shared" si="2"/>
        <v>71</v>
      </c>
      <c r="B72" s="16">
        <f t="shared" si="1"/>
        <v>59</v>
      </c>
      <c r="C72" s="16">
        <f t="shared" si="1"/>
        <v>40</v>
      </c>
      <c r="D72" s="16">
        <f t="shared" si="1"/>
        <v>19</v>
      </c>
      <c r="E72" s="16"/>
    </row>
    <row r="73" spans="1:5" x14ac:dyDescent="0.25">
      <c r="A73" s="16">
        <f t="shared" si="2"/>
        <v>72</v>
      </c>
      <c r="B73" s="16">
        <f t="shared" si="1"/>
        <v>60</v>
      </c>
      <c r="C73" s="16">
        <f t="shared" si="1"/>
        <v>41</v>
      </c>
      <c r="D73" s="16">
        <f t="shared" si="1"/>
        <v>20</v>
      </c>
      <c r="E73" s="16" t="s">
        <v>275</v>
      </c>
    </row>
    <row r="74" spans="1:5" x14ac:dyDescent="0.25">
      <c r="A74" s="16">
        <f t="shared" si="2"/>
        <v>73</v>
      </c>
      <c r="B74" s="16">
        <f t="shared" si="1"/>
        <v>61</v>
      </c>
      <c r="C74" s="16">
        <f t="shared" si="1"/>
        <v>42</v>
      </c>
      <c r="D74" s="16">
        <f t="shared" si="1"/>
        <v>21</v>
      </c>
      <c r="E74" s="16"/>
    </row>
    <row r="75" spans="1:5" x14ac:dyDescent="0.25">
      <c r="A75" s="16">
        <f t="shared" si="2"/>
        <v>74</v>
      </c>
      <c r="B75" s="16">
        <f t="shared" si="1"/>
        <v>62</v>
      </c>
      <c r="C75" s="16">
        <f t="shared" si="1"/>
        <v>43</v>
      </c>
      <c r="D75" s="16">
        <f t="shared" si="1"/>
        <v>22</v>
      </c>
      <c r="E75" s="16"/>
    </row>
    <row r="76" spans="1:5" x14ac:dyDescent="0.25">
      <c r="A76" s="16">
        <f t="shared" si="2"/>
        <v>75</v>
      </c>
      <c r="B76" s="16">
        <f t="shared" si="1"/>
        <v>63</v>
      </c>
      <c r="C76" s="16">
        <f t="shared" si="1"/>
        <v>44</v>
      </c>
      <c r="D76" s="16">
        <f t="shared" si="1"/>
        <v>23</v>
      </c>
      <c r="E76" s="16" t="s">
        <v>276</v>
      </c>
    </row>
    <row r="77" spans="1:5" x14ac:dyDescent="0.25">
      <c r="A77" s="16">
        <f t="shared" si="2"/>
        <v>76</v>
      </c>
      <c r="B77" s="16">
        <f t="shared" si="1"/>
        <v>64</v>
      </c>
      <c r="C77" s="16">
        <f t="shared" si="1"/>
        <v>45</v>
      </c>
      <c r="D77" s="16">
        <f t="shared" si="1"/>
        <v>24</v>
      </c>
      <c r="E77" s="16"/>
    </row>
    <row r="78" spans="1:5" x14ac:dyDescent="0.25">
      <c r="A78" s="16">
        <f t="shared" si="2"/>
        <v>77</v>
      </c>
      <c r="B78" s="16">
        <f t="shared" si="1"/>
        <v>65</v>
      </c>
      <c r="C78" s="16">
        <f t="shared" si="1"/>
        <v>46</v>
      </c>
      <c r="D78" s="16">
        <f t="shared" si="1"/>
        <v>25</v>
      </c>
      <c r="E78" s="16" t="s">
        <v>277</v>
      </c>
    </row>
    <row r="79" spans="1:5" x14ac:dyDescent="0.25">
      <c r="A79" s="16">
        <f t="shared" si="2"/>
        <v>78</v>
      </c>
      <c r="B79" s="16">
        <f t="shared" si="1"/>
        <v>66</v>
      </c>
      <c r="C79" s="16">
        <f t="shared" si="1"/>
        <v>47</v>
      </c>
      <c r="D79" s="16">
        <f t="shared" si="1"/>
        <v>26</v>
      </c>
      <c r="E79" s="16" t="s">
        <v>278</v>
      </c>
    </row>
    <row r="80" spans="1:5" x14ac:dyDescent="0.25">
      <c r="A80" s="16">
        <f t="shared" si="2"/>
        <v>79</v>
      </c>
      <c r="B80" s="16">
        <f t="shared" ref="B80:D143" si="3">IF(ISNUMBER(A80),B79+1,"")</f>
        <v>67</v>
      </c>
      <c r="C80" s="16">
        <f t="shared" si="3"/>
        <v>48</v>
      </c>
      <c r="D80" s="16">
        <f t="shared" si="3"/>
        <v>27</v>
      </c>
      <c r="E80" s="16"/>
    </row>
    <row r="81" spans="1:5" x14ac:dyDescent="0.25">
      <c r="A81" s="16">
        <f t="shared" si="2"/>
        <v>80</v>
      </c>
      <c r="B81" s="16">
        <f t="shared" si="3"/>
        <v>68</v>
      </c>
      <c r="C81" s="16">
        <f t="shared" si="3"/>
        <v>49</v>
      </c>
      <c r="D81" s="16">
        <f t="shared" si="3"/>
        <v>28</v>
      </c>
      <c r="E81" s="16" t="s">
        <v>279</v>
      </c>
    </row>
    <row r="82" spans="1:5" x14ac:dyDescent="0.25">
      <c r="A82" s="16">
        <f t="shared" si="2"/>
        <v>81</v>
      </c>
      <c r="B82" s="16">
        <f t="shared" si="3"/>
        <v>69</v>
      </c>
      <c r="C82" s="16">
        <f t="shared" si="3"/>
        <v>50</v>
      </c>
      <c r="D82" s="16">
        <f t="shared" si="3"/>
        <v>29</v>
      </c>
      <c r="E82" s="16" t="s">
        <v>280</v>
      </c>
    </row>
    <row r="83" spans="1:5" x14ac:dyDescent="0.25">
      <c r="A83" s="16">
        <f t="shared" si="2"/>
        <v>82</v>
      </c>
      <c r="B83" s="16">
        <f t="shared" si="3"/>
        <v>70</v>
      </c>
      <c r="C83" s="16">
        <f t="shared" si="3"/>
        <v>51</v>
      </c>
      <c r="D83" s="16">
        <f t="shared" si="3"/>
        <v>30</v>
      </c>
      <c r="E83" s="16" t="s">
        <v>281</v>
      </c>
    </row>
    <row r="84" spans="1:5" x14ac:dyDescent="0.25">
      <c r="A84" s="16">
        <f t="shared" si="2"/>
        <v>83</v>
      </c>
      <c r="B84" s="16">
        <f t="shared" si="3"/>
        <v>71</v>
      </c>
      <c r="C84" s="16">
        <f t="shared" si="3"/>
        <v>52</v>
      </c>
      <c r="D84" s="16">
        <f t="shared" si="3"/>
        <v>31</v>
      </c>
      <c r="E84" s="16" t="s">
        <v>282</v>
      </c>
    </row>
    <row r="85" spans="1:5" x14ac:dyDescent="0.25">
      <c r="A85" s="16">
        <f t="shared" si="2"/>
        <v>84</v>
      </c>
      <c r="B85" s="16">
        <f t="shared" si="3"/>
        <v>72</v>
      </c>
      <c r="C85" s="16">
        <f t="shared" si="3"/>
        <v>53</v>
      </c>
      <c r="D85" s="16">
        <f t="shared" si="3"/>
        <v>32</v>
      </c>
      <c r="E85" s="16" t="s">
        <v>283</v>
      </c>
    </row>
    <row r="86" spans="1:5" x14ac:dyDescent="0.25">
      <c r="A86" s="16">
        <f t="shared" si="2"/>
        <v>85</v>
      </c>
      <c r="B86" s="16">
        <f t="shared" si="3"/>
        <v>73</v>
      </c>
      <c r="C86" s="16">
        <f t="shared" si="3"/>
        <v>54</v>
      </c>
      <c r="D86" s="16">
        <f t="shared" si="3"/>
        <v>33</v>
      </c>
      <c r="E86" s="16" t="s">
        <v>284</v>
      </c>
    </row>
    <row r="87" spans="1:5" x14ac:dyDescent="0.25">
      <c r="A87" s="16">
        <f t="shared" si="2"/>
        <v>86</v>
      </c>
      <c r="B87" s="16">
        <f t="shared" si="3"/>
        <v>74</v>
      </c>
      <c r="C87" s="16">
        <f t="shared" si="3"/>
        <v>55</v>
      </c>
      <c r="D87" s="16">
        <f t="shared" si="3"/>
        <v>34</v>
      </c>
      <c r="E87" s="16" t="s">
        <v>285</v>
      </c>
    </row>
    <row r="88" spans="1:5" x14ac:dyDescent="0.25">
      <c r="A88" s="16">
        <f t="shared" si="2"/>
        <v>87</v>
      </c>
      <c r="B88" s="16">
        <f t="shared" si="3"/>
        <v>75</v>
      </c>
      <c r="C88" s="16">
        <f t="shared" si="3"/>
        <v>56</v>
      </c>
      <c r="D88" s="16">
        <f t="shared" si="3"/>
        <v>35</v>
      </c>
      <c r="E88" s="16" t="s">
        <v>286</v>
      </c>
    </row>
    <row r="89" spans="1:5" x14ac:dyDescent="0.25">
      <c r="A89" s="16">
        <f t="shared" si="2"/>
        <v>88</v>
      </c>
      <c r="B89" s="16">
        <f t="shared" si="3"/>
        <v>76</v>
      </c>
      <c r="C89" s="16">
        <f t="shared" si="3"/>
        <v>57</v>
      </c>
      <c r="D89" s="16">
        <f t="shared" si="3"/>
        <v>36</v>
      </c>
      <c r="E89" s="16" t="s">
        <v>287</v>
      </c>
    </row>
    <row r="90" spans="1:5" x14ac:dyDescent="0.25">
      <c r="A90" s="16">
        <f t="shared" si="2"/>
        <v>89</v>
      </c>
      <c r="B90" s="16">
        <f t="shared" si="3"/>
        <v>77</v>
      </c>
      <c r="C90" s="16">
        <f t="shared" si="3"/>
        <v>58</v>
      </c>
      <c r="D90" s="16">
        <f t="shared" si="3"/>
        <v>37</v>
      </c>
      <c r="E90" s="16" t="s">
        <v>288</v>
      </c>
    </row>
    <row r="91" spans="1:5" x14ac:dyDescent="0.25">
      <c r="A91" s="16">
        <f t="shared" si="2"/>
        <v>90</v>
      </c>
      <c r="B91" s="16">
        <f t="shared" si="3"/>
        <v>78</v>
      </c>
      <c r="C91" s="16">
        <f t="shared" si="3"/>
        <v>59</v>
      </c>
      <c r="D91" s="16">
        <f t="shared" si="3"/>
        <v>38</v>
      </c>
      <c r="E91" s="16" t="s">
        <v>289</v>
      </c>
    </row>
    <row r="92" spans="1:5" x14ac:dyDescent="0.25">
      <c r="A92" s="16">
        <f t="shared" si="2"/>
        <v>91</v>
      </c>
      <c r="B92" s="16">
        <f t="shared" si="3"/>
        <v>79</v>
      </c>
      <c r="C92" s="16">
        <f t="shared" si="3"/>
        <v>60</v>
      </c>
      <c r="D92" s="16">
        <f t="shared" si="3"/>
        <v>39</v>
      </c>
      <c r="E92" s="16" t="s">
        <v>290</v>
      </c>
    </row>
    <row r="93" spans="1:5" x14ac:dyDescent="0.25">
      <c r="A93" s="16">
        <f t="shared" si="2"/>
        <v>92</v>
      </c>
      <c r="B93" s="16">
        <f t="shared" si="3"/>
        <v>80</v>
      </c>
      <c r="C93" s="16">
        <f t="shared" si="3"/>
        <v>61</v>
      </c>
      <c r="D93" s="16">
        <f t="shared" si="3"/>
        <v>40</v>
      </c>
      <c r="E93" s="16"/>
    </row>
    <row r="94" spans="1:5" x14ac:dyDescent="0.25">
      <c r="A94" s="16">
        <f t="shared" si="2"/>
        <v>93</v>
      </c>
      <c r="B94" s="16">
        <f t="shared" si="3"/>
        <v>81</v>
      </c>
      <c r="C94" s="16">
        <f t="shared" si="3"/>
        <v>62</v>
      </c>
      <c r="D94" s="16">
        <f t="shared" si="3"/>
        <v>41</v>
      </c>
      <c r="E94" s="16" t="s">
        <v>276</v>
      </c>
    </row>
    <row r="95" spans="1:5" x14ac:dyDescent="0.25">
      <c r="A95" s="16">
        <f t="shared" si="2"/>
        <v>94</v>
      </c>
      <c r="B95" s="16">
        <f t="shared" si="3"/>
        <v>82</v>
      </c>
      <c r="C95" s="16">
        <f t="shared" si="3"/>
        <v>63</v>
      </c>
      <c r="D95" s="16">
        <f t="shared" si="3"/>
        <v>42</v>
      </c>
      <c r="E95" s="16"/>
    </row>
    <row r="96" spans="1:5" x14ac:dyDescent="0.25">
      <c r="A96" s="16">
        <f t="shared" si="2"/>
        <v>95</v>
      </c>
      <c r="B96" s="16">
        <f t="shared" si="3"/>
        <v>83</v>
      </c>
      <c r="C96" s="16">
        <f t="shared" si="3"/>
        <v>64</v>
      </c>
      <c r="D96" s="16">
        <f t="shared" si="3"/>
        <v>43</v>
      </c>
      <c r="E96" s="16" t="s">
        <v>291</v>
      </c>
    </row>
    <row r="97" spans="1:5" x14ac:dyDescent="0.25">
      <c r="A97" s="16">
        <f t="shared" si="2"/>
        <v>96</v>
      </c>
      <c r="B97" s="16">
        <f t="shared" si="3"/>
        <v>84</v>
      </c>
      <c r="C97" s="16">
        <f t="shared" si="3"/>
        <v>65</v>
      </c>
      <c r="D97" s="16">
        <f t="shared" si="3"/>
        <v>44</v>
      </c>
      <c r="E97" s="16" t="s">
        <v>292</v>
      </c>
    </row>
    <row r="98" spans="1:5" x14ac:dyDescent="0.25">
      <c r="A98" s="16">
        <f t="shared" si="2"/>
        <v>97</v>
      </c>
      <c r="B98" s="16">
        <f t="shared" si="3"/>
        <v>85</v>
      </c>
      <c r="C98" s="16">
        <f t="shared" si="3"/>
        <v>66</v>
      </c>
      <c r="D98" s="16">
        <f t="shared" si="3"/>
        <v>45</v>
      </c>
      <c r="E98" s="16"/>
    </row>
    <row r="99" spans="1:5" x14ac:dyDescent="0.25">
      <c r="A99" s="16">
        <f t="shared" si="2"/>
        <v>98</v>
      </c>
      <c r="B99" s="16">
        <f t="shared" si="3"/>
        <v>86</v>
      </c>
      <c r="C99" s="16">
        <f t="shared" si="3"/>
        <v>67</v>
      </c>
      <c r="D99" s="16">
        <f t="shared" si="3"/>
        <v>46</v>
      </c>
      <c r="E99" s="16" t="s">
        <v>279</v>
      </c>
    </row>
    <row r="100" spans="1:5" x14ac:dyDescent="0.25">
      <c r="A100" s="16">
        <f t="shared" si="2"/>
        <v>99</v>
      </c>
      <c r="B100" s="16">
        <f t="shared" si="3"/>
        <v>87</v>
      </c>
      <c r="C100" s="16">
        <f t="shared" si="3"/>
        <v>68</v>
      </c>
      <c r="D100" s="16">
        <f t="shared" si="3"/>
        <v>47</v>
      </c>
      <c r="E100" s="16" t="s">
        <v>280</v>
      </c>
    </row>
    <row r="101" spans="1:5" x14ac:dyDescent="0.25">
      <c r="A101" s="16">
        <f t="shared" si="2"/>
        <v>100</v>
      </c>
      <c r="B101" s="16">
        <f t="shared" si="3"/>
        <v>88</v>
      </c>
      <c r="C101" s="16">
        <f t="shared" si="3"/>
        <v>69</v>
      </c>
      <c r="D101" s="16">
        <f t="shared" si="3"/>
        <v>48</v>
      </c>
      <c r="E101" s="16" t="s">
        <v>293</v>
      </c>
    </row>
    <row r="102" spans="1:5" x14ac:dyDescent="0.25">
      <c r="A102" s="16">
        <f t="shared" si="2"/>
        <v>101</v>
      </c>
      <c r="B102" s="16">
        <f t="shared" si="3"/>
        <v>89</v>
      </c>
      <c r="C102" s="16">
        <f t="shared" si="3"/>
        <v>70</v>
      </c>
      <c r="D102" s="16">
        <f t="shared" si="3"/>
        <v>49</v>
      </c>
      <c r="E102" s="16" t="s">
        <v>294</v>
      </c>
    </row>
    <row r="103" spans="1:5" x14ac:dyDescent="0.25">
      <c r="A103" s="16">
        <f t="shared" si="2"/>
        <v>102</v>
      </c>
      <c r="B103" s="16">
        <f t="shared" si="3"/>
        <v>90</v>
      </c>
      <c r="C103" s="16">
        <f t="shared" si="3"/>
        <v>71</v>
      </c>
      <c r="D103" s="16">
        <f t="shared" si="3"/>
        <v>50</v>
      </c>
      <c r="E103" s="16" t="s">
        <v>282</v>
      </c>
    </row>
    <row r="104" spans="1:5" x14ac:dyDescent="0.25">
      <c r="A104" s="16">
        <f t="shared" si="2"/>
        <v>103</v>
      </c>
      <c r="B104" s="16">
        <f t="shared" si="3"/>
        <v>91</v>
      </c>
      <c r="C104" s="16">
        <f t="shared" si="3"/>
        <v>72</v>
      </c>
      <c r="D104" s="16">
        <f t="shared" si="3"/>
        <v>51</v>
      </c>
      <c r="E104" s="16" t="s">
        <v>283</v>
      </c>
    </row>
    <row r="105" spans="1:5" x14ac:dyDescent="0.25">
      <c r="A105" s="16">
        <f t="shared" si="2"/>
        <v>104</v>
      </c>
      <c r="B105" s="16">
        <f t="shared" si="3"/>
        <v>92</v>
      </c>
      <c r="C105" s="16">
        <f t="shared" si="3"/>
        <v>73</v>
      </c>
      <c r="D105" s="16">
        <f t="shared" si="3"/>
        <v>52</v>
      </c>
      <c r="E105" s="16" t="s">
        <v>284</v>
      </c>
    </row>
    <row r="106" spans="1:5" x14ac:dyDescent="0.25">
      <c r="A106" s="16">
        <f t="shared" si="2"/>
        <v>105</v>
      </c>
      <c r="B106" s="16">
        <f t="shared" si="3"/>
        <v>93</v>
      </c>
      <c r="C106" s="16">
        <f t="shared" si="3"/>
        <v>74</v>
      </c>
      <c r="D106" s="16">
        <f t="shared" si="3"/>
        <v>53</v>
      </c>
      <c r="E106" s="16" t="s">
        <v>285</v>
      </c>
    </row>
    <row r="107" spans="1:5" x14ac:dyDescent="0.25">
      <c r="A107" s="16">
        <f t="shared" si="2"/>
        <v>106</v>
      </c>
      <c r="B107" s="16">
        <f t="shared" si="3"/>
        <v>94</v>
      </c>
      <c r="C107" s="16">
        <f t="shared" si="3"/>
        <v>75</v>
      </c>
      <c r="D107" s="16">
        <f t="shared" si="3"/>
        <v>54</v>
      </c>
      <c r="E107" s="16" t="s">
        <v>286</v>
      </c>
    </row>
    <row r="108" spans="1:5" x14ac:dyDescent="0.25">
      <c r="A108" s="16">
        <f t="shared" si="2"/>
        <v>107</v>
      </c>
      <c r="B108" s="16">
        <f t="shared" si="3"/>
        <v>95</v>
      </c>
      <c r="C108" s="16">
        <f t="shared" si="3"/>
        <v>76</v>
      </c>
      <c r="D108" s="16">
        <f t="shared" si="3"/>
        <v>55</v>
      </c>
      <c r="E108" s="16" t="s">
        <v>287</v>
      </c>
    </row>
    <row r="109" spans="1:5" x14ac:dyDescent="0.25">
      <c r="A109" s="16">
        <f t="shared" si="2"/>
        <v>108</v>
      </c>
      <c r="B109" s="16">
        <f t="shared" si="3"/>
        <v>96</v>
      </c>
      <c r="C109" s="16">
        <f t="shared" si="3"/>
        <v>77</v>
      </c>
      <c r="D109" s="16">
        <f t="shared" si="3"/>
        <v>56</v>
      </c>
      <c r="E109" s="16" t="s">
        <v>288</v>
      </c>
    </row>
    <row r="110" spans="1:5" x14ac:dyDescent="0.25">
      <c r="A110" s="16">
        <f t="shared" si="2"/>
        <v>109</v>
      </c>
      <c r="B110" s="16">
        <f t="shared" si="3"/>
        <v>97</v>
      </c>
      <c r="C110" s="16">
        <f t="shared" si="3"/>
        <v>78</v>
      </c>
      <c r="D110" s="16">
        <f t="shared" si="3"/>
        <v>57</v>
      </c>
      <c r="E110" s="16" t="s">
        <v>289</v>
      </c>
    </row>
    <row r="111" spans="1:5" x14ac:dyDescent="0.25">
      <c r="A111" s="16">
        <f t="shared" si="2"/>
        <v>110</v>
      </c>
      <c r="B111" s="16">
        <f t="shared" si="3"/>
        <v>98</v>
      </c>
      <c r="C111" s="16">
        <f t="shared" si="3"/>
        <v>79</v>
      </c>
      <c r="D111" s="16">
        <f t="shared" si="3"/>
        <v>58</v>
      </c>
      <c r="E111" s="16" t="s">
        <v>295</v>
      </c>
    </row>
    <row r="112" spans="1:5" x14ac:dyDescent="0.25">
      <c r="A112" s="16">
        <f t="shared" si="2"/>
        <v>111</v>
      </c>
      <c r="B112" s="16">
        <f t="shared" si="3"/>
        <v>99</v>
      </c>
      <c r="C112" s="16">
        <f t="shared" si="3"/>
        <v>80</v>
      </c>
      <c r="D112" s="16">
        <f t="shared" si="3"/>
        <v>59</v>
      </c>
      <c r="E112" s="16" t="s">
        <v>296</v>
      </c>
    </row>
    <row r="113" spans="1:5" x14ac:dyDescent="0.25">
      <c r="A113" s="16">
        <f t="shared" si="2"/>
        <v>112</v>
      </c>
      <c r="B113" s="16">
        <f t="shared" si="3"/>
        <v>100</v>
      </c>
      <c r="C113" s="16">
        <f t="shared" si="3"/>
        <v>81</v>
      </c>
      <c r="D113" s="16">
        <f t="shared" si="3"/>
        <v>60</v>
      </c>
      <c r="E113" s="16" t="s">
        <v>297</v>
      </c>
    </row>
    <row r="114" spans="1:5" x14ac:dyDescent="0.25">
      <c r="A114" s="16">
        <f t="shared" si="2"/>
        <v>113</v>
      </c>
      <c r="B114" s="16">
        <f t="shared" si="3"/>
        <v>101</v>
      </c>
      <c r="C114" s="16">
        <f t="shared" si="3"/>
        <v>82</v>
      </c>
      <c r="D114" s="16">
        <f t="shared" si="3"/>
        <v>61</v>
      </c>
      <c r="E114" s="16"/>
    </row>
    <row r="115" spans="1:5" x14ac:dyDescent="0.25">
      <c r="A115" s="16">
        <f t="shared" si="2"/>
        <v>114</v>
      </c>
      <c r="B115" s="16">
        <f t="shared" si="3"/>
        <v>102</v>
      </c>
      <c r="C115" s="16">
        <f t="shared" si="3"/>
        <v>83</v>
      </c>
      <c r="D115" s="16">
        <f t="shared" si="3"/>
        <v>62</v>
      </c>
      <c r="E115" s="16" t="s">
        <v>276</v>
      </c>
    </row>
    <row r="116" spans="1:5" x14ac:dyDescent="0.25">
      <c r="A116" s="16">
        <f t="shared" si="2"/>
        <v>115</v>
      </c>
      <c r="B116" s="16">
        <f t="shared" si="3"/>
        <v>103</v>
      </c>
      <c r="C116" s="16">
        <f t="shared" si="3"/>
        <v>84</v>
      </c>
      <c r="D116" s="16">
        <f t="shared" si="3"/>
        <v>63</v>
      </c>
      <c r="E116" s="16"/>
    </row>
    <row r="117" spans="1:5" x14ac:dyDescent="0.25">
      <c r="A117" s="16">
        <f t="shared" si="2"/>
        <v>116</v>
      </c>
      <c r="B117" s="16">
        <f t="shared" si="3"/>
        <v>104</v>
      </c>
      <c r="C117" s="16">
        <f t="shared" si="3"/>
        <v>85</v>
      </c>
      <c r="D117" s="16">
        <f t="shared" si="3"/>
        <v>64</v>
      </c>
      <c r="E117" s="16" t="s">
        <v>298</v>
      </c>
    </row>
    <row r="118" spans="1:5" x14ac:dyDescent="0.25">
      <c r="A118" s="16">
        <f t="shared" si="2"/>
        <v>117</v>
      </c>
      <c r="B118" s="16">
        <f t="shared" si="3"/>
        <v>105</v>
      </c>
      <c r="C118" s="16">
        <f t="shared" si="3"/>
        <v>86</v>
      </c>
      <c r="D118" s="16">
        <f t="shared" si="3"/>
        <v>65</v>
      </c>
      <c r="E118" s="16" t="s">
        <v>299</v>
      </c>
    </row>
    <row r="119" spans="1:5" x14ac:dyDescent="0.25">
      <c r="A119" s="16">
        <f t="shared" si="2"/>
        <v>118</v>
      </c>
      <c r="B119" s="16">
        <f t="shared" si="3"/>
        <v>106</v>
      </c>
      <c r="C119" s="16">
        <f t="shared" si="3"/>
        <v>87</v>
      </c>
      <c r="D119" s="16">
        <f t="shared" si="3"/>
        <v>66</v>
      </c>
      <c r="E119" s="16"/>
    </row>
    <row r="120" spans="1:5" x14ac:dyDescent="0.25">
      <c r="A120" s="16">
        <f t="shared" si="2"/>
        <v>119</v>
      </c>
      <c r="B120" s="16">
        <f t="shared" si="3"/>
        <v>107</v>
      </c>
      <c r="C120" s="16">
        <f t="shared" si="3"/>
        <v>88</v>
      </c>
      <c r="D120" s="16">
        <f t="shared" si="3"/>
        <v>67</v>
      </c>
      <c r="E120" s="16" t="s">
        <v>279</v>
      </c>
    </row>
    <row r="121" spans="1:5" x14ac:dyDescent="0.25">
      <c r="A121" s="16">
        <f t="shared" si="2"/>
        <v>120</v>
      </c>
      <c r="B121" s="16">
        <f t="shared" si="3"/>
        <v>108</v>
      </c>
      <c r="C121" s="16">
        <f t="shared" si="3"/>
        <v>89</v>
      </c>
      <c r="D121" s="16">
        <f t="shared" si="3"/>
        <v>68</v>
      </c>
      <c r="E121" s="16" t="s">
        <v>280</v>
      </c>
    </row>
    <row r="122" spans="1:5" x14ac:dyDescent="0.25">
      <c r="A122" s="16">
        <f t="shared" si="2"/>
        <v>121</v>
      </c>
      <c r="B122" s="16">
        <f t="shared" si="3"/>
        <v>109</v>
      </c>
      <c r="C122" s="16">
        <f t="shared" si="3"/>
        <v>90</v>
      </c>
      <c r="D122" s="16">
        <f t="shared" si="3"/>
        <v>69</v>
      </c>
      <c r="E122" s="16" t="s">
        <v>300</v>
      </c>
    </row>
    <row r="123" spans="1:5" x14ac:dyDescent="0.25">
      <c r="A123" s="16">
        <f t="shared" si="2"/>
        <v>122</v>
      </c>
      <c r="B123" s="16">
        <f t="shared" si="3"/>
        <v>110</v>
      </c>
      <c r="C123" s="16">
        <f t="shared" si="3"/>
        <v>91</v>
      </c>
      <c r="D123" s="16">
        <f t="shared" si="3"/>
        <v>70</v>
      </c>
      <c r="E123" s="16" t="s">
        <v>301</v>
      </c>
    </row>
    <row r="124" spans="1:5" x14ac:dyDescent="0.25">
      <c r="A124" s="16">
        <f t="shared" si="2"/>
        <v>123</v>
      </c>
      <c r="B124" s="16">
        <f t="shared" si="3"/>
        <v>111</v>
      </c>
      <c r="C124" s="16">
        <f t="shared" si="3"/>
        <v>92</v>
      </c>
      <c r="D124" s="16">
        <f t="shared" si="3"/>
        <v>71</v>
      </c>
      <c r="E124" s="16" t="s">
        <v>302</v>
      </c>
    </row>
    <row r="125" spans="1:5" x14ac:dyDescent="0.25">
      <c r="A125" s="16">
        <f t="shared" si="2"/>
        <v>124</v>
      </c>
      <c r="B125" s="16">
        <f t="shared" si="3"/>
        <v>112</v>
      </c>
      <c r="C125" s="16">
        <f t="shared" si="3"/>
        <v>93</v>
      </c>
      <c r="D125" s="16">
        <f t="shared" si="3"/>
        <v>72</v>
      </c>
      <c r="E125" s="16" t="s">
        <v>303</v>
      </c>
    </row>
    <row r="126" spans="1:5" x14ac:dyDescent="0.25">
      <c r="A126" s="16">
        <f t="shared" si="2"/>
        <v>125</v>
      </c>
      <c r="B126" s="16">
        <f t="shared" si="3"/>
        <v>113</v>
      </c>
      <c r="C126" s="16">
        <f t="shared" si="3"/>
        <v>94</v>
      </c>
      <c r="D126" s="16">
        <f t="shared" si="3"/>
        <v>73</v>
      </c>
      <c r="E126" s="16" t="s">
        <v>304</v>
      </c>
    </row>
    <row r="127" spans="1:5" x14ac:dyDescent="0.25">
      <c r="A127" s="16">
        <f t="shared" si="2"/>
        <v>126</v>
      </c>
      <c r="B127" s="16">
        <f t="shared" si="3"/>
        <v>114</v>
      </c>
      <c r="C127" s="16">
        <f t="shared" si="3"/>
        <v>95</v>
      </c>
      <c r="D127" s="16">
        <f t="shared" si="3"/>
        <v>74</v>
      </c>
      <c r="E127" s="16" t="s">
        <v>305</v>
      </c>
    </row>
    <row r="128" spans="1:5" x14ac:dyDescent="0.25">
      <c r="A128" s="16">
        <f t="shared" si="2"/>
        <v>127</v>
      </c>
      <c r="B128" s="16">
        <f t="shared" si="3"/>
        <v>115</v>
      </c>
      <c r="C128" s="16">
        <f t="shared" si="3"/>
        <v>96</v>
      </c>
      <c r="D128" s="16">
        <f t="shared" si="3"/>
        <v>75</v>
      </c>
      <c r="E128" s="16" t="s">
        <v>306</v>
      </c>
    </row>
    <row r="129" spans="1:5" x14ac:dyDescent="0.25">
      <c r="A129" s="16">
        <f t="shared" si="2"/>
        <v>128</v>
      </c>
      <c r="B129" s="16">
        <f t="shared" si="3"/>
        <v>116</v>
      </c>
      <c r="C129" s="16">
        <f t="shared" si="3"/>
        <v>97</v>
      </c>
      <c r="D129" s="16">
        <f t="shared" si="3"/>
        <v>76</v>
      </c>
      <c r="E129" s="16" t="s">
        <v>307</v>
      </c>
    </row>
    <row r="130" spans="1:5" x14ac:dyDescent="0.25">
      <c r="A130" s="16">
        <f t="shared" si="2"/>
        <v>129</v>
      </c>
      <c r="B130" s="16">
        <f t="shared" si="3"/>
        <v>117</v>
      </c>
      <c r="C130" s="16">
        <f t="shared" si="3"/>
        <v>98</v>
      </c>
      <c r="D130" s="16">
        <f t="shared" si="3"/>
        <v>77</v>
      </c>
      <c r="E130" s="16" t="s">
        <v>308</v>
      </c>
    </row>
    <row r="131" spans="1:5" x14ac:dyDescent="0.25">
      <c r="A131" s="16">
        <f t="shared" ref="A131:A194" si="4">IF(ISNUMBER(A130),A130+1,1)</f>
        <v>130</v>
      </c>
      <c r="B131" s="16">
        <f t="shared" si="3"/>
        <v>118</v>
      </c>
      <c r="C131" s="16">
        <f t="shared" si="3"/>
        <v>99</v>
      </c>
      <c r="D131" s="16">
        <f t="shared" si="3"/>
        <v>78</v>
      </c>
      <c r="E131" s="16" t="s">
        <v>309</v>
      </c>
    </row>
    <row r="132" spans="1:5" x14ac:dyDescent="0.25">
      <c r="A132" s="16">
        <f t="shared" si="4"/>
        <v>131</v>
      </c>
      <c r="B132" s="16">
        <f t="shared" si="3"/>
        <v>119</v>
      </c>
      <c r="C132" s="16">
        <f t="shared" si="3"/>
        <v>100</v>
      </c>
      <c r="D132" s="16">
        <f t="shared" si="3"/>
        <v>79</v>
      </c>
      <c r="E132" s="16" t="s">
        <v>310</v>
      </c>
    </row>
    <row r="133" spans="1:5" x14ac:dyDescent="0.25">
      <c r="A133" s="16">
        <f t="shared" si="4"/>
        <v>132</v>
      </c>
      <c r="B133" s="16">
        <f t="shared" si="3"/>
        <v>120</v>
      </c>
      <c r="C133" s="16">
        <f t="shared" si="3"/>
        <v>101</v>
      </c>
      <c r="D133" s="16">
        <f t="shared" si="3"/>
        <v>80</v>
      </c>
      <c r="E133" s="16" t="s">
        <v>294</v>
      </c>
    </row>
    <row r="134" spans="1:5" x14ac:dyDescent="0.25">
      <c r="A134" s="16">
        <f t="shared" si="4"/>
        <v>133</v>
      </c>
      <c r="B134" s="16">
        <f t="shared" si="3"/>
        <v>121</v>
      </c>
      <c r="C134" s="16">
        <f t="shared" si="3"/>
        <v>102</v>
      </c>
      <c r="D134" s="16">
        <f t="shared" si="3"/>
        <v>81</v>
      </c>
      <c r="E134" s="16" t="s">
        <v>282</v>
      </c>
    </row>
    <row r="135" spans="1:5" x14ac:dyDescent="0.25">
      <c r="A135" s="16">
        <f t="shared" si="4"/>
        <v>134</v>
      </c>
      <c r="B135" s="16">
        <f t="shared" si="3"/>
        <v>122</v>
      </c>
      <c r="C135" s="16">
        <f t="shared" si="3"/>
        <v>103</v>
      </c>
      <c r="D135" s="16">
        <f t="shared" si="3"/>
        <v>82</v>
      </c>
      <c r="E135" s="16" t="s">
        <v>283</v>
      </c>
    </row>
    <row r="136" spans="1:5" x14ac:dyDescent="0.25">
      <c r="A136" s="16">
        <f t="shared" si="4"/>
        <v>135</v>
      </c>
      <c r="B136" s="16">
        <f t="shared" si="3"/>
        <v>123</v>
      </c>
      <c r="C136" s="16">
        <f t="shared" si="3"/>
        <v>104</v>
      </c>
      <c r="D136" s="16">
        <f t="shared" si="3"/>
        <v>83</v>
      </c>
      <c r="E136" s="16" t="s">
        <v>284</v>
      </c>
    </row>
    <row r="137" spans="1:5" x14ac:dyDescent="0.25">
      <c r="A137" s="16">
        <f t="shared" si="4"/>
        <v>136</v>
      </c>
      <c r="B137" s="16">
        <f t="shared" si="3"/>
        <v>124</v>
      </c>
      <c r="C137" s="16">
        <f t="shared" si="3"/>
        <v>105</v>
      </c>
      <c r="D137" s="16">
        <f t="shared" si="3"/>
        <v>84</v>
      </c>
      <c r="E137" s="16" t="s">
        <v>311</v>
      </c>
    </row>
    <row r="138" spans="1:5" x14ac:dyDescent="0.25">
      <c r="A138" s="16">
        <f t="shared" si="4"/>
        <v>137</v>
      </c>
      <c r="B138" s="16">
        <f t="shared" si="3"/>
        <v>125</v>
      </c>
      <c r="C138" s="16">
        <f t="shared" si="3"/>
        <v>106</v>
      </c>
      <c r="D138" s="16">
        <f t="shared" si="3"/>
        <v>85</v>
      </c>
      <c r="E138" s="16"/>
    </row>
    <row r="139" spans="1:5" x14ac:dyDescent="0.25">
      <c r="A139" s="16">
        <f t="shared" si="4"/>
        <v>138</v>
      </c>
      <c r="B139" s="16">
        <f t="shared" si="3"/>
        <v>126</v>
      </c>
      <c r="C139" s="16">
        <f t="shared" si="3"/>
        <v>107</v>
      </c>
      <c r="D139" s="16">
        <f t="shared" si="3"/>
        <v>86</v>
      </c>
      <c r="E139" s="16" t="s">
        <v>312</v>
      </c>
    </row>
    <row r="140" spans="1:5" x14ac:dyDescent="0.25">
      <c r="A140" s="16">
        <f t="shared" si="4"/>
        <v>139</v>
      </c>
      <c r="B140" s="16">
        <f t="shared" si="3"/>
        <v>127</v>
      </c>
      <c r="C140" s="16">
        <f t="shared" si="3"/>
        <v>108</v>
      </c>
      <c r="D140" s="16">
        <f t="shared" si="3"/>
        <v>87</v>
      </c>
      <c r="E140" s="16"/>
    </row>
    <row r="141" spans="1:5" x14ac:dyDescent="0.25">
      <c r="A141" s="16">
        <f t="shared" si="4"/>
        <v>140</v>
      </c>
      <c r="B141" s="16">
        <f t="shared" si="3"/>
        <v>128</v>
      </c>
      <c r="C141" s="16">
        <f t="shared" si="3"/>
        <v>109</v>
      </c>
      <c r="D141" s="16">
        <f t="shared" si="3"/>
        <v>88</v>
      </c>
      <c r="E141" s="16" t="s">
        <v>277</v>
      </c>
    </row>
    <row r="142" spans="1:5" x14ac:dyDescent="0.25">
      <c r="A142" s="16">
        <f t="shared" si="4"/>
        <v>141</v>
      </c>
      <c r="B142" s="16">
        <f t="shared" si="3"/>
        <v>129</v>
      </c>
      <c r="C142" s="16">
        <f t="shared" si="3"/>
        <v>110</v>
      </c>
      <c r="D142" s="16">
        <f t="shared" si="3"/>
        <v>89</v>
      </c>
      <c r="E142" s="16" t="s">
        <v>278</v>
      </c>
    </row>
    <row r="143" spans="1:5" x14ac:dyDescent="0.25">
      <c r="A143" s="16">
        <f t="shared" si="4"/>
        <v>142</v>
      </c>
      <c r="B143" s="16">
        <f t="shared" si="3"/>
        <v>130</v>
      </c>
      <c r="C143" s="16">
        <f t="shared" si="3"/>
        <v>111</v>
      </c>
      <c r="D143" s="16">
        <f t="shared" si="3"/>
        <v>90</v>
      </c>
      <c r="E143" s="16"/>
    </row>
    <row r="144" spans="1:5" x14ac:dyDescent="0.25">
      <c r="A144" s="16">
        <f t="shared" si="4"/>
        <v>143</v>
      </c>
      <c r="B144" s="16">
        <f t="shared" ref="B144:D207" si="5">IF(ISNUMBER(A144),B143+1,"")</f>
        <v>131</v>
      </c>
      <c r="C144" s="16">
        <f t="shared" si="5"/>
        <v>112</v>
      </c>
      <c r="D144" s="16">
        <f t="shared" si="5"/>
        <v>91</v>
      </c>
      <c r="E144" s="16" t="s">
        <v>279</v>
      </c>
    </row>
    <row r="145" spans="1:5" x14ac:dyDescent="0.25">
      <c r="A145" s="16">
        <f t="shared" si="4"/>
        <v>144</v>
      </c>
      <c r="B145" s="16">
        <f t="shared" si="5"/>
        <v>132</v>
      </c>
      <c r="C145" s="16">
        <f t="shared" si="5"/>
        <v>113</v>
      </c>
      <c r="D145" s="16">
        <f t="shared" si="5"/>
        <v>92</v>
      </c>
      <c r="E145" s="16" t="s">
        <v>280</v>
      </c>
    </row>
    <row r="146" spans="1:5" x14ac:dyDescent="0.25">
      <c r="A146" s="16">
        <f t="shared" si="4"/>
        <v>145</v>
      </c>
      <c r="B146" s="16">
        <f t="shared" si="5"/>
        <v>133</v>
      </c>
      <c r="C146" s="16">
        <f t="shared" si="5"/>
        <v>114</v>
      </c>
      <c r="D146" s="16">
        <f t="shared" si="5"/>
        <v>93</v>
      </c>
      <c r="E146" s="16" t="s">
        <v>281</v>
      </c>
    </row>
    <row r="147" spans="1:5" x14ac:dyDescent="0.25">
      <c r="A147" s="16">
        <f t="shared" si="4"/>
        <v>146</v>
      </c>
      <c r="B147" s="16">
        <f t="shared" si="5"/>
        <v>134</v>
      </c>
      <c r="C147" s="16">
        <f t="shared" si="5"/>
        <v>115</v>
      </c>
      <c r="D147" s="16">
        <f t="shared" si="5"/>
        <v>94</v>
      </c>
      <c r="E147" s="16" t="s">
        <v>282</v>
      </c>
    </row>
    <row r="148" spans="1:5" x14ac:dyDescent="0.25">
      <c r="A148" s="16">
        <f t="shared" si="4"/>
        <v>147</v>
      </c>
      <c r="B148" s="16">
        <f t="shared" si="5"/>
        <v>135</v>
      </c>
      <c r="C148" s="16">
        <f t="shared" si="5"/>
        <v>116</v>
      </c>
      <c r="D148" s="16">
        <f t="shared" si="5"/>
        <v>95</v>
      </c>
      <c r="E148" s="16" t="s">
        <v>283</v>
      </c>
    </row>
    <row r="149" spans="1:5" x14ac:dyDescent="0.25">
      <c r="A149" s="16">
        <f t="shared" si="4"/>
        <v>148</v>
      </c>
      <c r="B149" s="16">
        <f t="shared" si="5"/>
        <v>136</v>
      </c>
      <c r="C149" s="16">
        <f t="shared" si="5"/>
        <v>117</v>
      </c>
      <c r="D149" s="16">
        <f t="shared" si="5"/>
        <v>96</v>
      </c>
      <c r="E149" s="16" t="s">
        <v>284</v>
      </c>
    </row>
    <row r="150" spans="1:5" x14ac:dyDescent="0.25">
      <c r="A150" s="16">
        <f t="shared" si="4"/>
        <v>149</v>
      </c>
      <c r="B150" s="16">
        <f t="shared" si="5"/>
        <v>137</v>
      </c>
      <c r="C150" s="16">
        <f t="shared" si="5"/>
        <v>118</v>
      </c>
      <c r="D150" s="16">
        <f t="shared" si="5"/>
        <v>97</v>
      </c>
      <c r="E150" s="16" t="s">
        <v>285</v>
      </c>
    </row>
    <row r="151" spans="1:5" x14ac:dyDescent="0.25">
      <c r="A151" s="16">
        <f t="shared" si="4"/>
        <v>150</v>
      </c>
      <c r="B151" s="16">
        <f t="shared" si="5"/>
        <v>138</v>
      </c>
      <c r="C151" s="16">
        <f t="shared" si="5"/>
        <v>119</v>
      </c>
      <c r="D151" s="16">
        <f t="shared" si="5"/>
        <v>98</v>
      </c>
      <c r="E151" s="16" t="s">
        <v>286</v>
      </c>
    </row>
    <row r="152" spans="1:5" x14ac:dyDescent="0.25">
      <c r="A152" s="16">
        <f t="shared" si="4"/>
        <v>151</v>
      </c>
      <c r="B152" s="16">
        <f t="shared" si="5"/>
        <v>139</v>
      </c>
      <c r="C152" s="16">
        <f t="shared" si="5"/>
        <v>120</v>
      </c>
      <c r="D152" s="16">
        <f t="shared" si="5"/>
        <v>99</v>
      </c>
      <c r="E152" s="16" t="s">
        <v>287</v>
      </c>
    </row>
    <row r="153" spans="1:5" x14ac:dyDescent="0.25">
      <c r="A153" s="16">
        <f t="shared" si="4"/>
        <v>152</v>
      </c>
      <c r="B153" s="16">
        <f t="shared" si="5"/>
        <v>140</v>
      </c>
      <c r="C153" s="16">
        <f t="shared" si="5"/>
        <v>121</v>
      </c>
      <c r="D153" s="16">
        <f t="shared" si="5"/>
        <v>100</v>
      </c>
      <c r="E153" s="16" t="s">
        <v>288</v>
      </c>
    </row>
    <row r="154" spans="1:5" x14ac:dyDescent="0.25">
      <c r="A154" s="16">
        <f t="shared" si="4"/>
        <v>153</v>
      </c>
      <c r="B154" s="16">
        <f t="shared" si="5"/>
        <v>141</v>
      </c>
      <c r="C154" s="16">
        <f t="shared" si="5"/>
        <v>122</v>
      </c>
      <c r="D154" s="16">
        <f t="shared" si="5"/>
        <v>101</v>
      </c>
      <c r="E154" s="16" t="s">
        <v>313</v>
      </c>
    </row>
    <row r="155" spans="1:5" x14ac:dyDescent="0.25">
      <c r="A155" s="16">
        <f t="shared" si="4"/>
        <v>154</v>
      </c>
      <c r="B155" s="16">
        <f t="shared" si="5"/>
        <v>142</v>
      </c>
      <c r="C155" s="16">
        <f t="shared" si="5"/>
        <v>123</v>
      </c>
      <c r="D155" s="16">
        <f t="shared" si="5"/>
        <v>102</v>
      </c>
      <c r="E155" s="16"/>
    </row>
    <row r="156" spans="1:5" x14ac:dyDescent="0.25">
      <c r="A156" s="16">
        <f t="shared" si="4"/>
        <v>155</v>
      </c>
      <c r="B156" s="16">
        <f t="shared" si="5"/>
        <v>143</v>
      </c>
      <c r="C156" s="16">
        <f t="shared" si="5"/>
        <v>124</v>
      </c>
      <c r="D156" s="16">
        <f t="shared" si="5"/>
        <v>103</v>
      </c>
      <c r="E156" s="16" t="s">
        <v>312</v>
      </c>
    </row>
    <row r="157" spans="1:5" x14ac:dyDescent="0.25">
      <c r="A157" s="16">
        <f t="shared" si="4"/>
        <v>156</v>
      </c>
      <c r="B157" s="16">
        <f t="shared" si="5"/>
        <v>144</v>
      </c>
      <c r="C157" s="16">
        <f t="shared" si="5"/>
        <v>125</v>
      </c>
      <c r="D157" s="16">
        <f t="shared" si="5"/>
        <v>104</v>
      </c>
      <c r="E157" s="16"/>
    </row>
    <row r="158" spans="1:5" x14ac:dyDescent="0.25">
      <c r="A158" s="16">
        <f t="shared" si="4"/>
        <v>157</v>
      </c>
      <c r="B158" s="16">
        <f t="shared" si="5"/>
        <v>145</v>
      </c>
      <c r="C158" s="16">
        <f t="shared" si="5"/>
        <v>126</v>
      </c>
      <c r="D158" s="16">
        <f t="shared" si="5"/>
        <v>105</v>
      </c>
      <c r="E158" s="16" t="s">
        <v>291</v>
      </c>
    </row>
    <row r="159" spans="1:5" x14ac:dyDescent="0.25">
      <c r="A159" s="16">
        <f t="shared" si="4"/>
        <v>158</v>
      </c>
      <c r="B159" s="16">
        <f t="shared" si="5"/>
        <v>146</v>
      </c>
      <c r="C159" s="16">
        <f t="shared" si="5"/>
        <v>127</v>
      </c>
      <c r="D159" s="16">
        <f t="shared" si="5"/>
        <v>106</v>
      </c>
      <c r="E159" s="16" t="s">
        <v>292</v>
      </c>
    </row>
    <row r="160" spans="1:5" x14ac:dyDescent="0.25">
      <c r="A160" s="16">
        <f t="shared" si="4"/>
        <v>159</v>
      </c>
      <c r="B160" s="16">
        <f t="shared" si="5"/>
        <v>147</v>
      </c>
      <c r="C160" s="16">
        <f t="shared" si="5"/>
        <v>128</v>
      </c>
      <c r="D160" s="16">
        <f t="shared" si="5"/>
        <v>107</v>
      </c>
      <c r="E160" s="16"/>
    </row>
    <row r="161" spans="1:5" x14ac:dyDescent="0.25">
      <c r="A161" s="16">
        <f t="shared" si="4"/>
        <v>160</v>
      </c>
      <c r="B161" s="16">
        <f t="shared" si="5"/>
        <v>148</v>
      </c>
      <c r="C161" s="16">
        <f t="shared" si="5"/>
        <v>129</v>
      </c>
      <c r="D161" s="16">
        <f t="shared" si="5"/>
        <v>108</v>
      </c>
      <c r="E161" s="16" t="s">
        <v>279</v>
      </c>
    </row>
    <row r="162" spans="1:5" x14ac:dyDescent="0.25">
      <c r="A162" s="16">
        <f t="shared" si="4"/>
        <v>161</v>
      </c>
      <c r="B162" s="16">
        <f t="shared" si="5"/>
        <v>149</v>
      </c>
      <c r="C162" s="16">
        <f t="shared" si="5"/>
        <v>130</v>
      </c>
      <c r="D162" s="16">
        <f t="shared" si="5"/>
        <v>109</v>
      </c>
      <c r="E162" s="16" t="s">
        <v>280</v>
      </c>
    </row>
    <row r="163" spans="1:5" x14ac:dyDescent="0.25">
      <c r="A163" s="16">
        <f t="shared" si="4"/>
        <v>162</v>
      </c>
      <c r="B163" s="16">
        <f t="shared" si="5"/>
        <v>150</v>
      </c>
      <c r="C163" s="16">
        <f t="shared" si="5"/>
        <v>131</v>
      </c>
      <c r="D163" s="16">
        <f t="shared" si="5"/>
        <v>110</v>
      </c>
      <c r="E163" s="16" t="s">
        <v>293</v>
      </c>
    </row>
    <row r="164" spans="1:5" x14ac:dyDescent="0.25">
      <c r="A164" s="16">
        <f t="shared" si="4"/>
        <v>163</v>
      </c>
      <c r="B164" s="16">
        <f t="shared" si="5"/>
        <v>151</v>
      </c>
      <c r="C164" s="16">
        <f t="shared" si="5"/>
        <v>132</v>
      </c>
      <c r="D164" s="16">
        <f t="shared" si="5"/>
        <v>111</v>
      </c>
      <c r="E164" s="16" t="s">
        <v>294</v>
      </c>
    </row>
    <row r="165" spans="1:5" x14ac:dyDescent="0.25">
      <c r="A165" s="16">
        <f t="shared" si="4"/>
        <v>164</v>
      </c>
      <c r="B165" s="16">
        <f t="shared" si="5"/>
        <v>152</v>
      </c>
      <c r="C165" s="16">
        <f t="shared" si="5"/>
        <v>133</v>
      </c>
      <c r="D165" s="16">
        <f t="shared" si="5"/>
        <v>112</v>
      </c>
      <c r="E165" s="16" t="s">
        <v>282</v>
      </c>
    </row>
    <row r="166" spans="1:5" x14ac:dyDescent="0.25">
      <c r="A166" s="16">
        <f t="shared" si="4"/>
        <v>165</v>
      </c>
      <c r="B166" s="16">
        <f t="shared" si="5"/>
        <v>153</v>
      </c>
      <c r="C166" s="16">
        <f t="shared" si="5"/>
        <v>134</v>
      </c>
      <c r="D166" s="16">
        <f t="shared" si="5"/>
        <v>113</v>
      </c>
      <c r="E166" s="16" t="s">
        <v>283</v>
      </c>
    </row>
    <row r="167" spans="1:5" x14ac:dyDescent="0.25">
      <c r="A167" s="16">
        <f t="shared" si="4"/>
        <v>166</v>
      </c>
      <c r="B167" s="16">
        <f t="shared" si="5"/>
        <v>154</v>
      </c>
      <c r="C167" s="16">
        <f t="shared" si="5"/>
        <v>135</v>
      </c>
      <c r="D167" s="16">
        <f t="shared" si="5"/>
        <v>114</v>
      </c>
      <c r="E167" s="16" t="s">
        <v>284</v>
      </c>
    </row>
    <row r="168" spans="1:5" x14ac:dyDescent="0.25">
      <c r="A168" s="16">
        <f t="shared" si="4"/>
        <v>167</v>
      </c>
      <c r="B168" s="16">
        <f t="shared" si="5"/>
        <v>155</v>
      </c>
      <c r="C168" s="16">
        <f t="shared" si="5"/>
        <v>136</v>
      </c>
      <c r="D168" s="16">
        <f t="shared" si="5"/>
        <v>115</v>
      </c>
      <c r="E168" s="16" t="s">
        <v>285</v>
      </c>
    </row>
    <row r="169" spans="1:5" x14ac:dyDescent="0.25">
      <c r="A169" s="16">
        <f t="shared" si="4"/>
        <v>168</v>
      </c>
      <c r="B169" s="16">
        <f t="shared" si="5"/>
        <v>156</v>
      </c>
      <c r="C169" s="16">
        <f t="shared" si="5"/>
        <v>137</v>
      </c>
      <c r="D169" s="16">
        <f t="shared" si="5"/>
        <v>116</v>
      </c>
      <c r="E169" s="16" t="s">
        <v>286</v>
      </c>
    </row>
    <row r="170" spans="1:5" x14ac:dyDescent="0.25">
      <c r="A170" s="16">
        <f t="shared" si="4"/>
        <v>169</v>
      </c>
      <c r="B170" s="16">
        <f t="shared" si="5"/>
        <v>157</v>
      </c>
      <c r="C170" s="16">
        <f t="shared" si="5"/>
        <v>138</v>
      </c>
      <c r="D170" s="16">
        <f t="shared" si="5"/>
        <v>117</v>
      </c>
      <c r="E170" s="16" t="s">
        <v>287</v>
      </c>
    </row>
    <row r="171" spans="1:5" x14ac:dyDescent="0.25">
      <c r="A171" s="16">
        <f t="shared" si="4"/>
        <v>170</v>
      </c>
      <c r="B171" s="16">
        <f t="shared" si="5"/>
        <v>158</v>
      </c>
      <c r="C171" s="16">
        <f t="shared" si="5"/>
        <v>139</v>
      </c>
      <c r="D171" s="16">
        <f t="shared" si="5"/>
        <v>118</v>
      </c>
      <c r="E171" s="16" t="s">
        <v>288</v>
      </c>
    </row>
    <row r="172" spans="1:5" x14ac:dyDescent="0.25">
      <c r="A172" s="16">
        <f t="shared" si="4"/>
        <v>171</v>
      </c>
      <c r="B172" s="16">
        <f t="shared" si="5"/>
        <v>159</v>
      </c>
      <c r="C172" s="16">
        <f t="shared" si="5"/>
        <v>140</v>
      </c>
      <c r="D172" s="16">
        <f t="shared" si="5"/>
        <v>119</v>
      </c>
      <c r="E172" s="16" t="s">
        <v>289</v>
      </c>
    </row>
    <row r="173" spans="1:5" x14ac:dyDescent="0.25">
      <c r="A173" s="16">
        <f t="shared" si="4"/>
        <v>172</v>
      </c>
      <c r="B173" s="16">
        <f t="shared" si="5"/>
        <v>160</v>
      </c>
      <c r="C173" s="16">
        <f t="shared" si="5"/>
        <v>141</v>
      </c>
      <c r="D173" s="16">
        <f t="shared" si="5"/>
        <v>120</v>
      </c>
      <c r="E173" s="16" t="s">
        <v>295</v>
      </c>
    </row>
    <row r="174" spans="1:5" x14ac:dyDescent="0.25">
      <c r="A174" s="16">
        <f t="shared" si="4"/>
        <v>173</v>
      </c>
      <c r="B174" s="16">
        <f t="shared" si="5"/>
        <v>161</v>
      </c>
      <c r="C174" s="16">
        <f t="shared" si="5"/>
        <v>142</v>
      </c>
      <c r="D174" s="16">
        <f t="shared" si="5"/>
        <v>121</v>
      </c>
      <c r="E174" s="16" t="s">
        <v>314</v>
      </c>
    </row>
    <row r="175" spans="1:5" x14ac:dyDescent="0.25">
      <c r="A175" s="16">
        <f t="shared" si="4"/>
        <v>174</v>
      </c>
      <c r="B175" s="16">
        <f t="shared" si="5"/>
        <v>162</v>
      </c>
      <c r="C175" s="16">
        <f t="shared" si="5"/>
        <v>143</v>
      </c>
      <c r="D175" s="16">
        <f t="shared" si="5"/>
        <v>122</v>
      </c>
      <c r="E175" s="16"/>
    </row>
    <row r="176" spans="1:5" x14ac:dyDescent="0.25">
      <c r="A176" s="16">
        <f t="shared" si="4"/>
        <v>175</v>
      </c>
      <c r="B176" s="16">
        <f t="shared" si="5"/>
        <v>163</v>
      </c>
      <c r="C176" s="16">
        <f t="shared" si="5"/>
        <v>144</v>
      </c>
      <c r="D176" s="16">
        <f t="shared" si="5"/>
        <v>123</v>
      </c>
      <c r="E176" s="16" t="s">
        <v>312</v>
      </c>
    </row>
    <row r="177" spans="1:5" x14ac:dyDescent="0.25">
      <c r="A177" s="16">
        <f t="shared" si="4"/>
        <v>176</v>
      </c>
      <c r="B177" s="16">
        <f t="shared" si="5"/>
        <v>164</v>
      </c>
      <c r="C177" s="16">
        <f t="shared" si="5"/>
        <v>145</v>
      </c>
      <c r="D177" s="16">
        <f t="shared" si="5"/>
        <v>124</v>
      </c>
      <c r="E177" s="16"/>
    </row>
    <row r="178" spans="1:5" x14ac:dyDescent="0.25">
      <c r="A178" s="16">
        <f t="shared" si="4"/>
        <v>177</v>
      </c>
      <c r="B178" s="16">
        <f t="shared" si="5"/>
        <v>165</v>
      </c>
      <c r="C178" s="16">
        <f t="shared" si="5"/>
        <v>146</v>
      </c>
      <c r="D178" s="16">
        <f t="shared" si="5"/>
        <v>125</v>
      </c>
      <c r="E178" s="16" t="s">
        <v>298</v>
      </c>
    </row>
    <row r="179" spans="1:5" x14ac:dyDescent="0.25">
      <c r="A179" s="16">
        <f t="shared" si="4"/>
        <v>178</v>
      </c>
      <c r="B179" s="16">
        <f t="shared" si="5"/>
        <v>166</v>
      </c>
      <c r="C179" s="16">
        <f t="shared" si="5"/>
        <v>147</v>
      </c>
      <c r="D179" s="16">
        <f t="shared" si="5"/>
        <v>126</v>
      </c>
      <c r="E179" s="16" t="s">
        <v>299</v>
      </c>
    </row>
    <row r="180" spans="1:5" x14ac:dyDescent="0.25">
      <c r="A180" s="16">
        <f t="shared" si="4"/>
        <v>179</v>
      </c>
      <c r="B180" s="16">
        <f t="shared" si="5"/>
        <v>167</v>
      </c>
      <c r="C180" s="16">
        <f t="shared" si="5"/>
        <v>148</v>
      </c>
      <c r="D180" s="16">
        <f t="shared" si="5"/>
        <v>127</v>
      </c>
      <c r="E180" s="16"/>
    </row>
    <row r="181" spans="1:5" x14ac:dyDescent="0.25">
      <c r="A181" s="16">
        <f t="shared" si="4"/>
        <v>180</v>
      </c>
      <c r="B181" s="16">
        <f t="shared" si="5"/>
        <v>168</v>
      </c>
      <c r="C181" s="16">
        <f t="shared" si="5"/>
        <v>149</v>
      </c>
      <c r="D181" s="16">
        <f t="shared" si="5"/>
        <v>128</v>
      </c>
      <c r="E181" s="16" t="s">
        <v>279</v>
      </c>
    </row>
    <row r="182" spans="1:5" x14ac:dyDescent="0.25">
      <c r="A182" s="16">
        <f t="shared" si="4"/>
        <v>181</v>
      </c>
      <c r="B182" s="16">
        <f t="shared" si="5"/>
        <v>169</v>
      </c>
      <c r="C182" s="16">
        <f t="shared" si="5"/>
        <v>150</v>
      </c>
      <c r="D182" s="16">
        <f t="shared" si="5"/>
        <v>129</v>
      </c>
      <c r="E182" s="16" t="s">
        <v>280</v>
      </c>
    </row>
    <row r="183" spans="1:5" x14ac:dyDescent="0.25">
      <c r="A183" s="16">
        <f t="shared" si="4"/>
        <v>182</v>
      </c>
      <c r="B183" s="16">
        <f t="shared" si="5"/>
        <v>170</v>
      </c>
      <c r="C183" s="16">
        <f t="shared" si="5"/>
        <v>151</v>
      </c>
      <c r="D183" s="16">
        <f t="shared" si="5"/>
        <v>130</v>
      </c>
      <c r="E183" s="16" t="s">
        <v>300</v>
      </c>
    </row>
    <row r="184" spans="1:5" x14ac:dyDescent="0.25">
      <c r="A184" s="16">
        <f t="shared" si="4"/>
        <v>183</v>
      </c>
      <c r="B184" s="16">
        <f t="shared" si="5"/>
        <v>171</v>
      </c>
      <c r="C184" s="16">
        <f t="shared" si="5"/>
        <v>152</v>
      </c>
      <c r="D184" s="16">
        <f t="shared" si="5"/>
        <v>131</v>
      </c>
      <c r="E184" s="16" t="s">
        <v>301</v>
      </c>
    </row>
    <row r="185" spans="1:5" x14ac:dyDescent="0.25">
      <c r="A185" s="16">
        <f t="shared" si="4"/>
        <v>184</v>
      </c>
      <c r="B185" s="16">
        <f t="shared" si="5"/>
        <v>172</v>
      </c>
      <c r="C185" s="16">
        <f t="shared" si="5"/>
        <v>153</v>
      </c>
      <c r="D185" s="16">
        <f t="shared" si="5"/>
        <v>132</v>
      </c>
      <c r="E185" s="16" t="s">
        <v>302</v>
      </c>
    </row>
    <row r="186" spans="1:5" x14ac:dyDescent="0.25">
      <c r="A186" s="16">
        <f t="shared" si="4"/>
        <v>185</v>
      </c>
      <c r="B186" s="16">
        <f t="shared" si="5"/>
        <v>173</v>
      </c>
      <c r="C186" s="16">
        <f t="shared" si="5"/>
        <v>154</v>
      </c>
      <c r="D186" s="16">
        <f t="shared" si="5"/>
        <v>133</v>
      </c>
      <c r="E186" s="16" t="s">
        <v>303</v>
      </c>
    </row>
    <row r="187" spans="1:5" x14ac:dyDescent="0.25">
      <c r="A187" s="16">
        <f t="shared" si="4"/>
        <v>186</v>
      </c>
      <c r="B187" s="16">
        <f t="shared" si="5"/>
        <v>174</v>
      </c>
      <c r="C187" s="16">
        <f t="shared" si="5"/>
        <v>155</v>
      </c>
      <c r="D187" s="16">
        <f t="shared" si="5"/>
        <v>134</v>
      </c>
      <c r="E187" s="16" t="s">
        <v>304</v>
      </c>
    </row>
    <row r="188" spans="1:5" x14ac:dyDescent="0.25">
      <c r="A188" s="16">
        <f t="shared" si="4"/>
        <v>187</v>
      </c>
      <c r="B188" s="16">
        <f t="shared" si="5"/>
        <v>175</v>
      </c>
      <c r="C188" s="16">
        <f t="shared" si="5"/>
        <v>156</v>
      </c>
      <c r="D188" s="16">
        <f t="shared" si="5"/>
        <v>135</v>
      </c>
      <c r="E188" s="16" t="s">
        <v>305</v>
      </c>
    </row>
    <row r="189" spans="1:5" x14ac:dyDescent="0.25">
      <c r="A189" s="16">
        <f t="shared" si="4"/>
        <v>188</v>
      </c>
      <c r="B189" s="16">
        <f t="shared" si="5"/>
        <v>176</v>
      </c>
      <c r="C189" s="16">
        <f t="shared" si="5"/>
        <v>157</v>
      </c>
      <c r="D189" s="16">
        <f t="shared" si="5"/>
        <v>136</v>
      </c>
      <c r="E189" s="16" t="s">
        <v>306</v>
      </c>
    </row>
    <row r="190" spans="1:5" x14ac:dyDescent="0.25">
      <c r="A190" s="16">
        <f t="shared" si="4"/>
        <v>189</v>
      </c>
      <c r="B190" s="16">
        <f t="shared" si="5"/>
        <v>177</v>
      </c>
      <c r="C190" s="16">
        <f t="shared" si="5"/>
        <v>158</v>
      </c>
      <c r="D190" s="16">
        <f t="shared" si="5"/>
        <v>137</v>
      </c>
      <c r="E190" s="16" t="s">
        <v>307</v>
      </c>
    </row>
    <row r="191" spans="1:5" x14ac:dyDescent="0.25">
      <c r="A191" s="16">
        <f t="shared" si="4"/>
        <v>190</v>
      </c>
      <c r="B191" s="16">
        <f t="shared" si="5"/>
        <v>178</v>
      </c>
      <c r="C191" s="16">
        <f t="shared" si="5"/>
        <v>159</v>
      </c>
      <c r="D191" s="16">
        <f t="shared" si="5"/>
        <v>138</v>
      </c>
      <c r="E191" s="16" t="s">
        <v>308</v>
      </c>
    </row>
    <row r="192" spans="1:5" x14ac:dyDescent="0.25">
      <c r="A192" s="16">
        <f t="shared" si="4"/>
        <v>191</v>
      </c>
      <c r="B192" s="16">
        <f t="shared" si="5"/>
        <v>179</v>
      </c>
      <c r="C192" s="16">
        <f t="shared" si="5"/>
        <v>160</v>
      </c>
      <c r="D192" s="16">
        <f t="shared" si="5"/>
        <v>139</v>
      </c>
      <c r="E192" s="16" t="s">
        <v>309</v>
      </c>
    </row>
    <row r="193" spans="1:5" x14ac:dyDescent="0.25">
      <c r="A193" s="16">
        <f t="shared" si="4"/>
        <v>192</v>
      </c>
      <c r="B193" s="16">
        <f t="shared" si="5"/>
        <v>180</v>
      </c>
      <c r="C193" s="16">
        <f t="shared" si="5"/>
        <v>161</v>
      </c>
      <c r="D193" s="16">
        <f t="shared" si="5"/>
        <v>140</v>
      </c>
      <c r="E193" s="16" t="s">
        <v>310</v>
      </c>
    </row>
    <row r="194" spans="1:5" x14ac:dyDescent="0.25">
      <c r="A194" s="16">
        <f t="shared" si="4"/>
        <v>193</v>
      </c>
      <c r="B194" s="16">
        <f t="shared" si="5"/>
        <v>181</v>
      </c>
      <c r="C194" s="16">
        <f t="shared" si="5"/>
        <v>162</v>
      </c>
      <c r="D194" s="16">
        <f t="shared" si="5"/>
        <v>141</v>
      </c>
      <c r="E194" s="16" t="s">
        <v>294</v>
      </c>
    </row>
    <row r="195" spans="1:5" x14ac:dyDescent="0.25">
      <c r="A195" s="16">
        <f t="shared" ref="A195:A258" si="6">IF(ISNUMBER(A194),A194+1,1)</f>
        <v>194</v>
      </c>
      <c r="B195" s="16">
        <f t="shared" si="5"/>
        <v>182</v>
      </c>
      <c r="C195" s="16">
        <f t="shared" si="5"/>
        <v>163</v>
      </c>
      <c r="D195" s="16">
        <f t="shared" si="5"/>
        <v>142</v>
      </c>
      <c r="E195" s="16" t="s">
        <v>282</v>
      </c>
    </row>
    <row r="196" spans="1:5" x14ac:dyDescent="0.25">
      <c r="A196" s="16">
        <f t="shared" si="6"/>
        <v>195</v>
      </c>
      <c r="B196" s="16">
        <f t="shared" si="5"/>
        <v>183</v>
      </c>
      <c r="C196" s="16">
        <f t="shared" si="5"/>
        <v>164</v>
      </c>
      <c r="D196" s="16">
        <f t="shared" si="5"/>
        <v>143</v>
      </c>
      <c r="E196" s="16" t="s">
        <v>283</v>
      </c>
    </row>
    <row r="197" spans="1:5" x14ac:dyDescent="0.25">
      <c r="A197" s="16">
        <f t="shared" si="6"/>
        <v>196</v>
      </c>
      <c r="B197" s="16">
        <f t="shared" si="5"/>
        <v>184</v>
      </c>
      <c r="C197" s="16">
        <f t="shared" si="5"/>
        <v>165</v>
      </c>
      <c r="D197" s="16">
        <f t="shared" si="5"/>
        <v>144</v>
      </c>
      <c r="E197" s="16" t="s">
        <v>315</v>
      </c>
    </row>
    <row r="198" spans="1:5" x14ac:dyDescent="0.25">
      <c r="A198" s="16">
        <f t="shared" si="6"/>
        <v>197</v>
      </c>
      <c r="B198" s="16">
        <f t="shared" si="5"/>
        <v>185</v>
      </c>
      <c r="C198" s="16">
        <f t="shared" si="5"/>
        <v>166</v>
      </c>
      <c r="D198" s="16">
        <f t="shared" si="5"/>
        <v>145</v>
      </c>
      <c r="E198" s="16"/>
    </row>
    <row r="199" spans="1:5" x14ac:dyDescent="0.25">
      <c r="A199" s="16">
        <f t="shared" si="6"/>
        <v>198</v>
      </c>
      <c r="B199" s="16">
        <f t="shared" si="5"/>
        <v>186</v>
      </c>
      <c r="C199" s="16">
        <f t="shared" si="5"/>
        <v>167</v>
      </c>
      <c r="D199" s="16">
        <f t="shared" si="5"/>
        <v>146</v>
      </c>
      <c r="E199" s="16" t="s">
        <v>316</v>
      </c>
    </row>
    <row r="200" spans="1:5" x14ac:dyDescent="0.25">
      <c r="A200" s="16">
        <f t="shared" si="6"/>
        <v>199</v>
      </c>
      <c r="B200" s="16">
        <f t="shared" si="5"/>
        <v>187</v>
      </c>
      <c r="C200" s="16">
        <f t="shared" si="5"/>
        <v>168</v>
      </c>
      <c r="D200" s="16">
        <f t="shared" si="5"/>
        <v>147</v>
      </c>
      <c r="E200" s="16"/>
    </row>
    <row r="201" spans="1:5" x14ac:dyDescent="0.25">
      <c r="A201" s="16">
        <f t="shared" si="6"/>
        <v>200</v>
      </c>
      <c r="B201" s="16">
        <f t="shared" si="5"/>
        <v>188</v>
      </c>
      <c r="C201" s="16">
        <f t="shared" si="5"/>
        <v>169</v>
      </c>
      <c r="D201" s="16">
        <f t="shared" si="5"/>
        <v>148</v>
      </c>
      <c r="E201" s="16" t="s">
        <v>317</v>
      </c>
    </row>
    <row r="202" spans="1:5" x14ac:dyDescent="0.25">
      <c r="A202" s="16">
        <f t="shared" si="6"/>
        <v>201</v>
      </c>
      <c r="B202" s="16">
        <f t="shared" si="5"/>
        <v>189</v>
      </c>
      <c r="C202" s="16">
        <f t="shared" si="5"/>
        <v>170</v>
      </c>
      <c r="D202" s="16">
        <f t="shared" si="5"/>
        <v>149</v>
      </c>
      <c r="E202" s="16" t="s">
        <v>318</v>
      </c>
    </row>
    <row r="203" spans="1:5" x14ac:dyDescent="0.25">
      <c r="A203" s="16">
        <f t="shared" si="6"/>
        <v>202</v>
      </c>
      <c r="B203" s="16">
        <f t="shared" si="5"/>
        <v>190</v>
      </c>
      <c r="C203" s="16">
        <f t="shared" si="5"/>
        <v>171</v>
      </c>
      <c r="D203" s="16">
        <f t="shared" si="5"/>
        <v>150</v>
      </c>
      <c r="E203" s="16"/>
    </row>
    <row r="204" spans="1:5" x14ac:dyDescent="0.25">
      <c r="A204" s="16">
        <f t="shared" si="6"/>
        <v>203</v>
      </c>
      <c r="B204" s="16">
        <f t="shared" si="5"/>
        <v>191</v>
      </c>
      <c r="C204" s="16">
        <f t="shared" si="5"/>
        <v>172</v>
      </c>
      <c r="D204" s="16">
        <f t="shared" si="5"/>
        <v>151</v>
      </c>
      <c r="E204" s="16" t="s">
        <v>279</v>
      </c>
    </row>
    <row r="205" spans="1:5" x14ac:dyDescent="0.25">
      <c r="A205" s="16">
        <f t="shared" si="6"/>
        <v>204</v>
      </c>
      <c r="B205" s="16">
        <f t="shared" si="5"/>
        <v>192</v>
      </c>
      <c r="C205" s="16">
        <f t="shared" si="5"/>
        <v>173</v>
      </c>
      <c r="D205" s="16">
        <f t="shared" si="5"/>
        <v>152</v>
      </c>
      <c r="E205" s="16" t="s">
        <v>280</v>
      </c>
    </row>
    <row r="206" spans="1:5" x14ac:dyDescent="0.25">
      <c r="A206" s="16">
        <f t="shared" si="6"/>
        <v>205</v>
      </c>
      <c r="B206" s="16">
        <f t="shared" si="5"/>
        <v>193</v>
      </c>
      <c r="C206" s="16">
        <f t="shared" si="5"/>
        <v>174</v>
      </c>
      <c r="D206" s="16">
        <f t="shared" si="5"/>
        <v>153</v>
      </c>
      <c r="E206" s="16" t="s">
        <v>319</v>
      </c>
    </row>
    <row r="207" spans="1:5" x14ac:dyDescent="0.25">
      <c r="A207" s="16">
        <f t="shared" si="6"/>
        <v>206</v>
      </c>
      <c r="B207" s="16">
        <f t="shared" si="5"/>
        <v>194</v>
      </c>
      <c r="C207" s="16">
        <f t="shared" si="5"/>
        <v>175</v>
      </c>
      <c r="D207" s="16">
        <f t="shared" si="5"/>
        <v>154</v>
      </c>
      <c r="E207" s="16" t="s">
        <v>289</v>
      </c>
    </row>
    <row r="208" spans="1:5" x14ac:dyDescent="0.25">
      <c r="A208" s="16">
        <f t="shared" si="6"/>
        <v>207</v>
      </c>
      <c r="B208" s="16">
        <f t="shared" ref="B208:D271" si="7">IF(ISNUMBER(A208),B207+1,"")</f>
        <v>195</v>
      </c>
      <c r="C208" s="16">
        <f t="shared" si="7"/>
        <v>176</v>
      </c>
      <c r="D208" s="16">
        <f t="shared" si="7"/>
        <v>155</v>
      </c>
      <c r="E208" s="16" t="s">
        <v>288</v>
      </c>
    </row>
    <row r="209" spans="1:5" x14ac:dyDescent="0.25">
      <c r="A209" s="16">
        <f t="shared" si="6"/>
        <v>208</v>
      </c>
      <c r="B209" s="16">
        <f t="shared" si="7"/>
        <v>196</v>
      </c>
      <c r="C209" s="16">
        <f t="shared" si="7"/>
        <v>177</v>
      </c>
      <c r="D209" s="16">
        <f t="shared" si="7"/>
        <v>156</v>
      </c>
      <c r="E209" s="16" t="s">
        <v>287</v>
      </c>
    </row>
    <row r="210" spans="1:5" x14ac:dyDescent="0.25">
      <c r="A210" s="16">
        <f t="shared" si="6"/>
        <v>209</v>
      </c>
      <c r="B210" s="16">
        <f t="shared" si="7"/>
        <v>197</v>
      </c>
      <c r="C210" s="16">
        <f t="shared" si="7"/>
        <v>178</v>
      </c>
      <c r="D210" s="16">
        <f t="shared" si="7"/>
        <v>157</v>
      </c>
      <c r="E210" s="16" t="s">
        <v>286</v>
      </c>
    </row>
    <row r="211" spans="1:5" x14ac:dyDescent="0.25">
      <c r="A211" s="16">
        <f t="shared" si="6"/>
        <v>210</v>
      </c>
      <c r="B211" s="16">
        <f t="shared" si="7"/>
        <v>198</v>
      </c>
      <c r="C211" s="16">
        <f t="shared" si="7"/>
        <v>179</v>
      </c>
      <c r="D211" s="16">
        <f t="shared" si="7"/>
        <v>158</v>
      </c>
      <c r="E211" s="16" t="s">
        <v>285</v>
      </c>
    </row>
    <row r="212" spans="1:5" x14ac:dyDescent="0.25">
      <c r="A212" s="16">
        <f t="shared" si="6"/>
        <v>211</v>
      </c>
      <c r="B212" s="16">
        <f t="shared" si="7"/>
        <v>199</v>
      </c>
      <c r="C212" s="16">
        <f t="shared" si="7"/>
        <v>180</v>
      </c>
      <c r="D212" s="16">
        <f t="shared" si="7"/>
        <v>159</v>
      </c>
      <c r="E212" s="16" t="s">
        <v>284</v>
      </c>
    </row>
    <row r="213" spans="1:5" x14ac:dyDescent="0.25">
      <c r="A213" s="16">
        <f t="shared" si="6"/>
        <v>212</v>
      </c>
      <c r="B213" s="16">
        <f t="shared" si="7"/>
        <v>200</v>
      </c>
      <c r="C213" s="16">
        <f t="shared" si="7"/>
        <v>181</v>
      </c>
      <c r="D213" s="16">
        <f t="shared" si="7"/>
        <v>160</v>
      </c>
      <c r="E213" s="16" t="s">
        <v>283</v>
      </c>
    </row>
    <row r="214" spans="1:5" x14ac:dyDescent="0.25">
      <c r="A214" s="16">
        <f t="shared" si="6"/>
        <v>213</v>
      </c>
      <c r="B214" s="16">
        <f t="shared" si="7"/>
        <v>201</v>
      </c>
      <c r="C214" s="16">
        <f t="shared" si="7"/>
        <v>182</v>
      </c>
      <c r="D214" s="16">
        <f t="shared" si="7"/>
        <v>161</v>
      </c>
      <c r="E214" s="16" t="s">
        <v>320</v>
      </c>
    </row>
    <row r="215" spans="1:5" x14ac:dyDescent="0.25">
      <c r="A215" s="16">
        <f t="shared" si="6"/>
        <v>214</v>
      </c>
      <c r="B215" s="16">
        <f t="shared" si="7"/>
        <v>202</v>
      </c>
      <c r="C215" s="16">
        <f t="shared" si="7"/>
        <v>183</v>
      </c>
      <c r="D215" s="16">
        <f t="shared" si="7"/>
        <v>162</v>
      </c>
      <c r="E215" s="16"/>
    </row>
    <row r="216" spans="1:5" x14ac:dyDescent="0.25">
      <c r="A216" s="16">
        <f t="shared" si="6"/>
        <v>215</v>
      </c>
      <c r="B216" s="16">
        <f t="shared" si="7"/>
        <v>203</v>
      </c>
      <c r="C216" s="16">
        <f t="shared" si="7"/>
        <v>184</v>
      </c>
      <c r="D216" s="16">
        <f t="shared" si="7"/>
        <v>163</v>
      </c>
      <c r="E216" s="16" t="s">
        <v>316</v>
      </c>
    </row>
    <row r="217" spans="1:5" x14ac:dyDescent="0.25">
      <c r="A217" s="16">
        <f t="shared" si="6"/>
        <v>216</v>
      </c>
      <c r="B217" s="16">
        <f t="shared" si="7"/>
        <v>204</v>
      </c>
      <c r="C217" s="16">
        <f t="shared" si="7"/>
        <v>185</v>
      </c>
      <c r="D217" s="16">
        <f t="shared" si="7"/>
        <v>164</v>
      </c>
      <c r="E217" s="16"/>
    </row>
    <row r="218" spans="1:5" x14ac:dyDescent="0.25">
      <c r="A218" s="16">
        <f t="shared" si="6"/>
        <v>217</v>
      </c>
      <c r="B218" s="16">
        <f t="shared" si="7"/>
        <v>205</v>
      </c>
      <c r="C218" s="16">
        <f t="shared" si="7"/>
        <v>186</v>
      </c>
      <c r="D218" s="16">
        <f t="shared" si="7"/>
        <v>165</v>
      </c>
      <c r="E218" s="16" t="s">
        <v>321</v>
      </c>
    </row>
    <row r="219" spans="1:5" x14ac:dyDescent="0.25">
      <c r="A219" s="16">
        <f t="shared" si="6"/>
        <v>218</v>
      </c>
      <c r="B219" s="16">
        <f t="shared" si="7"/>
        <v>206</v>
      </c>
      <c r="C219" s="16">
        <f t="shared" si="7"/>
        <v>187</v>
      </c>
      <c r="D219" s="16">
        <f t="shared" si="7"/>
        <v>166</v>
      </c>
      <c r="E219" s="16" t="s">
        <v>322</v>
      </c>
    </row>
    <row r="220" spans="1:5" x14ac:dyDescent="0.25">
      <c r="A220" s="16">
        <f t="shared" si="6"/>
        <v>219</v>
      </c>
      <c r="B220" s="16">
        <f t="shared" si="7"/>
        <v>207</v>
      </c>
      <c r="C220" s="16">
        <f t="shared" si="7"/>
        <v>188</v>
      </c>
      <c r="D220" s="16">
        <f t="shared" si="7"/>
        <v>167</v>
      </c>
      <c r="E220" s="16"/>
    </row>
    <row r="221" spans="1:5" x14ac:dyDescent="0.25">
      <c r="A221" s="16">
        <f t="shared" si="6"/>
        <v>220</v>
      </c>
      <c r="B221" s="16">
        <f t="shared" si="7"/>
        <v>208</v>
      </c>
      <c r="C221" s="16">
        <f t="shared" si="7"/>
        <v>189</v>
      </c>
      <c r="D221" s="16">
        <f t="shared" si="7"/>
        <v>168</v>
      </c>
      <c r="E221" s="16" t="s">
        <v>279</v>
      </c>
    </row>
    <row r="222" spans="1:5" x14ac:dyDescent="0.25">
      <c r="A222" s="16">
        <f t="shared" si="6"/>
        <v>221</v>
      </c>
      <c r="B222" s="16">
        <f t="shared" si="7"/>
        <v>209</v>
      </c>
      <c r="C222" s="16">
        <f t="shared" si="7"/>
        <v>190</v>
      </c>
      <c r="D222" s="16">
        <f t="shared" si="7"/>
        <v>169</v>
      </c>
      <c r="E222" s="16" t="s">
        <v>280</v>
      </c>
    </row>
    <row r="223" spans="1:5" x14ac:dyDescent="0.25">
      <c r="A223" s="16">
        <f t="shared" si="6"/>
        <v>222</v>
      </c>
      <c r="B223" s="16">
        <f t="shared" si="7"/>
        <v>210</v>
      </c>
      <c r="C223" s="16">
        <f t="shared" si="7"/>
        <v>191</v>
      </c>
      <c r="D223" s="16">
        <f t="shared" si="7"/>
        <v>170</v>
      </c>
      <c r="E223" s="16" t="s">
        <v>323</v>
      </c>
    </row>
    <row r="224" spans="1:5" x14ac:dyDescent="0.25">
      <c r="A224" s="16">
        <f t="shared" si="6"/>
        <v>223</v>
      </c>
      <c r="B224" s="16">
        <f t="shared" si="7"/>
        <v>211</v>
      </c>
      <c r="C224" s="16">
        <f t="shared" si="7"/>
        <v>192</v>
      </c>
      <c r="D224" s="16">
        <f t="shared" si="7"/>
        <v>171</v>
      </c>
      <c r="E224" s="16" t="s">
        <v>296</v>
      </c>
    </row>
    <row r="225" spans="1:5" x14ac:dyDescent="0.25">
      <c r="A225" s="16">
        <f t="shared" si="6"/>
        <v>224</v>
      </c>
      <c r="B225" s="16">
        <f t="shared" si="7"/>
        <v>212</v>
      </c>
      <c r="C225" s="16">
        <f t="shared" si="7"/>
        <v>193</v>
      </c>
      <c r="D225" s="16">
        <f t="shared" si="7"/>
        <v>172</v>
      </c>
      <c r="E225" s="16" t="s">
        <v>295</v>
      </c>
    </row>
    <row r="226" spans="1:5" x14ac:dyDescent="0.25">
      <c r="A226" s="16">
        <f t="shared" si="6"/>
        <v>225</v>
      </c>
      <c r="B226" s="16">
        <f t="shared" si="7"/>
        <v>213</v>
      </c>
      <c r="C226" s="16">
        <f t="shared" si="7"/>
        <v>194</v>
      </c>
      <c r="D226" s="16">
        <f t="shared" si="7"/>
        <v>173</v>
      </c>
      <c r="E226" s="16" t="s">
        <v>289</v>
      </c>
    </row>
    <row r="227" spans="1:5" x14ac:dyDescent="0.25">
      <c r="A227" s="16">
        <f t="shared" si="6"/>
        <v>226</v>
      </c>
      <c r="B227" s="16">
        <f t="shared" si="7"/>
        <v>214</v>
      </c>
      <c r="C227" s="16">
        <f t="shared" si="7"/>
        <v>195</v>
      </c>
      <c r="D227" s="16">
        <f t="shared" si="7"/>
        <v>174</v>
      </c>
      <c r="E227" s="16" t="s">
        <v>288</v>
      </c>
    </row>
    <row r="228" spans="1:5" x14ac:dyDescent="0.25">
      <c r="A228" s="16">
        <f t="shared" si="6"/>
        <v>227</v>
      </c>
      <c r="B228" s="16">
        <f t="shared" si="7"/>
        <v>215</v>
      </c>
      <c r="C228" s="16">
        <f t="shared" si="7"/>
        <v>196</v>
      </c>
      <c r="D228" s="16">
        <f t="shared" si="7"/>
        <v>175</v>
      </c>
      <c r="E228" s="16" t="s">
        <v>287</v>
      </c>
    </row>
    <row r="229" spans="1:5" x14ac:dyDescent="0.25">
      <c r="A229" s="16">
        <f t="shared" si="6"/>
        <v>228</v>
      </c>
      <c r="B229" s="16">
        <f t="shared" si="7"/>
        <v>216</v>
      </c>
      <c r="C229" s="16">
        <f t="shared" si="7"/>
        <v>197</v>
      </c>
      <c r="D229" s="16">
        <f t="shared" si="7"/>
        <v>176</v>
      </c>
      <c r="E229" s="16" t="s">
        <v>286</v>
      </c>
    </row>
    <row r="230" spans="1:5" x14ac:dyDescent="0.25">
      <c r="A230" s="16">
        <f t="shared" si="6"/>
        <v>229</v>
      </c>
      <c r="B230" s="16">
        <f t="shared" si="7"/>
        <v>217</v>
      </c>
      <c r="C230" s="16">
        <f t="shared" si="7"/>
        <v>198</v>
      </c>
      <c r="D230" s="16">
        <f t="shared" si="7"/>
        <v>177</v>
      </c>
      <c r="E230" s="16" t="s">
        <v>285</v>
      </c>
    </row>
    <row r="231" spans="1:5" x14ac:dyDescent="0.25">
      <c r="A231" s="16">
        <f t="shared" si="6"/>
        <v>230</v>
      </c>
      <c r="B231" s="16">
        <f t="shared" si="7"/>
        <v>218</v>
      </c>
      <c r="C231" s="16">
        <f t="shared" si="7"/>
        <v>199</v>
      </c>
      <c r="D231" s="16">
        <f t="shared" si="7"/>
        <v>178</v>
      </c>
      <c r="E231" s="16" t="s">
        <v>284</v>
      </c>
    </row>
    <row r="232" spans="1:5" x14ac:dyDescent="0.25">
      <c r="A232" s="16">
        <f t="shared" si="6"/>
        <v>231</v>
      </c>
      <c r="B232" s="16">
        <f t="shared" si="7"/>
        <v>219</v>
      </c>
      <c r="C232" s="16">
        <f t="shared" si="7"/>
        <v>200</v>
      </c>
      <c r="D232" s="16">
        <f t="shared" si="7"/>
        <v>179</v>
      </c>
      <c r="E232" s="16" t="s">
        <v>283</v>
      </c>
    </row>
    <row r="233" spans="1:5" x14ac:dyDescent="0.25">
      <c r="A233" s="16">
        <f t="shared" si="6"/>
        <v>232</v>
      </c>
      <c r="B233" s="16">
        <f t="shared" si="7"/>
        <v>220</v>
      </c>
      <c r="C233" s="16">
        <f t="shared" si="7"/>
        <v>201</v>
      </c>
      <c r="D233" s="16">
        <f t="shared" si="7"/>
        <v>180</v>
      </c>
      <c r="E233" s="16" t="s">
        <v>282</v>
      </c>
    </row>
    <row r="234" spans="1:5" x14ac:dyDescent="0.25">
      <c r="A234" s="16">
        <f t="shared" si="6"/>
        <v>233</v>
      </c>
      <c r="B234" s="16">
        <f t="shared" si="7"/>
        <v>221</v>
      </c>
      <c r="C234" s="16">
        <f t="shared" si="7"/>
        <v>202</v>
      </c>
      <c r="D234" s="16">
        <f t="shared" si="7"/>
        <v>181</v>
      </c>
      <c r="E234" s="16" t="s">
        <v>324</v>
      </c>
    </row>
    <row r="235" spans="1:5" x14ac:dyDescent="0.25">
      <c r="A235" s="16">
        <f t="shared" si="6"/>
        <v>234</v>
      </c>
      <c r="B235" s="16">
        <f t="shared" si="7"/>
        <v>222</v>
      </c>
      <c r="C235" s="16">
        <f t="shared" si="7"/>
        <v>203</v>
      </c>
      <c r="D235" s="16">
        <f t="shared" si="7"/>
        <v>182</v>
      </c>
      <c r="E235" s="16"/>
    </row>
    <row r="236" spans="1:5" x14ac:dyDescent="0.25">
      <c r="A236" s="16">
        <f t="shared" si="6"/>
        <v>235</v>
      </c>
      <c r="B236" s="16">
        <f t="shared" si="7"/>
        <v>223</v>
      </c>
      <c r="C236" s="16">
        <f t="shared" si="7"/>
        <v>204</v>
      </c>
      <c r="D236" s="16">
        <f t="shared" si="7"/>
        <v>183</v>
      </c>
      <c r="E236" s="16" t="s">
        <v>316</v>
      </c>
    </row>
    <row r="237" spans="1:5" x14ac:dyDescent="0.25">
      <c r="A237" s="16">
        <f t="shared" si="6"/>
        <v>236</v>
      </c>
      <c r="B237" s="16">
        <f t="shared" si="7"/>
        <v>224</v>
      </c>
      <c r="C237" s="16">
        <f t="shared" si="7"/>
        <v>205</v>
      </c>
      <c r="D237" s="16">
        <f t="shared" si="7"/>
        <v>184</v>
      </c>
      <c r="E237" s="16"/>
    </row>
    <row r="238" spans="1:5" x14ac:dyDescent="0.25">
      <c r="A238" s="16">
        <f t="shared" si="6"/>
        <v>237</v>
      </c>
      <c r="B238" s="16">
        <f t="shared" si="7"/>
        <v>225</v>
      </c>
      <c r="C238" s="16">
        <f t="shared" si="7"/>
        <v>206</v>
      </c>
      <c r="D238" s="16">
        <f t="shared" si="7"/>
        <v>185</v>
      </c>
      <c r="E238" s="16" t="s">
        <v>325</v>
      </c>
    </row>
    <row r="239" spans="1:5" x14ac:dyDescent="0.25">
      <c r="A239" s="16">
        <f t="shared" si="6"/>
        <v>238</v>
      </c>
      <c r="B239" s="16">
        <f t="shared" si="7"/>
        <v>226</v>
      </c>
      <c r="C239" s="16">
        <f t="shared" si="7"/>
        <v>207</v>
      </c>
      <c r="D239" s="16">
        <f t="shared" si="7"/>
        <v>186</v>
      </c>
      <c r="E239" s="16" t="s">
        <v>326</v>
      </c>
    </row>
    <row r="240" spans="1:5" x14ac:dyDescent="0.25">
      <c r="A240" s="16">
        <f t="shared" si="6"/>
        <v>239</v>
      </c>
      <c r="B240" s="16">
        <f t="shared" si="7"/>
        <v>227</v>
      </c>
      <c r="C240" s="16">
        <f t="shared" si="7"/>
        <v>208</v>
      </c>
      <c r="D240" s="16">
        <f t="shared" si="7"/>
        <v>187</v>
      </c>
      <c r="E240" s="16"/>
    </row>
    <row r="241" spans="1:5" x14ac:dyDescent="0.25">
      <c r="A241" s="16">
        <f t="shared" si="6"/>
        <v>240</v>
      </c>
      <c r="B241" s="16">
        <f t="shared" si="7"/>
        <v>228</v>
      </c>
      <c r="C241" s="16">
        <f t="shared" si="7"/>
        <v>209</v>
      </c>
      <c r="D241" s="16">
        <f t="shared" si="7"/>
        <v>188</v>
      </c>
      <c r="E241" s="16" t="s">
        <v>279</v>
      </c>
    </row>
    <row r="242" spans="1:5" x14ac:dyDescent="0.25">
      <c r="A242" s="16">
        <f t="shared" si="6"/>
        <v>241</v>
      </c>
      <c r="B242" s="16">
        <f t="shared" si="7"/>
        <v>229</v>
      </c>
      <c r="C242" s="16">
        <f t="shared" si="7"/>
        <v>210</v>
      </c>
      <c r="D242" s="16">
        <f t="shared" si="7"/>
        <v>189</v>
      </c>
      <c r="E242" s="16" t="s">
        <v>280</v>
      </c>
    </row>
    <row r="243" spans="1:5" x14ac:dyDescent="0.25">
      <c r="A243" s="16">
        <f t="shared" si="6"/>
        <v>242</v>
      </c>
      <c r="B243" s="16">
        <f t="shared" si="7"/>
        <v>230</v>
      </c>
      <c r="C243" s="16">
        <f t="shared" si="7"/>
        <v>211</v>
      </c>
      <c r="D243" s="16">
        <f t="shared" si="7"/>
        <v>190</v>
      </c>
      <c r="E243" s="16" t="s">
        <v>327</v>
      </c>
    </row>
    <row r="244" spans="1:5" x14ac:dyDescent="0.25">
      <c r="A244" s="16">
        <f t="shared" si="6"/>
        <v>243</v>
      </c>
      <c r="B244" s="16">
        <f t="shared" si="7"/>
        <v>231</v>
      </c>
      <c r="C244" s="16">
        <f t="shared" si="7"/>
        <v>212</v>
      </c>
      <c r="D244" s="16">
        <f t="shared" si="7"/>
        <v>191</v>
      </c>
      <c r="E244" s="16" t="s">
        <v>284</v>
      </c>
    </row>
    <row r="245" spans="1:5" x14ac:dyDescent="0.25">
      <c r="A245" s="16">
        <f t="shared" si="6"/>
        <v>244</v>
      </c>
      <c r="B245" s="16">
        <f t="shared" si="7"/>
        <v>232</v>
      </c>
      <c r="C245" s="16">
        <f t="shared" si="7"/>
        <v>213</v>
      </c>
      <c r="D245" s="16">
        <f t="shared" si="7"/>
        <v>192</v>
      </c>
      <c r="E245" s="16" t="s">
        <v>283</v>
      </c>
    </row>
    <row r="246" spans="1:5" x14ac:dyDescent="0.25">
      <c r="A246" s="16">
        <f t="shared" si="6"/>
        <v>245</v>
      </c>
      <c r="B246" s="16">
        <f t="shared" si="7"/>
        <v>233</v>
      </c>
      <c r="C246" s="16">
        <f t="shared" si="7"/>
        <v>214</v>
      </c>
      <c r="D246" s="16">
        <f t="shared" si="7"/>
        <v>193</v>
      </c>
      <c r="E246" s="16" t="s">
        <v>282</v>
      </c>
    </row>
    <row r="247" spans="1:5" x14ac:dyDescent="0.25">
      <c r="A247" s="16">
        <f t="shared" si="6"/>
        <v>246</v>
      </c>
      <c r="B247" s="16">
        <f t="shared" si="7"/>
        <v>234</v>
      </c>
      <c r="C247" s="16">
        <f t="shared" si="7"/>
        <v>215</v>
      </c>
      <c r="D247" s="16">
        <f t="shared" si="7"/>
        <v>194</v>
      </c>
      <c r="E247" s="16" t="s">
        <v>294</v>
      </c>
    </row>
    <row r="248" spans="1:5" x14ac:dyDescent="0.25">
      <c r="A248" s="16">
        <f t="shared" si="6"/>
        <v>247</v>
      </c>
      <c r="B248" s="16">
        <f t="shared" si="7"/>
        <v>235</v>
      </c>
      <c r="C248" s="16">
        <f t="shared" si="7"/>
        <v>216</v>
      </c>
      <c r="D248" s="16">
        <f t="shared" si="7"/>
        <v>195</v>
      </c>
      <c r="E248" s="16" t="s">
        <v>310</v>
      </c>
    </row>
    <row r="249" spans="1:5" x14ac:dyDescent="0.25">
      <c r="A249" s="16">
        <f t="shared" si="6"/>
        <v>248</v>
      </c>
      <c r="B249" s="16">
        <f t="shared" si="7"/>
        <v>236</v>
      </c>
      <c r="C249" s="16">
        <f t="shared" si="7"/>
        <v>217</v>
      </c>
      <c r="D249" s="16">
        <f t="shared" si="7"/>
        <v>196</v>
      </c>
      <c r="E249" s="16" t="s">
        <v>309</v>
      </c>
    </row>
    <row r="250" spans="1:5" x14ac:dyDescent="0.25">
      <c r="A250" s="16">
        <f t="shared" si="6"/>
        <v>249</v>
      </c>
      <c r="B250" s="16">
        <f t="shared" si="7"/>
        <v>237</v>
      </c>
      <c r="C250" s="16">
        <f t="shared" si="7"/>
        <v>218</v>
      </c>
      <c r="D250" s="16">
        <f t="shared" si="7"/>
        <v>197</v>
      </c>
      <c r="E250" s="16" t="s">
        <v>308</v>
      </c>
    </row>
    <row r="251" spans="1:5" x14ac:dyDescent="0.25">
      <c r="A251" s="16">
        <f t="shared" si="6"/>
        <v>250</v>
      </c>
      <c r="B251" s="16">
        <f t="shared" si="7"/>
        <v>238</v>
      </c>
      <c r="C251" s="16">
        <f t="shared" si="7"/>
        <v>219</v>
      </c>
      <c r="D251" s="16">
        <f t="shared" si="7"/>
        <v>198</v>
      </c>
      <c r="E251" s="16" t="s">
        <v>307</v>
      </c>
    </row>
    <row r="252" spans="1:5" x14ac:dyDescent="0.25">
      <c r="A252" s="16">
        <f t="shared" si="6"/>
        <v>251</v>
      </c>
      <c r="B252" s="16">
        <f t="shared" si="7"/>
        <v>239</v>
      </c>
      <c r="C252" s="16">
        <f t="shared" si="7"/>
        <v>220</v>
      </c>
      <c r="D252" s="16">
        <f t="shared" si="7"/>
        <v>199</v>
      </c>
      <c r="E252" s="16" t="s">
        <v>306</v>
      </c>
    </row>
    <row r="253" spans="1:5" x14ac:dyDescent="0.25">
      <c r="A253" s="16">
        <f t="shared" si="6"/>
        <v>252</v>
      </c>
      <c r="B253" s="16">
        <f t="shared" si="7"/>
        <v>240</v>
      </c>
      <c r="C253" s="16">
        <f t="shared" si="7"/>
        <v>221</v>
      </c>
      <c r="D253" s="16">
        <f t="shared" si="7"/>
        <v>200</v>
      </c>
      <c r="E253" s="16" t="s">
        <v>305</v>
      </c>
    </row>
    <row r="254" spans="1:5" x14ac:dyDescent="0.25">
      <c r="A254" s="16">
        <f t="shared" si="6"/>
        <v>253</v>
      </c>
      <c r="B254" s="16">
        <f t="shared" si="7"/>
        <v>241</v>
      </c>
      <c r="C254" s="16">
        <f t="shared" si="7"/>
        <v>222</v>
      </c>
      <c r="D254" s="16">
        <f t="shared" si="7"/>
        <v>201</v>
      </c>
      <c r="E254" s="16" t="s">
        <v>304</v>
      </c>
    </row>
    <row r="255" spans="1:5" x14ac:dyDescent="0.25">
      <c r="A255" s="16">
        <f t="shared" si="6"/>
        <v>254</v>
      </c>
      <c r="B255" s="16">
        <f t="shared" si="7"/>
        <v>242</v>
      </c>
      <c r="C255" s="16">
        <f t="shared" si="7"/>
        <v>223</v>
      </c>
      <c r="D255" s="16">
        <f t="shared" si="7"/>
        <v>202</v>
      </c>
      <c r="E255" s="16" t="s">
        <v>303</v>
      </c>
    </row>
    <row r="256" spans="1:5" x14ac:dyDescent="0.25">
      <c r="A256" s="16">
        <f t="shared" si="6"/>
        <v>255</v>
      </c>
      <c r="B256" s="16">
        <f t="shared" si="7"/>
        <v>243</v>
      </c>
      <c r="C256" s="16">
        <f t="shared" si="7"/>
        <v>224</v>
      </c>
      <c r="D256" s="16">
        <f t="shared" si="7"/>
        <v>203</v>
      </c>
      <c r="E256" s="16" t="s">
        <v>302</v>
      </c>
    </row>
    <row r="257" spans="1:5" x14ac:dyDescent="0.25">
      <c r="A257" s="16">
        <f t="shared" si="6"/>
        <v>256</v>
      </c>
      <c r="B257" s="16">
        <f t="shared" si="7"/>
        <v>244</v>
      </c>
      <c r="C257" s="16">
        <f t="shared" si="7"/>
        <v>225</v>
      </c>
      <c r="D257" s="16">
        <f t="shared" si="7"/>
        <v>204</v>
      </c>
      <c r="E257" s="16" t="s">
        <v>328</v>
      </c>
    </row>
    <row r="258" spans="1:5" x14ac:dyDescent="0.25">
      <c r="A258" s="16">
        <f t="shared" si="6"/>
        <v>257</v>
      </c>
      <c r="B258" s="16">
        <f t="shared" si="7"/>
        <v>245</v>
      </c>
      <c r="C258" s="16">
        <f t="shared" si="7"/>
        <v>226</v>
      </c>
      <c r="D258" s="16">
        <f t="shared" si="7"/>
        <v>205</v>
      </c>
      <c r="E258" s="16"/>
    </row>
    <row r="259" spans="1:5" x14ac:dyDescent="0.25">
      <c r="A259" s="16">
        <f t="shared" ref="A259:A322" si="8">IF(ISNUMBER(A258),A258+1,1)</f>
        <v>258</v>
      </c>
      <c r="B259" s="16">
        <f t="shared" si="7"/>
        <v>246</v>
      </c>
      <c r="C259" s="16">
        <f t="shared" si="7"/>
        <v>227</v>
      </c>
      <c r="D259" s="16">
        <f t="shared" si="7"/>
        <v>206</v>
      </c>
      <c r="E259" s="16" t="s">
        <v>329</v>
      </c>
    </row>
    <row r="260" spans="1:5" x14ac:dyDescent="0.25">
      <c r="A260" s="16">
        <f t="shared" si="8"/>
        <v>259</v>
      </c>
      <c r="B260" s="16">
        <f t="shared" si="7"/>
        <v>247</v>
      </c>
      <c r="C260" s="16">
        <f t="shared" si="7"/>
        <v>228</v>
      </c>
      <c r="D260" s="16">
        <f t="shared" si="7"/>
        <v>207</v>
      </c>
      <c r="E260" s="16"/>
    </row>
    <row r="261" spans="1:5" x14ac:dyDescent="0.25">
      <c r="A261" s="16">
        <f t="shared" si="8"/>
        <v>260</v>
      </c>
      <c r="B261" s="16">
        <f t="shared" si="7"/>
        <v>248</v>
      </c>
      <c r="C261" s="16">
        <f t="shared" si="7"/>
        <v>229</v>
      </c>
      <c r="D261" s="16">
        <f t="shared" si="7"/>
        <v>208</v>
      </c>
      <c r="E261" s="16" t="s">
        <v>317</v>
      </c>
    </row>
    <row r="262" spans="1:5" x14ac:dyDescent="0.25">
      <c r="A262" s="16">
        <f t="shared" si="8"/>
        <v>261</v>
      </c>
      <c r="B262" s="16">
        <f t="shared" si="7"/>
        <v>249</v>
      </c>
      <c r="C262" s="16">
        <f t="shared" si="7"/>
        <v>230</v>
      </c>
      <c r="D262" s="16">
        <f t="shared" si="7"/>
        <v>209</v>
      </c>
      <c r="E262" s="16" t="s">
        <v>318</v>
      </c>
    </row>
    <row r="263" spans="1:5" x14ac:dyDescent="0.25">
      <c r="A263" s="16">
        <f t="shared" si="8"/>
        <v>262</v>
      </c>
      <c r="B263" s="16">
        <f t="shared" si="7"/>
        <v>250</v>
      </c>
      <c r="C263" s="16">
        <f t="shared" si="7"/>
        <v>231</v>
      </c>
      <c r="D263" s="16">
        <f t="shared" si="7"/>
        <v>210</v>
      </c>
      <c r="E263" s="16"/>
    </row>
    <row r="264" spans="1:5" x14ac:dyDescent="0.25">
      <c r="A264" s="16">
        <f t="shared" si="8"/>
        <v>263</v>
      </c>
      <c r="B264" s="16">
        <f t="shared" si="7"/>
        <v>251</v>
      </c>
      <c r="C264" s="16">
        <f t="shared" si="7"/>
        <v>232</v>
      </c>
      <c r="D264" s="16">
        <f t="shared" si="7"/>
        <v>211</v>
      </c>
      <c r="E264" s="16" t="s">
        <v>279</v>
      </c>
    </row>
    <row r="265" spans="1:5" x14ac:dyDescent="0.25">
      <c r="A265" s="16">
        <f t="shared" si="8"/>
        <v>264</v>
      </c>
      <c r="B265" s="16">
        <f t="shared" si="7"/>
        <v>252</v>
      </c>
      <c r="C265" s="16">
        <f t="shared" si="7"/>
        <v>233</v>
      </c>
      <c r="D265" s="16">
        <f t="shared" si="7"/>
        <v>212</v>
      </c>
      <c r="E265" s="16" t="s">
        <v>280</v>
      </c>
    </row>
    <row r="266" spans="1:5" x14ac:dyDescent="0.25">
      <c r="A266" s="16">
        <f t="shared" si="8"/>
        <v>265</v>
      </c>
      <c r="B266" s="16">
        <f t="shared" si="7"/>
        <v>253</v>
      </c>
      <c r="C266" s="16">
        <f t="shared" si="7"/>
        <v>234</v>
      </c>
      <c r="D266" s="16">
        <f t="shared" si="7"/>
        <v>213</v>
      </c>
      <c r="E266" s="16" t="s">
        <v>319</v>
      </c>
    </row>
    <row r="267" spans="1:5" x14ac:dyDescent="0.25">
      <c r="A267" s="16">
        <f t="shared" si="8"/>
        <v>266</v>
      </c>
      <c r="B267" s="16">
        <f t="shared" si="7"/>
        <v>254</v>
      </c>
      <c r="C267" s="16">
        <f t="shared" si="7"/>
        <v>235</v>
      </c>
      <c r="D267" s="16">
        <f t="shared" si="7"/>
        <v>214</v>
      </c>
      <c r="E267" s="16" t="s">
        <v>289</v>
      </c>
    </row>
    <row r="268" spans="1:5" x14ac:dyDescent="0.25">
      <c r="A268" s="16">
        <f t="shared" si="8"/>
        <v>267</v>
      </c>
      <c r="B268" s="16">
        <f t="shared" si="7"/>
        <v>255</v>
      </c>
      <c r="C268" s="16">
        <f t="shared" si="7"/>
        <v>236</v>
      </c>
      <c r="D268" s="16">
        <f t="shared" si="7"/>
        <v>215</v>
      </c>
      <c r="E268" s="16" t="s">
        <v>288</v>
      </c>
    </row>
    <row r="269" spans="1:5" x14ac:dyDescent="0.25">
      <c r="A269" s="16">
        <f t="shared" si="8"/>
        <v>268</v>
      </c>
      <c r="B269" s="16">
        <f t="shared" si="7"/>
        <v>256</v>
      </c>
      <c r="C269" s="16">
        <f t="shared" si="7"/>
        <v>237</v>
      </c>
      <c r="D269" s="16">
        <f t="shared" si="7"/>
        <v>216</v>
      </c>
      <c r="E269" s="16" t="s">
        <v>287</v>
      </c>
    </row>
    <row r="270" spans="1:5" x14ac:dyDescent="0.25">
      <c r="A270" s="16">
        <f t="shared" si="8"/>
        <v>269</v>
      </c>
      <c r="B270" s="16">
        <f t="shared" si="7"/>
        <v>257</v>
      </c>
      <c r="C270" s="16">
        <f t="shared" si="7"/>
        <v>238</v>
      </c>
      <c r="D270" s="16">
        <f t="shared" si="7"/>
        <v>217</v>
      </c>
      <c r="E270" s="16" t="s">
        <v>286</v>
      </c>
    </row>
    <row r="271" spans="1:5" x14ac:dyDescent="0.25">
      <c r="A271" s="16">
        <f t="shared" si="8"/>
        <v>270</v>
      </c>
      <c r="B271" s="16">
        <f t="shared" si="7"/>
        <v>258</v>
      </c>
      <c r="C271" s="16">
        <f t="shared" si="7"/>
        <v>239</v>
      </c>
      <c r="D271" s="16">
        <f t="shared" si="7"/>
        <v>218</v>
      </c>
      <c r="E271" s="16" t="s">
        <v>285</v>
      </c>
    </row>
    <row r="272" spans="1:5" x14ac:dyDescent="0.25">
      <c r="A272" s="16">
        <f t="shared" si="8"/>
        <v>271</v>
      </c>
      <c r="B272" s="16">
        <f t="shared" ref="B272:D335" si="9">IF(ISNUMBER(A272),B271+1,"")</f>
        <v>259</v>
      </c>
      <c r="C272" s="16">
        <f t="shared" si="9"/>
        <v>240</v>
      </c>
      <c r="D272" s="16">
        <f t="shared" si="9"/>
        <v>219</v>
      </c>
      <c r="E272" s="16" t="s">
        <v>284</v>
      </c>
    </row>
    <row r="273" spans="1:5" x14ac:dyDescent="0.25">
      <c r="A273" s="16">
        <f t="shared" si="8"/>
        <v>272</v>
      </c>
      <c r="B273" s="16">
        <f t="shared" si="9"/>
        <v>260</v>
      </c>
      <c r="C273" s="16">
        <f t="shared" si="9"/>
        <v>241</v>
      </c>
      <c r="D273" s="16">
        <f t="shared" si="9"/>
        <v>220</v>
      </c>
      <c r="E273" s="16" t="s">
        <v>283</v>
      </c>
    </row>
    <row r="274" spans="1:5" x14ac:dyDescent="0.25">
      <c r="A274" s="16">
        <f t="shared" si="8"/>
        <v>273</v>
      </c>
      <c r="B274" s="16">
        <f t="shared" si="9"/>
        <v>261</v>
      </c>
      <c r="C274" s="16">
        <f t="shared" si="9"/>
        <v>242</v>
      </c>
      <c r="D274" s="16">
        <f t="shared" si="9"/>
        <v>221</v>
      </c>
      <c r="E274" s="16" t="s">
        <v>282</v>
      </c>
    </row>
    <row r="275" spans="1:5" x14ac:dyDescent="0.25">
      <c r="A275" s="16">
        <f t="shared" si="8"/>
        <v>274</v>
      </c>
      <c r="B275" s="16">
        <f t="shared" si="9"/>
        <v>262</v>
      </c>
      <c r="C275" s="16">
        <f t="shared" si="9"/>
        <v>243</v>
      </c>
      <c r="D275" s="16">
        <f t="shared" si="9"/>
        <v>222</v>
      </c>
      <c r="E275" s="16" t="s">
        <v>324</v>
      </c>
    </row>
    <row r="276" spans="1:5" x14ac:dyDescent="0.25">
      <c r="A276" s="16">
        <f t="shared" si="8"/>
        <v>275</v>
      </c>
      <c r="B276" s="16">
        <f t="shared" si="9"/>
        <v>263</v>
      </c>
      <c r="C276" s="16">
        <f t="shared" si="9"/>
        <v>244</v>
      </c>
      <c r="D276" s="16">
        <f t="shared" si="9"/>
        <v>223</v>
      </c>
      <c r="E276" s="16"/>
    </row>
    <row r="277" spans="1:5" x14ac:dyDescent="0.25">
      <c r="A277" s="16">
        <f t="shared" si="8"/>
        <v>276</v>
      </c>
      <c r="B277" s="16">
        <f t="shared" si="9"/>
        <v>264</v>
      </c>
      <c r="C277" s="16">
        <f t="shared" si="9"/>
        <v>245</v>
      </c>
      <c r="D277" s="16">
        <f t="shared" si="9"/>
        <v>224</v>
      </c>
      <c r="E277" s="16" t="s">
        <v>329</v>
      </c>
    </row>
    <row r="278" spans="1:5" x14ac:dyDescent="0.25">
      <c r="A278" s="16">
        <f t="shared" si="8"/>
        <v>277</v>
      </c>
      <c r="B278" s="16">
        <f t="shared" si="9"/>
        <v>265</v>
      </c>
      <c r="C278" s="16">
        <f t="shared" si="9"/>
        <v>246</v>
      </c>
      <c r="D278" s="16">
        <f t="shared" si="9"/>
        <v>225</v>
      </c>
      <c r="E278" s="16"/>
    </row>
    <row r="279" spans="1:5" x14ac:dyDescent="0.25">
      <c r="A279" s="16">
        <f t="shared" si="8"/>
        <v>278</v>
      </c>
      <c r="B279" s="16">
        <f t="shared" si="9"/>
        <v>266</v>
      </c>
      <c r="C279" s="16">
        <f t="shared" si="9"/>
        <v>247</v>
      </c>
      <c r="D279" s="16">
        <f t="shared" si="9"/>
        <v>226</v>
      </c>
      <c r="E279" s="16" t="s">
        <v>321</v>
      </c>
    </row>
    <row r="280" spans="1:5" x14ac:dyDescent="0.25">
      <c r="A280" s="16">
        <f t="shared" si="8"/>
        <v>279</v>
      </c>
      <c r="B280" s="16">
        <f t="shared" si="9"/>
        <v>267</v>
      </c>
      <c r="C280" s="16">
        <f t="shared" si="9"/>
        <v>248</v>
      </c>
      <c r="D280" s="16">
        <f t="shared" si="9"/>
        <v>227</v>
      </c>
      <c r="E280" s="16" t="s">
        <v>322</v>
      </c>
    </row>
    <row r="281" spans="1:5" x14ac:dyDescent="0.25">
      <c r="A281" s="16">
        <f t="shared" si="8"/>
        <v>280</v>
      </c>
      <c r="B281" s="16">
        <f t="shared" si="9"/>
        <v>268</v>
      </c>
      <c r="C281" s="16">
        <f t="shared" si="9"/>
        <v>249</v>
      </c>
      <c r="D281" s="16">
        <f t="shared" si="9"/>
        <v>228</v>
      </c>
      <c r="E281" s="16"/>
    </row>
    <row r="282" spans="1:5" x14ac:dyDescent="0.25">
      <c r="A282" s="16">
        <f t="shared" si="8"/>
        <v>281</v>
      </c>
      <c r="B282" s="16">
        <f t="shared" si="9"/>
        <v>269</v>
      </c>
      <c r="C282" s="16">
        <f t="shared" si="9"/>
        <v>250</v>
      </c>
      <c r="D282" s="16">
        <f t="shared" si="9"/>
        <v>229</v>
      </c>
      <c r="E282" s="16" t="s">
        <v>279</v>
      </c>
    </row>
    <row r="283" spans="1:5" x14ac:dyDescent="0.25">
      <c r="A283" s="16">
        <f t="shared" si="8"/>
        <v>282</v>
      </c>
      <c r="B283" s="16">
        <f t="shared" si="9"/>
        <v>270</v>
      </c>
      <c r="C283" s="16">
        <f t="shared" si="9"/>
        <v>251</v>
      </c>
      <c r="D283" s="16">
        <f t="shared" si="9"/>
        <v>230</v>
      </c>
      <c r="E283" s="16" t="s">
        <v>280</v>
      </c>
    </row>
    <row r="284" spans="1:5" x14ac:dyDescent="0.25">
      <c r="A284" s="16">
        <f t="shared" si="8"/>
        <v>283</v>
      </c>
      <c r="B284" s="16">
        <f t="shared" si="9"/>
        <v>271</v>
      </c>
      <c r="C284" s="16">
        <f t="shared" si="9"/>
        <v>252</v>
      </c>
      <c r="D284" s="16">
        <f t="shared" si="9"/>
        <v>231</v>
      </c>
      <c r="E284" s="16" t="s">
        <v>323</v>
      </c>
    </row>
    <row r="285" spans="1:5" x14ac:dyDescent="0.25">
      <c r="A285" s="16">
        <f t="shared" si="8"/>
        <v>284</v>
      </c>
      <c r="B285" s="16">
        <f t="shared" si="9"/>
        <v>272</v>
      </c>
      <c r="C285" s="16">
        <f t="shared" si="9"/>
        <v>253</v>
      </c>
      <c r="D285" s="16">
        <f t="shared" si="9"/>
        <v>232</v>
      </c>
      <c r="E285" s="16" t="s">
        <v>296</v>
      </c>
    </row>
    <row r="286" spans="1:5" x14ac:dyDescent="0.25">
      <c r="A286" s="16">
        <f t="shared" si="8"/>
        <v>285</v>
      </c>
      <c r="B286" s="16">
        <f t="shared" si="9"/>
        <v>273</v>
      </c>
      <c r="C286" s="16">
        <f t="shared" si="9"/>
        <v>254</v>
      </c>
      <c r="D286" s="16">
        <f t="shared" si="9"/>
        <v>233</v>
      </c>
      <c r="E286" s="16" t="s">
        <v>295</v>
      </c>
    </row>
    <row r="287" spans="1:5" x14ac:dyDescent="0.25">
      <c r="A287" s="16">
        <f t="shared" si="8"/>
        <v>286</v>
      </c>
      <c r="B287" s="16">
        <f t="shared" si="9"/>
        <v>274</v>
      </c>
      <c r="C287" s="16">
        <f t="shared" si="9"/>
        <v>255</v>
      </c>
      <c r="D287" s="16">
        <f t="shared" si="9"/>
        <v>234</v>
      </c>
      <c r="E287" s="16" t="s">
        <v>289</v>
      </c>
    </row>
    <row r="288" spans="1:5" x14ac:dyDescent="0.25">
      <c r="A288" s="16">
        <f t="shared" si="8"/>
        <v>287</v>
      </c>
      <c r="B288" s="16">
        <f t="shared" si="9"/>
        <v>275</v>
      </c>
      <c r="C288" s="16">
        <f t="shared" si="9"/>
        <v>256</v>
      </c>
      <c r="D288" s="16">
        <f t="shared" si="9"/>
        <v>235</v>
      </c>
      <c r="E288" s="16" t="s">
        <v>288</v>
      </c>
    </row>
    <row r="289" spans="1:5" x14ac:dyDescent="0.25">
      <c r="A289" s="16">
        <f t="shared" si="8"/>
        <v>288</v>
      </c>
      <c r="B289" s="16">
        <f t="shared" si="9"/>
        <v>276</v>
      </c>
      <c r="C289" s="16">
        <f t="shared" si="9"/>
        <v>257</v>
      </c>
      <c r="D289" s="16">
        <f t="shared" si="9"/>
        <v>236</v>
      </c>
      <c r="E289" s="16" t="s">
        <v>287</v>
      </c>
    </row>
    <row r="290" spans="1:5" x14ac:dyDescent="0.25">
      <c r="A290" s="16">
        <f t="shared" si="8"/>
        <v>289</v>
      </c>
      <c r="B290" s="16">
        <f t="shared" si="9"/>
        <v>277</v>
      </c>
      <c r="C290" s="16">
        <f t="shared" si="9"/>
        <v>258</v>
      </c>
      <c r="D290" s="16">
        <f t="shared" si="9"/>
        <v>237</v>
      </c>
      <c r="E290" s="16" t="s">
        <v>286</v>
      </c>
    </row>
    <row r="291" spans="1:5" x14ac:dyDescent="0.25">
      <c r="A291" s="16">
        <f t="shared" si="8"/>
        <v>290</v>
      </c>
      <c r="B291" s="16">
        <f t="shared" si="9"/>
        <v>278</v>
      </c>
      <c r="C291" s="16">
        <f t="shared" si="9"/>
        <v>259</v>
      </c>
      <c r="D291" s="16">
        <f t="shared" si="9"/>
        <v>238</v>
      </c>
      <c r="E291" s="16" t="s">
        <v>285</v>
      </c>
    </row>
    <row r="292" spans="1:5" x14ac:dyDescent="0.25">
      <c r="A292" s="16">
        <f t="shared" si="8"/>
        <v>291</v>
      </c>
      <c r="B292" s="16">
        <f t="shared" si="9"/>
        <v>279</v>
      </c>
      <c r="C292" s="16">
        <f t="shared" si="9"/>
        <v>260</v>
      </c>
      <c r="D292" s="16">
        <f t="shared" si="9"/>
        <v>239</v>
      </c>
      <c r="E292" s="16" t="s">
        <v>284</v>
      </c>
    </row>
    <row r="293" spans="1:5" x14ac:dyDescent="0.25">
      <c r="A293" s="16">
        <f t="shared" si="8"/>
        <v>292</v>
      </c>
      <c r="B293" s="16">
        <f t="shared" si="9"/>
        <v>280</v>
      </c>
      <c r="C293" s="16">
        <f t="shared" si="9"/>
        <v>261</v>
      </c>
      <c r="D293" s="16">
        <f t="shared" si="9"/>
        <v>240</v>
      </c>
      <c r="E293" s="16" t="s">
        <v>283</v>
      </c>
    </row>
    <row r="294" spans="1:5" x14ac:dyDescent="0.25">
      <c r="A294" s="16">
        <f t="shared" si="8"/>
        <v>293</v>
      </c>
      <c r="B294" s="16">
        <f t="shared" si="9"/>
        <v>281</v>
      </c>
      <c r="C294" s="16">
        <f t="shared" si="9"/>
        <v>262</v>
      </c>
      <c r="D294" s="16">
        <f t="shared" si="9"/>
        <v>241</v>
      </c>
      <c r="E294" s="16" t="s">
        <v>282</v>
      </c>
    </row>
    <row r="295" spans="1:5" x14ac:dyDescent="0.25">
      <c r="A295" s="16">
        <f t="shared" si="8"/>
        <v>294</v>
      </c>
      <c r="B295" s="16">
        <f t="shared" si="9"/>
        <v>282</v>
      </c>
      <c r="C295" s="16">
        <f t="shared" si="9"/>
        <v>263</v>
      </c>
      <c r="D295" s="16">
        <f t="shared" si="9"/>
        <v>242</v>
      </c>
      <c r="E295" s="16" t="s">
        <v>294</v>
      </c>
    </row>
    <row r="296" spans="1:5" x14ac:dyDescent="0.25">
      <c r="A296" s="16">
        <f t="shared" si="8"/>
        <v>295</v>
      </c>
      <c r="B296" s="16">
        <f t="shared" si="9"/>
        <v>283</v>
      </c>
      <c r="C296" s="16">
        <f t="shared" si="9"/>
        <v>264</v>
      </c>
      <c r="D296" s="16">
        <f t="shared" si="9"/>
        <v>243</v>
      </c>
      <c r="E296" s="16" t="s">
        <v>330</v>
      </c>
    </row>
    <row r="297" spans="1:5" x14ac:dyDescent="0.25">
      <c r="A297" s="16">
        <f t="shared" si="8"/>
        <v>296</v>
      </c>
      <c r="B297" s="16">
        <f t="shared" si="9"/>
        <v>284</v>
      </c>
      <c r="C297" s="16">
        <f t="shared" si="9"/>
        <v>265</v>
      </c>
      <c r="D297" s="16">
        <f t="shared" si="9"/>
        <v>244</v>
      </c>
      <c r="E297" s="16"/>
    </row>
    <row r="298" spans="1:5" x14ac:dyDescent="0.25">
      <c r="A298" s="16">
        <f t="shared" si="8"/>
        <v>297</v>
      </c>
      <c r="B298" s="16">
        <f t="shared" si="9"/>
        <v>285</v>
      </c>
      <c r="C298" s="16">
        <f t="shared" si="9"/>
        <v>266</v>
      </c>
      <c r="D298" s="16">
        <f t="shared" si="9"/>
        <v>245</v>
      </c>
      <c r="E298" s="16" t="s">
        <v>329</v>
      </c>
    </row>
    <row r="299" spans="1:5" x14ac:dyDescent="0.25">
      <c r="A299" s="16">
        <f t="shared" si="8"/>
        <v>298</v>
      </c>
      <c r="B299" s="16">
        <f t="shared" si="9"/>
        <v>286</v>
      </c>
      <c r="C299" s="16">
        <f t="shared" si="9"/>
        <v>267</v>
      </c>
      <c r="D299" s="16">
        <f t="shared" si="9"/>
        <v>246</v>
      </c>
      <c r="E299" s="16"/>
    </row>
    <row r="300" spans="1:5" x14ac:dyDescent="0.25">
      <c r="A300" s="16">
        <f t="shared" si="8"/>
        <v>299</v>
      </c>
      <c r="B300" s="16">
        <f t="shared" si="9"/>
        <v>287</v>
      </c>
      <c r="C300" s="16">
        <f t="shared" si="9"/>
        <v>268</v>
      </c>
      <c r="D300" s="16">
        <f t="shared" si="9"/>
        <v>247</v>
      </c>
      <c r="E300" s="16" t="s">
        <v>325</v>
      </c>
    </row>
    <row r="301" spans="1:5" x14ac:dyDescent="0.25">
      <c r="A301" s="16">
        <f t="shared" si="8"/>
        <v>300</v>
      </c>
      <c r="B301" s="16">
        <f t="shared" si="9"/>
        <v>288</v>
      </c>
      <c r="C301" s="16">
        <f t="shared" si="9"/>
        <v>269</v>
      </c>
      <c r="D301" s="16">
        <f t="shared" si="9"/>
        <v>248</v>
      </c>
      <c r="E301" s="16" t="s">
        <v>326</v>
      </c>
    </row>
    <row r="302" spans="1:5" x14ac:dyDescent="0.25">
      <c r="A302" s="16">
        <f t="shared" si="8"/>
        <v>301</v>
      </c>
      <c r="B302" s="16">
        <f t="shared" si="9"/>
        <v>289</v>
      </c>
      <c r="C302" s="16">
        <f t="shared" si="9"/>
        <v>270</v>
      </c>
      <c r="D302" s="16">
        <f t="shared" si="9"/>
        <v>249</v>
      </c>
      <c r="E302" s="16"/>
    </row>
    <row r="303" spans="1:5" x14ac:dyDescent="0.25">
      <c r="A303" s="16">
        <f t="shared" si="8"/>
        <v>302</v>
      </c>
      <c r="B303" s="16">
        <f t="shared" si="9"/>
        <v>290</v>
      </c>
      <c r="C303" s="16">
        <f t="shared" si="9"/>
        <v>271</v>
      </c>
      <c r="D303" s="16">
        <f t="shared" si="9"/>
        <v>250</v>
      </c>
      <c r="E303" s="16" t="s">
        <v>279</v>
      </c>
    </row>
    <row r="304" spans="1:5" x14ac:dyDescent="0.25">
      <c r="A304" s="16">
        <f t="shared" si="8"/>
        <v>303</v>
      </c>
      <c r="B304" s="16">
        <f t="shared" si="9"/>
        <v>291</v>
      </c>
      <c r="C304" s="16">
        <f t="shared" si="9"/>
        <v>272</v>
      </c>
      <c r="D304" s="16">
        <f t="shared" si="9"/>
        <v>251</v>
      </c>
      <c r="E304" s="16" t="s">
        <v>280</v>
      </c>
    </row>
    <row r="305" spans="1:5" x14ac:dyDescent="0.25">
      <c r="A305" s="16">
        <f t="shared" si="8"/>
        <v>304</v>
      </c>
      <c r="B305" s="16">
        <f t="shared" si="9"/>
        <v>292</v>
      </c>
      <c r="C305" s="16">
        <f t="shared" si="9"/>
        <v>273</v>
      </c>
      <c r="D305" s="16">
        <f t="shared" si="9"/>
        <v>252</v>
      </c>
      <c r="E305" s="16" t="s">
        <v>327</v>
      </c>
    </row>
    <row r="306" spans="1:5" x14ac:dyDescent="0.25">
      <c r="A306" s="16">
        <f t="shared" si="8"/>
        <v>305</v>
      </c>
      <c r="B306" s="16">
        <f t="shared" si="9"/>
        <v>293</v>
      </c>
      <c r="C306" s="16">
        <f t="shared" si="9"/>
        <v>274</v>
      </c>
      <c r="D306" s="16">
        <f t="shared" si="9"/>
        <v>253</v>
      </c>
      <c r="E306" s="16" t="s">
        <v>284</v>
      </c>
    </row>
    <row r="307" spans="1:5" x14ac:dyDescent="0.25">
      <c r="A307" s="16">
        <f t="shared" si="8"/>
        <v>306</v>
      </c>
      <c r="B307" s="16">
        <f t="shared" si="9"/>
        <v>294</v>
      </c>
      <c r="C307" s="16">
        <f t="shared" si="9"/>
        <v>275</v>
      </c>
      <c r="D307" s="16">
        <f t="shared" si="9"/>
        <v>254</v>
      </c>
      <c r="E307" s="16" t="s">
        <v>283</v>
      </c>
    </row>
    <row r="308" spans="1:5" x14ac:dyDescent="0.25">
      <c r="A308" s="16">
        <f t="shared" si="8"/>
        <v>307</v>
      </c>
      <c r="B308" s="16">
        <f t="shared" si="9"/>
        <v>295</v>
      </c>
      <c r="C308" s="16">
        <f t="shared" si="9"/>
        <v>276</v>
      </c>
      <c r="D308" s="16">
        <f t="shared" si="9"/>
        <v>255</v>
      </c>
      <c r="E308" s="16" t="s">
        <v>282</v>
      </c>
    </row>
    <row r="309" spans="1:5" x14ac:dyDescent="0.25">
      <c r="A309" s="16">
        <f t="shared" si="8"/>
        <v>308</v>
      </c>
      <c r="B309" s="16">
        <f t="shared" si="9"/>
        <v>296</v>
      </c>
      <c r="C309" s="16">
        <f t="shared" si="9"/>
        <v>277</v>
      </c>
      <c r="D309" s="16">
        <f t="shared" si="9"/>
        <v>256</v>
      </c>
      <c r="E309" s="16" t="s">
        <v>294</v>
      </c>
    </row>
    <row r="310" spans="1:5" x14ac:dyDescent="0.25">
      <c r="A310" s="16">
        <f t="shared" si="8"/>
        <v>309</v>
      </c>
      <c r="B310" s="16">
        <f t="shared" si="9"/>
        <v>297</v>
      </c>
      <c r="C310" s="16">
        <f t="shared" si="9"/>
        <v>278</v>
      </c>
      <c r="D310" s="16">
        <f t="shared" si="9"/>
        <v>257</v>
      </c>
      <c r="E310" s="16" t="s">
        <v>310</v>
      </c>
    </row>
    <row r="311" spans="1:5" x14ac:dyDescent="0.25">
      <c r="A311" s="16">
        <f t="shared" si="8"/>
        <v>310</v>
      </c>
      <c r="B311" s="16">
        <f t="shared" si="9"/>
        <v>298</v>
      </c>
      <c r="C311" s="16">
        <f t="shared" si="9"/>
        <v>279</v>
      </c>
      <c r="D311" s="16">
        <f t="shared" si="9"/>
        <v>258</v>
      </c>
      <c r="E311" s="16" t="s">
        <v>309</v>
      </c>
    </row>
    <row r="312" spans="1:5" x14ac:dyDescent="0.25">
      <c r="A312" s="16">
        <f t="shared" si="8"/>
        <v>311</v>
      </c>
      <c r="B312" s="16">
        <f t="shared" si="9"/>
        <v>299</v>
      </c>
      <c r="C312" s="16">
        <f t="shared" si="9"/>
        <v>280</v>
      </c>
      <c r="D312" s="16">
        <f t="shared" si="9"/>
        <v>259</v>
      </c>
      <c r="E312" s="16" t="s">
        <v>308</v>
      </c>
    </row>
    <row r="313" spans="1:5" x14ac:dyDescent="0.25">
      <c r="A313" s="16">
        <f t="shared" si="8"/>
        <v>312</v>
      </c>
      <c r="B313" s="16">
        <f t="shared" si="9"/>
        <v>300</v>
      </c>
      <c r="C313" s="16">
        <f t="shared" si="9"/>
        <v>281</v>
      </c>
      <c r="D313" s="16">
        <f t="shared" si="9"/>
        <v>260</v>
      </c>
      <c r="E313" s="16" t="s">
        <v>307</v>
      </c>
    </row>
    <row r="314" spans="1:5" x14ac:dyDescent="0.25">
      <c r="A314" s="16">
        <f t="shared" si="8"/>
        <v>313</v>
      </c>
      <c r="B314" s="16">
        <f t="shared" si="9"/>
        <v>301</v>
      </c>
      <c r="C314" s="16">
        <f t="shared" si="9"/>
        <v>282</v>
      </c>
      <c r="D314" s="16">
        <f t="shared" si="9"/>
        <v>261</v>
      </c>
      <c r="E314" s="16" t="s">
        <v>306</v>
      </c>
    </row>
    <row r="315" spans="1:5" x14ac:dyDescent="0.25">
      <c r="A315" s="16">
        <f t="shared" si="8"/>
        <v>314</v>
      </c>
      <c r="B315" s="16">
        <f t="shared" si="9"/>
        <v>302</v>
      </c>
      <c r="C315" s="16">
        <f t="shared" si="9"/>
        <v>283</v>
      </c>
      <c r="D315" s="16">
        <f t="shared" si="9"/>
        <v>262</v>
      </c>
      <c r="E315" s="16" t="s">
        <v>305</v>
      </c>
    </row>
    <row r="316" spans="1:5" x14ac:dyDescent="0.25">
      <c r="A316" s="16">
        <f t="shared" si="8"/>
        <v>315</v>
      </c>
      <c r="B316" s="16">
        <f t="shared" si="9"/>
        <v>303</v>
      </c>
      <c r="C316" s="16">
        <f t="shared" si="9"/>
        <v>284</v>
      </c>
      <c r="D316" s="16">
        <f t="shared" si="9"/>
        <v>263</v>
      </c>
      <c r="E316" s="16" t="s">
        <v>304</v>
      </c>
    </row>
    <row r="317" spans="1:5" x14ac:dyDescent="0.25">
      <c r="A317" s="16">
        <f t="shared" si="8"/>
        <v>316</v>
      </c>
      <c r="B317" s="16">
        <f t="shared" si="9"/>
        <v>304</v>
      </c>
      <c r="C317" s="16">
        <f t="shared" si="9"/>
        <v>285</v>
      </c>
      <c r="D317" s="16">
        <f t="shared" si="9"/>
        <v>264</v>
      </c>
      <c r="E317" s="16" t="s">
        <v>303</v>
      </c>
    </row>
    <row r="318" spans="1:5" x14ac:dyDescent="0.25">
      <c r="A318" s="16">
        <f t="shared" si="8"/>
        <v>317</v>
      </c>
      <c r="B318" s="16">
        <f t="shared" si="9"/>
        <v>305</v>
      </c>
      <c r="C318" s="16">
        <f t="shared" si="9"/>
        <v>286</v>
      </c>
      <c r="D318" s="16">
        <f t="shared" si="9"/>
        <v>265</v>
      </c>
      <c r="E318" s="16" t="s">
        <v>302</v>
      </c>
    </row>
    <row r="319" spans="1:5" x14ac:dyDescent="0.25">
      <c r="A319" s="16">
        <f t="shared" si="8"/>
        <v>318</v>
      </c>
      <c r="B319" s="16">
        <f t="shared" si="9"/>
        <v>306</v>
      </c>
      <c r="C319" s="16">
        <f t="shared" si="9"/>
        <v>287</v>
      </c>
      <c r="D319" s="16">
        <f t="shared" si="9"/>
        <v>266</v>
      </c>
      <c r="E319" s="16" t="s">
        <v>301</v>
      </c>
    </row>
    <row r="320" spans="1:5" x14ac:dyDescent="0.25">
      <c r="A320" s="16">
        <f t="shared" si="8"/>
        <v>319</v>
      </c>
      <c r="B320" s="16">
        <f t="shared" si="9"/>
        <v>307</v>
      </c>
      <c r="C320" s="16">
        <f t="shared" si="9"/>
        <v>288</v>
      </c>
      <c r="D320" s="16">
        <f t="shared" si="9"/>
        <v>267</v>
      </c>
      <c r="E320" s="16" t="s">
        <v>331</v>
      </c>
    </row>
    <row r="321" spans="1:5" x14ac:dyDescent="0.25">
      <c r="A321" s="16">
        <f t="shared" si="8"/>
        <v>320</v>
      </c>
      <c r="B321" s="16">
        <f t="shared" si="9"/>
        <v>308</v>
      </c>
      <c r="C321" s="16">
        <f t="shared" si="9"/>
        <v>289</v>
      </c>
      <c r="D321" s="16">
        <f t="shared" si="9"/>
        <v>268</v>
      </c>
      <c r="E321" s="16"/>
    </row>
    <row r="322" spans="1:5" x14ac:dyDescent="0.25">
      <c r="A322" s="16">
        <f t="shared" si="8"/>
        <v>321</v>
      </c>
      <c r="B322" s="16">
        <f t="shared" si="9"/>
        <v>309</v>
      </c>
      <c r="C322" s="16">
        <f t="shared" si="9"/>
        <v>290</v>
      </c>
      <c r="D322" s="16">
        <f t="shared" si="9"/>
        <v>269</v>
      </c>
      <c r="E322" s="16" t="s">
        <v>332</v>
      </c>
    </row>
    <row r="323" spans="1:5" x14ac:dyDescent="0.25">
      <c r="A323" s="16">
        <f t="shared" ref="A323:A353" si="10">IF(ISNUMBER(A322),A322+1,1)</f>
        <v>322</v>
      </c>
      <c r="B323" s="16">
        <f t="shared" si="9"/>
        <v>310</v>
      </c>
      <c r="C323" s="16">
        <f t="shared" si="9"/>
        <v>291</v>
      </c>
      <c r="D323" s="16">
        <f t="shared" si="9"/>
        <v>270</v>
      </c>
      <c r="E323" s="16"/>
    </row>
    <row r="324" spans="1:5" x14ac:dyDescent="0.25">
      <c r="A324" s="16">
        <f t="shared" si="10"/>
        <v>323</v>
      </c>
      <c r="B324" s="16">
        <f t="shared" si="9"/>
        <v>311</v>
      </c>
      <c r="C324" s="16">
        <f t="shared" si="9"/>
        <v>292</v>
      </c>
      <c r="D324" s="16">
        <f t="shared" si="9"/>
        <v>271</v>
      </c>
      <c r="E324" s="16" t="s">
        <v>277</v>
      </c>
    </row>
    <row r="325" spans="1:5" x14ac:dyDescent="0.25">
      <c r="A325" s="16">
        <f t="shared" si="10"/>
        <v>324</v>
      </c>
      <c r="B325" s="16">
        <f t="shared" si="9"/>
        <v>312</v>
      </c>
      <c r="C325" s="16">
        <f t="shared" si="9"/>
        <v>293</v>
      </c>
      <c r="D325" s="16">
        <f t="shared" si="9"/>
        <v>272</v>
      </c>
      <c r="E325" s="16" t="s">
        <v>278</v>
      </c>
    </row>
    <row r="326" spans="1:5" x14ac:dyDescent="0.25">
      <c r="A326" s="16">
        <f t="shared" si="10"/>
        <v>325</v>
      </c>
      <c r="B326" s="16">
        <f t="shared" si="9"/>
        <v>313</v>
      </c>
      <c r="C326" s="16">
        <f t="shared" si="9"/>
        <v>294</v>
      </c>
      <c r="D326" s="16">
        <f t="shared" si="9"/>
        <v>273</v>
      </c>
      <c r="E326" s="16"/>
    </row>
    <row r="327" spans="1:5" x14ac:dyDescent="0.25">
      <c r="A327" s="16">
        <f t="shared" si="10"/>
        <v>326</v>
      </c>
      <c r="B327" s="16">
        <f t="shared" si="9"/>
        <v>314</v>
      </c>
      <c r="C327" s="16">
        <f t="shared" si="9"/>
        <v>295</v>
      </c>
      <c r="D327" s="16">
        <f t="shared" si="9"/>
        <v>274</v>
      </c>
      <c r="E327" s="16" t="s">
        <v>279</v>
      </c>
    </row>
    <row r="328" spans="1:5" x14ac:dyDescent="0.25">
      <c r="A328" s="16">
        <f t="shared" si="10"/>
        <v>327</v>
      </c>
      <c r="B328" s="16">
        <f t="shared" si="9"/>
        <v>315</v>
      </c>
      <c r="C328" s="16">
        <f t="shared" si="9"/>
        <v>296</v>
      </c>
      <c r="D328" s="16">
        <f t="shared" si="9"/>
        <v>275</v>
      </c>
      <c r="E328" s="16" t="s">
        <v>280</v>
      </c>
    </row>
    <row r="329" spans="1:5" x14ac:dyDescent="0.25">
      <c r="A329" s="16">
        <f t="shared" si="10"/>
        <v>328</v>
      </c>
      <c r="B329" s="16">
        <f t="shared" si="9"/>
        <v>316</v>
      </c>
      <c r="C329" s="16">
        <f t="shared" si="9"/>
        <v>297</v>
      </c>
      <c r="D329" s="16">
        <f t="shared" si="9"/>
        <v>276</v>
      </c>
      <c r="E329" s="16" t="s">
        <v>281</v>
      </c>
    </row>
    <row r="330" spans="1:5" x14ac:dyDescent="0.25">
      <c r="A330" s="16">
        <f t="shared" si="10"/>
        <v>329</v>
      </c>
      <c r="B330" s="16">
        <f t="shared" si="9"/>
        <v>317</v>
      </c>
      <c r="C330" s="16">
        <f t="shared" si="9"/>
        <v>298</v>
      </c>
      <c r="D330" s="16">
        <f t="shared" si="9"/>
        <v>277</v>
      </c>
      <c r="E330" s="16" t="s">
        <v>290</v>
      </c>
    </row>
    <row r="331" spans="1:5" x14ac:dyDescent="0.25">
      <c r="A331" s="16">
        <f t="shared" si="10"/>
        <v>330</v>
      </c>
      <c r="B331" s="16">
        <f t="shared" si="9"/>
        <v>318</v>
      </c>
      <c r="C331" s="16">
        <f t="shared" si="9"/>
        <v>299</v>
      </c>
      <c r="D331" s="16">
        <f t="shared" si="9"/>
        <v>278</v>
      </c>
      <c r="E331" s="16"/>
    </row>
    <row r="332" spans="1:5" x14ac:dyDescent="0.25">
      <c r="A332" s="16">
        <f t="shared" si="10"/>
        <v>331</v>
      </c>
      <c r="B332" s="16">
        <f t="shared" si="9"/>
        <v>319</v>
      </c>
      <c r="C332" s="16">
        <f t="shared" si="9"/>
        <v>300</v>
      </c>
      <c r="D332" s="16">
        <f t="shared" si="9"/>
        <v>279</v>
      </c>
      <c r="E332" s="16" t="s">
        <v>332</v>
      </c>
    </row>
    <row r="333" spans="1:5" x14ac:dyDescent="0.25">
      <c r="A333" s="16">
        <f t="shared" si="10"/>
        <v>332</v>
      </c>
      <c r="B333" s="16">
        <f t="shared" si="9"/>
        <v>320</v>
      </c>
      <c r="C333" s="16">
        <f t="shared" si="9"/>
        <v>301</v>
      </c>
      <c r="D333" s="16">
        <f t="shared" si="9"/>
        <v>280</v>
      </c>
      <c r="E333" s="16"/>
    </row>
    <row r="334" spans="1:5" x14ac:dyDescent="0.25">
      <c r="A334" s="16">
        <f t="shared" si="10"/>
        <v>333</v>
      </c>
      <c r="B334" s="16">
        <f t="shared" si="9"/>
        <v>321</v>
      </c>
      <c r="C334" s="16">
        <f t="shared" si="9"/>
        <v>302</v>
      </c>
      <c r="D334" s="16">
        <f t="shared" si="9"/>
        <v>281</v>
      </c>
      <c r="E334" s="16" t="s">
        <v>291</v>
      </c>
    </row>
    <row r="335" spans="1:5" x14ac:dyDescent="0.25">
      <c r="A335" s="16">
        <f t="shared" si="10"/>
        <v>334</v>
      </c>
      <c r="B335" s="16">
        <f t="shared" si="9"/>
        <v>322</v>
      </c>
      <c r="C335" s="16">
        <f t="shared" si="9"/>
        <v>303</v>
      </c>
      <c r="D335" s="16">
        <f t="shared" si="9"/>
        <v>282</v>
      </c>
      <c r="E335" s="16" t="s">
        <v>292</v>
      </c>
    </row>
    <row r="336" spans="1:5" x14ac:dyDescent="0.25">
      <c r="A336" s="16">
        <f t="shared" si="10"/>
        <v>335</v>
      </c>
      <c r="B336" s="16">
        <f t="shared" ref="B336:D353" si="11">IF(ISNUMBER(A336),B335+1,"")</f>
        <v>323</v>
      </c>
      <c r="C336" s="16">
        <f t="shared" si="11"/>
        <v>304</v>
      </c>
      <c r="D336" s="16">
        <f t="shared" si="11"/>
        <v>283</v>
      </c>
      <c r="E336" s="16"/>
    </row>
    <row r="337" spans="1:5" x14ac:dyDescent="0.25">
      <c r="A337" s="16">
        <f t="shared" si="10"/>
        <v>336</v>
      </c>
      <c r="B337" s="16">
        <f t="shared" si="11"/>
        <v>324</v>
      </c>
      <c r="C337" s="16">
        <f t="shared" si="11"/>
        <v>305</v>
      </c>
      <c r="D337" s="16">
        <f t="shared" si="11"/>
        <v>284</v>
      </c>
      <c r="E337" s="16" t="s">
        <v>279</v>
      </c>
    </row>
    <row r="338" spans="1:5" x14ac:dyDescent="0.25">
      <c r="A338" s="16">
        <f t="shared" si="10"/>
        <v>337</v>
      </c>
      <c r="B338" s="16">
        <f t="shared" si="11"/>
        <v>325</v>
      </c>
      <c r="C338" s="16">
        <f t="shared" si="11"/>
        <v>306</v>
      </c>
      <c r="D338" s="16">
        <f t="shared" si="11"/>
        <v>285</v>
      </c>
      <c r="E338" s="16" t="s">
        <v>280</v>
      </c>
    </row>
    <row r="339" spans="1:5" x14ac:dyDescent="0.25">
      <c r="A339" s="16">
        <f t="shared" si="10"/>
        <v>338</v>
      </c>
      <c r="B339" s="16">
        <f t="shared" si="11"/>
        <v>326</v>
      </c>
      <c r="C339" s="16">
        <f t="shared" si="11"/>
        <v>307</v>
      </c>
      <c r="D339" s="16">
        <f t="shared" si="11"/>
        <v>286</v>
      </c>
      <c r="E339" s="16" t="s">
        <v>293</v>
      </c>
    </row>
    <row r="340" spans="1:5" x14ac:dyDescent="0.25">
      <c r="A340" s="16">
        <f t="shared" si="10"/>
        <v>339</v>
      </c>
      <c r="B340" s="16">
        <f t="shared" si="11"/>
        <v>327</v>
      </c>
      <c r="C340" s="16">
        <f t="shared" si="11"/>
        <v>308</v>
      </c>
      <c r="D340" s="16">
        <f t="shared" si="11"/>
        <v>287</v>
      </c>
      <c r="E340" s="16" t="s">
        <v>297</v>
      </c>
    </row>
    <row r="341" spans="1:5" x14ac:dyDescent="0.25">
      <c r="A341" s="16">
        <f t="shared" si="10"/>
        <v>340</v>
      </c>
      <c r="B341" s="16">
        <f t="shared" si="11"/>
        <v>328</v>
      </c>
      <c r="C341" s="16">
        <f t="shared" si="11"/>
        <v>309</v>
      </c>
      <c r="D341" s="16">
        <f t="shared" si="11"/>
        <v>288</v>
      </c>
      <c r="E341" s="16"/>
    </row>
    <row r="342" spans="1:5" x14ac:dyDescent="0.25">
      <c r="A342" s="16">
        <f t="shared" si="10"/>
        <v>341</v>
      </c>
      <c r="B342" s="16">
        <f t="shared" si="11"/>
        <v>329</v>
      </c>
      <c r="C342" s="16">
        <f t="shared" si="11"/>
        <v>310</v>
      </c>
      <c r="D342" s="16">
        <f t="shared" si="11"/>
        <v>289</v>
      </c>
      <c r="E342" s="16" t="s">
        <v>332</v>
      </c>
    </row>
    <row r="343" spans="1:5" x14ac:dyDescent="0.25">
      <c r="A343" s="16">
        <f t="shared" si="10"/>
        <v>342</v>
      </c>
      <c r="B343" s="16">
        <f t="shared" si="11"/>
        <v>330</v>
      </c>
      <c r="C343" s="16">
        <f t="shared" si="11"/>
        <v>311</v>
      </c>
      <c r="D343" s="16">
        <f t="shared" si="11"/>
        <v>290</v>
      </c>
      <c r="E343" s="16"/>
    </row>
    <row r="344" spans="1:5" x14ac:dyDescent="0.25">
      <c r="A344" s="16">
        <f t="shared" si="10"/>
        <v>343</v>
      </c>
      <c r="B344" s="16">
        <f t="shared" si="11"/>
        <v>331</v>
      </c>
      <c r="C344" s="16">
        <f t="shared" si="11"/>
        <v>312</v>
      </c>
      <c r="D344" s="16">
        <f t="shared" si="11"/>
        <v>291</v>
      </c>
      <c r="E344" s="16" t="s">
        <v>298</v>
      </c>
    </row>
    <row r="345" spans="1:5" x14ac:dyDescent="0.25">
      <c r="A345" s="16">
        <f t="shared" si="10"/>
        <v>344</v>
      </c>
      <c r="B345" s="16">
        <f t="shared" si="11"/>
        <v>332</v>
      </c>
      <c r="C345" s="16">
        <f t="shared" si="11"/>
        <v>313</v>
      </c>
      <c r="D345" s="16">
        <f t="shared" si="11"/>
        <v>292</v>
      </c>
      <c r="E345" s="16" t="s">
        <v>299</v>
      </c>
    </row>
    <row r="346" spans="1:5" x14ac:dyDescent="0.25">
      <c r="A346" s="16">
        <f t="shared" si="10"/>
        <v>345</v>
      </c>
      <c r="B346" s="16">
        <f t="shared" si="11"/>
        <v>333</v>
      </c>
      <c r="C346" s="16">
        <f t="shared" si="11"/>
        <v>314</v>
      </c>
      <c r="D346" s="16">
        <f t="shared" si="11"/>
        <v>293</v>
      </c>
      <c r="E346" s="16"/>
    </row>
    <row r="347" spans="1:5" x14ac:dyDescent="0.25">
      <c r="A347" s="16">
        <f t="shared" si="10"/>
        <v>346</v>
      </c>
      <c r="B347" s="16">
        <f t="shared" si="11"/>
        <v>334</v>
      </c>
      <c r="C347" s="16">
        <f t="shared" si="11"/>
        <v>315</v>
      </c>
      <c r="D347" s="16">
        <f t="shared" si="11"/>
        <v>294</v>
      </c>
      <c r="E347" s="16" t="s">
        <v>279</v>
      </c>
    </row>
    <row r="348" spans="1:5" x14ac:dyDescent="0.25">
      <c r="A348" s="16">
        <f t="shared" si="10"/>
        <v>347</v>
      </c>
      <c r="B348" s="16">
        <f t="shared" si="11"/>
        <v>335</v>
      </c>
      <c r="C348" s="16">
        <f t="shared" si="11"/>
        <v>316</v>
      </c>
      <c r="D348" s="16">
        <f t="shared" si="11"/>
        <v>295</v>
      </c>
      <c r="E348" s="16" t="s">
        <v>280</v>
      </c>
    </row>
    <row r="349" spans="1:5" x14ac:dyDescent="0.25">
      <c r="A349" s="16">
        <f t="shared" si="10"/>
        <v>348</v>
      </c>
      <c r="B349" s="16">
        <f t="shared" si="11"/>
        <v>336</v>
      </c>
      <c r="C349" s="16">
        <f t="shared" si="11"/>
        <v>317</v>
      </c>
      <c r="D349" s="16">
        <f t="shared" si="11"/>
        <v>296</v>
      </c>
      <c r="E349" s="16" t="s">
        <v>300</v>
      </c>
    </row>
    <row r="350" spans="1:5" x14ac:dyDescent="0.25">
      <c r="A350" s="16">
        <f t="shared" si="10"/>
        <v>349</v>
      </c>
      <c r="B350" s="16">
        <f t="shared" si="11"/>
        <v>337</v>
      </c>
      <c r="C350" s="16">
        <f t="shared" si="11"/>
        <v>318</v>
      </c>
      <c r="D350" s="16">
        <f t="shared" si="11"/>
        <v>297</v>
      </c>
      <c r="E350" s="16" t="s">
        <v>311</v>
      </c>
    </row>
    <row r="351" spans="1:5" x14ac:dyDescent="0.25">
      <c r="A351" s="16">
        <f t="shared" si="10"/>
        <v>350</v>
      </c>
      <c r="B351" s="16">
        <f t="shared" si="11"/>
        <v>338</v>
      </c>
      <c r="C351" s="16">
        <f t="shared" si="11"/>
        <v>319</v>
      </c>
      <c r="D351" s="16">
        <f t="shared" si="11"/>
        <v>298</v>
      </c>
      <c r="E351" s="16"/>
    </row>
    <row r="352" spans="1:5" x14ac:dyDescent="0.25">
      <c r="A352" s="16">
        <f t="shared" si="10"/>
        <v>351</v>
      </c>
      <c r="B352" s="16">
        <f t="shared" si="11"/>
        <v>339</v>
      </c>
      <c r="C352" s="16">
        <f t="shared" si="11"/>
        <v>320</v>
      </c>
      <c r="D352" s="16">
        <f t="shared" si="11"/>
        <v>299</v>
      </c>
      <c r="E352" s="16" t="s">
        <v>333</v>
      </c>
    </row>
    <row r="353" spans="1:5" x14ac:dyDescent="0.25">
      <c r="A353" s="16">
        <f t="shared" si="10"/>
        <v>352</v>
      </c>
      <c r="B353" s="16">
        <f t="shared" si="11"/>
        <v>340</v>
      </c>
      <c r="C353" s="16">
        <f t="shared" si="11"/>
        <v>321</v>
      </c>
      <c r="D353" s="16">
        <f t="shared" si="11"/>
        <v>300</v>
      </c>
      <c r="E353" s="16" t="s">
        <v>173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17"/>
  <sheetViews>
    <sheetView workbookViewId="0">
      <pane xSplit="2" ySplit="1" topLeftCell="C39" activePane="bottomRight" state="frozen"/>
      <selection pane="topRight" activeCell="C1" sqref="C1"/>
      <selection pane="bottomLeft" activeCell="A2" sqref="A2"/>
      <selection pane="bottomRight"/>
    </sheetView>
  </sheetViews>
  <sheetFormatPr defaultRowHeight="15" x14ac:dyDescent="0.25"/>
  <cols>
    <col min="1" max="1" width="6.875" bestFit="1" customWidth="1"/>
    <col min="2" max="2" width="6.125" bestFit="1" customWidth="1"/>
    <col min="3" max="3" width="83.125" bestFit="1" customWidth="1"/>
  </cols>
  <sheetData>
    <row r="1" spans="1:4" ht="18" x14ac:dyDescent="0.25">
      <c r="A1" s="17" t="s">
        <v>448</v>
      </c>
      <c r="B1" s="17" t="s">
        <v>449</v>
      </c>
      <c r="C1" s="17" t="s">
        <v>231</v>
      </c>
      <c r="D1" s="17" t="s">
        <v>450</v>
      </c>
    </row>
    <row r="2" spans="1:4" x14ac:dyDescent="0.25">
      <c r="A2" s="18">
        <f>IF(ISNUMBER(A1),IF(B2&lt;B1,A1+1,A1),1)</f>
        <v>1</v>
      </c>
      <c r="B2" s="18">
        <f>IF(ISNUMBER(B1),IF(C1="Press ENTER to resume the program.",1,B1+1),1)</f>
        <v>1</v>
      </c>
      <c r="C2" s="18" t="s">
        <v>334</v>
      </c>
      <c r="D2" s="18">
        <f>LEN(C2)</f>
        <v>48</v>
      </c>
    </row>
    <row r="3" spans="1:4" x14ac:dyDescent="0.25">
      <c r="A3" s="18">
        <f t="shared" ref="A3:A66" si="0">IF(ISNUMBER(A2),IF(B3&lt;B2,A2+1,A2),1)</f>
        <v>1</v>
      </c>
      <c r="B3" s="18">
        <f t="shared" ref="B3:B66" si="1">IF(ISNUMBER(B2),IF(C2="Press ENTER to resume the program.",1,B2+1),1)</f>
        <v>2</v>
      </c>
      <c r="C3" s="18" t="s">
        <v>335</v>
      </c>
      <c r="D3" s="18">
        <f t="shared" ref="D3:D66" si="2">LEN(C3)</f>
        <v>53</v>
      </c>
    </row>
    <row r="4" spans="1:4" x14ac:dyDescent="0.25">
      <c r="A4" s="18">
        <f t="shared" si="0"/>
        <v>1</v>
      </c>
      <c r="B4" s="18">
        <f t="shared" si="1"/>
        <v>3</v>
      </c>
      <c r="C4" s="18"/>
      <c r="D4" s="18">
        <f t="shared" si="2"/>
        <v>0</v>
      </c>
    </row>
    <row r="5" spans="1:4" x14ac:dyDescent="0.25">
      <c r="A5" s="18">
        <f t="shared" si="0"/>
        <v>1</v>
      </c>
      <c r="B5" s="18">
        <f t="shared" si="1"/>
        <v>4</v>
      </c>
      <c r="C5" s="18" t="s">
        <v>435</v>
      </c>
      <c r="D5" s="18">
        <f t="shared" si="2"/>
        <v>80</v>
      </c>
    </row>
    <row r="6" spans="1:4" x14ac:dyDescent="0.25">
      <c r="A6" s="18">
        <f t="shared" si="0"/>
        <v>1</v>
      </c>
      <c r="B6" s="18">
        <f t="shared" si="1"/>
        <v>5</v>
      </c>
      <c r="C6" s="18" t="s">
        <v>436</v>
      </c>
      <c r="D6" s="18">
        <f t="shared" si="2"/>
        <v>80</v>
      </c>
    </row>
    <row r="7" spans="1:4" x14ac:dyDescent="0.25">
      <c r="A7" s="18">
        <f t="shared" si="0"/>
        <v>1</v>
      </c>
      <c r="B7" s="18">
        <f t="shared" si="1"/>
        <v>6</v>
      </c>
      <c r="C7" s="18" t="s">
        <v>437</v>
      </c>
      <c r="D7" s="18">
        <f t="shared" si="2"/>
        <v>49</v>
      </c>
    </row>
    <row r="8" spans="1:4" x14ac:dyDescent="0.25">
      <c r="A8" s="18">
        <f t="shared" si="0"/>
        <v>1</v>
      </c>
      <c r="B8" s="18">
        <f t="shared" si="1"/>
        <v>7</v>
      </c>
      <c r="C8" s="18"/>
      <c r="D8" s="18">
        <f t="shared" si="2"/>
        <v>0</v>
      </c>
    </row>
    <row r="9" spans="1:4" x14ac:dyDescent="0.25">
      <c r="A9" s="18">
        <f t="shared" si="0"/>
        <v>1</v>
      </c>
      <c r="B9" s="18">
        <f t="shared" si="1"/>
        <v>8</v>
      </c>
      <c r="C9" s="18" t="s">
        <v>336</v>
      </c>
      <c r="D9" s="18">
        <f t="shared" si="2"/>
        <v>72</v>
      </c>
    </row>
    <row r="10" spans="1:4" x14ac:dyDescent="0.25">
      <c r="A10" s="18">
        <f t="shared" si="0"/>
        <v>1</v>
      </c>
      <c r="B10" s="18">
        <f t="shared" si="1"/>
        <v>9</v>
      </c>
      <c r="C10" s="18"/>
      <c r="D10" s="18">
        <f t="shared" si="2"/>
        <v>0</v>
      </c>
    </row>
    <row r="11" spans="1:4" x14ac:dyDescent="0.25">
      <c r="A11" s="18">
        <f t="shared" si="0"/>
        <v>1</v>
      </c>
      <c r="B11" s="18">
        <f t="shared" si="1"/>
        <v>10</v>
      </c>
      <c r="C11" s="18"/>
      <c r="D11" s="18">
        <f t="shared" si="2"/>
        <v>0</v>
      </c>
    </row>
    <row r="12" spans="1:4" x14ac:dyDescent="0.25">
      <c r="A12" s="18">
        <f t="shared" si="0"/>
        <v>1</v>
      </c>
      <c r="B12" s="18">
        <f t="shared" si="1"/>
        <v>11</v>
      </c>
      <c r="C12" s="18" t="s">
        <v>337</v>
      </c>
      <c r="D12" s="18">
        <f t="shared" si="2"/>
        <v>66</v>
      </c>
    </row>
    <row r="13" spans="1:4" x14ac:dyDescent="0.25">
      <c r="A13" s="18">
        <f t="shared" si="0"/>
        <v>1</v>
      </c>
      <c r="B13" s="18">
        <f t="shared" si="1"/>
        <v>12</v>
      </c>
      <c r="C13" s="18"/>
      <c r="D13" s="18">
        <f t="shared" si="2"/>
        <v>0</v>
      </c>
    </row>
    <row r="14" spans="1:4" x14ac:dyDescent="0.25">
      <c r="A14" s="18">
        <f t="shared" si="0"/>
        <v>1</v>
      </c>
      <c r="B14" s="18">
        <f t="shared" si="1"/>
        <v>13</v>
      </c>
      <c r="C14" s="18"/>
      <c r="D14" s="18">
        <f t="shared" si="2"/>
        <v>0</v>
      </c>
    </row>
    <row r="15" spans="1:4" x14ac:dyDescent="0.25">
      <c r="A15" s="18">
        <f t="shared" si="0"/>
        <v>1</v>
      </c>
      <c r="B15" s="18">
        <f t="shared" si="1"/>
        <v>14</v>
      </c>
      <c r="C15" s="18" t="s">
        <v>438</v>
      </c>
      <c r="D15" s="18">
        <f t="shared" si="2"/>
        <v>79</v>
      </c>
    </row>
    <row r="16" spans="1:4" x14ac:dyDescent="0.25">
      <c r="A16" s="18">
        <f t="shared" si="0"/>
        <v>1</v>
      </c>
      <c r="B16" s="18">
        <f t="shared" si="1"/>
        <v>15</v>
      </c>
      <c r="C16" s="18" t="s">
        <v>439</v>
      </c>
      <c r="D16" s="18">
        <f t="shared" si="2"/>
        <v>10</v>
      </c>
    </row>
    <row r="17" spans="1:4" x14ac:dyDescent="0.25">
      <c r="A17" s="18">
        <f t="shared" si="0"/>
        <v>1</v>
      </c>
      <c r="B17" s="18">
        <f t="shared" si="1"/>
        <v>16</v>
      </c>
      <c r="C17" s="18"/>
      <c r="D17" s="18">
        <f t="shared" si="2"/>
        <v>0</v>
      </c>
    </row>
    <row r="18" spans="1:4" x14ac:dyDescent="0.25">
      <c r="A18" s="18">
        <f t="shared" si="0"/>
        <v>1</v>
      </c>
      <c r="B18" s="18">
        <f t="shared" si="1"/>
        <v>17</v>
      </c>
      <c r="C18" s="18" t="s">
        <v>173</v>
      </c>
      <c r="D18" s="18">
        <f t="shared" si="2"/>
        <v>34</v>
      </c>
    </row>
    <row r="19" spans="1:4" x14ac:dyDescent="0.25">
      <c r="A19" s="18">
        <f t="shared" si="0"/>
        <v>2</v>
      </c>
      <c r="B19" s="18">
        <f t="shared" si="1"/>
        <v>1</v>
      </c>
      <c r="C19" s="18" t="s">
        <v>338</v>
      </c>
      <c r="D19" s="18">
        <f t="shared" si="2"/>
        <v>46</v>
      </c>
    </row>
    <row r="20" spans="1:4" x14ac:dyDescent="0.25">
      <c r="A20" s="18">
        <f t="shared" si="0"/>
        <v>2</v>
      </c>
      <c r="B20" s="18">
        <f t="shared" si="1"/>
        <v>2</v>
      </c>
      <c r="C20" s="18"/>
      <c r="D20" s="18">
        <f t="shared" si="2"/>
        <v>0</v>
      </c>
    </row>
    <row r="21" spans="1:4" x14ac:dyDescent="0.25">
      <c r="A21" s="18">
        <f t="shared" si="0"/>
        <v>2</v>
      </c>
      <c r="B21" s="18">
        <f t="shared" si="1"/>
        <v>3</v>
      </c>
      <c r="C21" s="18" t="s">
        <v>339</v>
      </c>
      <c r="D21" s="18">
        <f t="shared" si="2"/>
        <v>49</v>
      </c>
    </row>
    <row r="22" spans="1:4" x14ac:dyDescent="0.25">
      <c r="A22" s="18">
        <f t="shared" si="0"/>
        <v>2</v>
      </c>
      <c r="B22" s="18">
        <f t="shared" si="1"/>
        <v>4</v>
      </c>
      <c r="C22" s="18" t="s">
        <v>340</v>
      </c>
      <c r="D22" s="18">
        <f t="shared" si="2"/>
        <v>39</v>
      </c>
    </row>
    <row r="23" spans="1:4" x14ac:dyDescent="0.25">
      <c r="A23" s="18">
        <f t="shared" si="0"/>
        <v>2</v>
      </c>
      <c r="B23" s="18">
        <f t="shared" si="1"/>
        <v>5</v>
      </c>
      <c r="C23" s="18" t="s">
        <v>341</v>
      </c>
      <c r="D23" s="18">
        <f t="shared" si="2"/>
        <v>65</v>
      </c>
    </row>
    <row r="24" spans="1:4" x14ac:dyDescent="0.25">
      <c r="A24" s="18">
        <f t="shared" si="0"/>
        <v>2</v>
      </c>
      <c r="B24" s="18">
        <f t="shared" si="1"/>
        <v>6</v>
      </c>
      <c r="C24" s="18" t="s">
        <v>342</v>
      </c>
      <c r="D24" s="18">
        <f t="shared" si="2"/>
        <v>26</v>
      </c>
    </row>
    <row r="25" spans="1:4" x14ac:dyDescent="0.25">
      <c r="A25" s="18">
        <f t="shared" si="0"/>
        <v>2</v>
      </c>
      <c r="B25" s="18">
        <f t="shared" si="1"/>
        <v>7</v>
      </c>
      <c r="C25" s="18" t="s">
        <v>343</v>
      </c>
      <c r="D25" s="18">
        <f t="shared" si="2"/>
        <v>63</v>
      </c>
    </row>
    <row r="26" spans="1:4" x14ac:dyDescent="0.25">
      <c r="A26" s="18">
        <f t="shared" si="0"/>
        <v>2</v>
      </c>
      <c r="B26" s="18">
        <f t="shared" si="1"/>
        <v>8</v>
      </c>
      <c r="C26" s="18"/>
      <c r="D26" s="18">
        <f t="shared" si="2"/>
        <v>0</v>
      </c>
    </row>
    <row r="27" spans="1:4" x14ac:dyDescent="0.25">
      <c r="A27" s="18">
        <f t="shared" si="0"/>
        <v>2</v>
      </c>
      <c r="B27" s="18">
        <f t="shared" si="1"/>
        <v>9</v>
      </c>
      <c r="C27" s="18" t="s">
        <v>344</v>
      </c>
      <c r="D27" s="18">
        <f t="shared" si="2"/>
        <v>38</v>
      </c>
    </row>
    <row r="28" spans="1:4" x14ac:dyDescent="0.25">
      <c r="A28" s="18">
        <f t="shared" si="0"/>
        <v>2</v>
      </c>
      <c r="B28" s="18">
        <f t="shared" si="1"/>
        <v>10</v>
      </c>
      <c r="C28" s="18" t="s">
        <v>345</v>
      </c>
      <c r="D28" s="18">
        <f t="shared" si="2"/>
        <v>63</v>
      </c>
    </row>
    <row r="29" spans="1:4" x14ac:dyDescent="0.25">
      <c r="A29" s="18">
        <f t="shared" si="0"/>
        <v>2</v>
      </c>
      <c r="B29" s="18">
        <f t="shared" si="1"/>
        <v>11</v>
      </c>
      <c r="C29" s="18" t="s">
        <v>346</v>
      </c>
      <c r="D29" s="18">
        <f t="shared" si="2"/>
        <v>26</v>
      </c>
    </row>
    <row r="30" spans="1:4" x14ac:dyDescent="0.25">
      <c r="A30" s="18">
        <f t="shared" si="0"/>
        <v>2</v>
      </c>
      <c r="B30" s="18">
        <f t="shared" si="1"/>
        <v>12</v>
      </c>
      <c r="C30" s="18" t="s">
        <v>347</v>
      </c>
      <c r="D30" s="18">
        <f t="shared" si="2"/>
        <v>40</v>
      </c>
    </row>
    <row r="31" spans="1:4" x14ac:dyDescent="0.25">
      <c r="A31" s="18">
        <f t="shared" si="0"/>
        <v>2</v>
      </c>
      <c r="B31" s="18">
        <f t="shared" si="1"/>
        <v>13</v>
      </c>
      <c r="C31" s="18" t="s">
        <v>348</v>
      </c>
      <c r="D31" s="18">
        <f t="shared" si="2"/>
        <v>49</v>
      </c>
    </row>
    <row r="32" spans="1:4" x14ac:dyDescent="0.25">
      <c r="A32" s="18">
        <f t="shared" si="0"/>
        <v>2</v>
      </c>
      <c r="B32" s="18">
        <f t="shared" si="1"/>
        <v>14</v>
      </c>
      <c r="C32" s="18" t="s">
        <v>349</v>
      </c>
      <c r="D32" s="18">
        <f t="shared" si="2"/>
        <v>26</v>
      </c>
    </row>
    <row r="33" spans="1:4" x14ac:dyDescent="0.25">
      <c r="A33" s="18">
        <f t="shared" si="0"/>
        <v>2</v>
      </c>
      <c r="B33" s="18">
        <f t="shared" si="1"/>
        <v>15</v>
      </c>
      <c r="C33" s="18"/>
      <c r="D33" s="18">
        <f t="shared" si="2"/>
        <v>0</v>
      </c>
    </row>
    <row r="34" spans="1:4" x14ac:dyDescent="0.25">
      <c r="A34" s="18">
        <f t="shared" si="0"/>
        <v>2</v>
      </c>
      <c r="B34" s="18">
        <f t="shared" si="1"/>
        <v>16</v>
      </c>
      <c r="C34" s="18" t="s">
        <v>350</v>
      </c>
      <c r="D34" s="18">
        <f t="shared" si="2"/>
        <v>80</v>
      </c>
    </row>
    <row r="35" spans="1:4" x14ac:dyDescent="0.25">
      <c r="A35" s="18">
        <f t="shared" si="0"/>
        <v>2</v>
      </c>
      <c r="B35" s="18">
        <f t="shared" si="1"/>
        <v>17</v>
      </c>
      <c r="C35" s="18" t="s">
        <v>351</v>
      </c>
      <c r="D35" s="18">
        <f t="shared" si="2"/>
        <v>58</v>
      </c>
    </row>
    <row r="36" spans="1:4" x14ac:dyDescent="0.25">
      <c r="A36" s="18">
        <f t="shared" si="0"/>
        <v>2</v>
      </c>
      <c r="B36" s="18">
        <f t="shared" si="1"/>
        <v>18</v>
      </c>
      <c r="C36" s="18" t="s">
        <v>352</v>
      </c>
      <c r="D36" s="18">
        <f t="shared" si="2"/>
        <v>53</v>
      </c>
    </row>
    <row r="37" spans="1:4" x14ac:dyDescent="0.25">
      <c r="A37" s="18">
        <f t="shared" si="0"/>
        <v>2</v>
      </c>
      <c r="B37" s="18">
        <f t="shared" si="1"/>
        <v>19</v>
      </c>
      <c r="C37" s="18"/>
      <c r="D37" s="18">
        <f t="shared" si="2"/>
        <v>0</v>
      </c>
    </row>
    <row r="38" spans="1:4" x14ac:dyDescent="0.25">
      <c r="A38" s="18">
        <f t="shared" si="0"/>
        <v>2</v>
      </c>
      <c r="B38" s="18">
        <f t="shared" si="1"/>
        <v>20</v>
      </c>
      <c r="C38" s="18" t="s">
        <v>353</v>
      </c>
      <c r="D38" s="18">
        <f t="shared" si="2"/>
        <v>72</v>
      </c>
    </row>
    <row r="39" spans="1:4" x14ac:dyDescent="0.25">
      <c r="A39" s="18">
        <f t="shared" si="0"/>
        <v>2</v>
      </c>
      <c r="B39" s="18">
        <f t="shared" si="1"/>
        <v>21</v>
      </c>
      <c r="C39" s="18" t="s">
        <v>354</v>
      </c>
      <c r="D39" s="18">
        <f t="shared" si="2"/>
        <v>72</v>
      </c>
    </row>
    <row r="40" spans="1:4" x14ac:dyDescent="0.25">
      <c r="A40" s="18">
        <f t="shared" si="0"/>
        <v>2</v>
      </c>
      <c r="B40" s="18">
        <f t="shared" si="1"/>
        <v>22</v>
      </c>
      <c r="C40" s="18"/>
      <c r="D40" s="18">
        <f t="shared" si="2"/>
        <v>0</v>
      </c>
    </row>
    <row r="41" spans="1:4" x14ac:dyDescent="0.25">
      <c r="A41" s="18">
        <f t="shared" si="0"/>
        <v>2</v>
      </c>
      <c r="B41" s="18">
        <f t="shared" si="1"/>
        <v>23</v>
      </c>
      <c r="C41" s="18" t="s">
        <v>355</v>
      </c>
      <c r="D41" s="18">
        <f t="shared" si="2"/>
        <v>26</v>
      </c>
    </row>
    <row r="42" spans="1:4" x14ac:dyDescent="0.25">
      <c r="A42" s="18">
        <f t="shared" si="0"/>
        <v>2</v>
      </c>
      <c r="B42" s="18">
        <f t="shared" si="1"/>
        <v>24</v>
      </c>
      <c r="C42" s="18"/>
      <c r="D42" s="18">
        <f t="shared" si="2"/>
        <v>0</v>
      </c>
    </row>
    <row r="43" spans="1:4" x14ac:dyDescent="0.25">
      <c r="A43" s="18">
        <f t="shared" si="0"/>
        <v>2</v>
      </c>
      <c r="B43" s="18">
        <f t="shared" si="1"/>
        <v>25</v>
      </c>
      <c r="C43" s="18" t="s">
        <v>173</v>
      </c>
      <c r="D43" s="18">
        <f t="shared" si="2"/>
        <v>34</v>
      </c>
    </row>
    <row r="44" spans="1:4" x14ac:dyDescent="0.25">
      <c r="A44" s="18">
        <f t="shared" si="0"/>
        <v>3</v>
      </c>
      <c r="B44" s="18">
        <f t="shared" si="1"/>
        <v>1</v>
      </c>
      <c r="C44" s="18" t="s">
        <v>356</v>
      </c>
      <c r="D44" s="18">
        <f t="shared" si="2"/>
        <v>72</v>
      </c>
    </row>
    <row r="45" spans="1:4" x14ac:dyDescent="0.25">
      <c r="A45" s="18">
        <f t="shared" si="0"/>
        <v>3</v>
      </c>
      <c r="B45" s="18">
        <f t="shared" si="1"/>
        <v>2</v>
      </c>
      <c r="C45" s="18"/>
      <c r="D45" s="18">
        <f t="shared" si="2"/>
        <v>0</v>
      </c>
    </row>
    <row r="46" spans="1:4" x14ac:dyDescent="0.25">
      <c r="A46" s="18">
        <f t="shared" si="0"/>
        <v>3</v>
      </c>
      <c r="B46" s="18">
        <f t="shared" si="1"/>
        <v>3</v>
      </c>
      <c r="C46" s="18" t="s">
        <v>357</v>
      </c>
      <c r="D46" s="18">
        <f t="shared" si="2"/>
        <v>56</v>
      </c>
    </row>
    <row r="47" spans="1:4" x14ac:dyDescent="0.25">
      <c r="A47" s="18">
        <f t="shared" si="0"/>
        <v>3</v>
      </c>
      <c r="B47" s="18">
        <f t="shared" si="1"/>
        <v>4</v>
      </c>
      <c r="C47" s="18" t="s">
        <v>358</v>
      </c>
      <c r="D47" s="18">
        <f t="shared" si="2"/>
        <v>63</v>
      </c>
    </row>
    <row r="48" spans="1:4" x14ac:dyDescent="0.25">
      <c r="A48" s="18">
        <f t="shared" si="0"/>
        <v>3</v>
      </c>
      <c r="B48" s="18">
        <f t="shared" si="1"/>
        <v>5</v>
      </c>
      <c r="C48" s="18"/>
      <c r="D48" s="18">
        <f t="shared" si="2"/>
        <v>0</v>
      </c>
    </row>
    <row r="49" spans="1:4" x14ac:dyDescent="0.25">
      <c r="A49" s="18">
        <f t="shared" si="0"/>
        <v>3</v>
      </c>
      <c r="B49" s="18">
        <f t="shared" si="1"/>
        <v>6</v>
      </c>
      <c r="C49" s="18" t="s">
        <v>357</v>
      </c>
      <c r="D49" s="18">
        <f t="shared" si="2"/>
        <v>56</v>
      </c>
    </row>
    <row r="50" spans="1:4" x14ac:dyDescent="0.25">
      <c r="A50" s="18">
        <f t="shared" si="0"/>
        <v>3</v>
      </c>
      <c r="B50" s="18">
        <f t="shared" si="1"/>
        <v>7</v>
      </c>
      <c r="C50" s="18" t="s">
        <v>359</v>
      </c>
      <c r="D50" s="18">
        <f t="shared" si="2"/>
        <v>80</v>
      </c>
    </row>
    <row r="51" spans="1:4" x14ac:dyDescent="0.25">
      <c r="A51" s="18">
        <f t="shared" si="0"/>
        <v>3</v>
      </c>
      <c r="B51" s="18">
        <f t="shared" si="1"/>
        <v>8</v>
      </c>
      <c r="C51" s="18"/>
      <c r="D51" s="18">
        <f t="shared" si="2"/>
        <v>0</v>
      </c>
    </row>
    <row r="52" spans="1:4" x14ac:dyDescent="0.25">
      <c r="A52" s="18">
        <f t="shared" si="0"/>
        <v>3</v>
      </c>
      <c r="B52" s="18">
        <f t="shared" si="1"/>
        <v>9</v>
      </c>
      <c r="C52" s="18"/>
      <c r="D52" s="18">
        <f t="shared" si="2"/>
        <v>0</v>
      </c>
    </row>
    <row r="53" spans="1:4" x14ac:dyDescent="0.25">
      <c r="A53" s="18">
        <f t="shared" si="0"/>
        <v>3</v>
      </c>
      <c r="B53" s="18">
        <f t="shared" si="1"/>
        <v>10</v>
      </c>
      <c r="C53" s="18" t="s">
        <v>357</v>
      </c>
      <c r="D53" s="18">
        <f t="shared" si="2"/>
        <v>56</v>
      </c>
    </row>
    <row r="54" spans="1:4" x14ac:dyDescent="0.25">
      <c r="A54" s="18">
        <f t="shared" si="0"/>
        <v>3</v>
      </c>
      <c r="B54" s="18">
        <f t="shared" si="1"/>
        <v>11</v>
      </c>
      <c r="C54" s="18" t="s">
        <v>360</v>
      </c>
      <c r="D54" s="18">
        <f t="shared" si="2"/>
        <v>75</v>
      </c>
    </row>
    <row r="55" spans="1:4" x14ac:dyDescent="0.25">
      <c r="A55" s="18">
        <f t="shared" si="0"/>
        <v>3</v>
      </c>
      <c r="B55" s="18">
        <f t="shared" si="1"/>
        <v>12</v>
      </c>
      <c r="C55" s="18"/>
      <c r="D55" s="18">
        <f t="shared" si="2"/>
        <v>0</v>
      </c>
    </row>
    <row r="56" spans="1:4" x14ac:dyDescent="0.25">
      <c r="A56" s="18">
        <f t="shared" si="0"/>
        <v>3</v>
      </c>
      <c r="B56" s="18">
        <f t="shared" si="1"/>
        <v>13</v>
      </c>
      <c r="C56" s="18" t="s">
        <v>361</v>
      </c>
      <c r="D56" s="18">
        <f t="shared" si="2"/>
        <v>62</v>
      </c>
    </row>
    <row r="57" spans="1:4" x14ac:dyDescent="0.25">
      <c r="A57" s="18">
        <f t="shared" si="0"/>
        <v>3</v>
      </c>
      <c r="B57" s="18">
        <f t="shared" si="1"/>
        <v>14</v>
      </c>
      <c r="C57" s="18" t="s">
        <v>362</v>
      </c>
      <c r="D57" s="18">
        <f t="shared" si="2"/>
        <v>62</v>
      </c>
    </row>
    <row r="58" spans="1:4" x14ac:dyDescent="0.25">
      <c r="A58" s="18">
        <f t="shared" si="0"/>
        <v>3</v>
      </c>
      <c r="B58" s="18">
        <f t="shared" si="1"/>
        <v>15</v>
      </c>
      <c r="C58" s="18"/>
      <c r="D58" s="18">
        <f t="shared" si="2"/>
        <v>0</v>
      </c>
    </row>
    <row r="59" spans="1:4" x14ac:dyDescent="0.25">
      <c r="A59" s="18">
        <f t="shared" si="0"/>
        <v>3</v>
      </c>
      <c r="B59" s="18">
        <f t="shared" si="1"/>
        <v>16</v>
      </c>
      <c r="C59" s="18" t="s">
        <v>361</v>
      </c>
      <c r="D59" s="18">
        <f t="shared" si="2"/>
        <v>62</v>
      </c>
    </row>
    <row r="60" spans="1:4" x14ac:dyDescent="0.25">
      <c r="A60" s="18">
        <f t="shared" si="0"/>
        <v>3</v>
      </c>
      <c r="B60" s="18">
        <f t="shared" si="1"/>
        <v>17</v>
      </c>
      <c r="C60" s="18" t="s">
        <v>363</v>
      </c>
      <c r="D60" s="18">
        <f t="shared" si="2"/>
        <v>79</v>
      </c>
    </row>
    <row r="61" spans="1:4" x14ac:dyDescent="0.25">
      <c r="A61" s="18">
        <f t="shared" si="0"/>
        <v>3</v>
      </c>
      <c r="B61" s="18">
        <f t="shared" si="1"/>
        <v>18</v>
      </c>
      <c r="C61" s="18"/>
      <c r="D61" s="18">
        <f t="shared" si="2"/>
        <v>0</v>
      </c>
    </row>
    <row r="62" spans="1:4" x14ac:dyDescent="0.25">
      <c r="A62" s="18">
        <f t="shared" si="0"/>
        <v>3</v>
      </c>
      <c r="B62" s="18">
        <f t="shared" si="1"/>
        <v>19</v>
      </c>
      <c r="C62" s="18" t="s">
        <v>361</v>
      </c>
      <c r="D62" s="18">
        <f t="shared" si="2"/>
        <v>62</v>
      </c>
    </row>
    <row r="63" spans="1:4" x14ac:dyDescent="0.25">
      <c r="A63" s="18">
        <f t="shared" si="0"/>
        <v>3</v>
      </c>
      <c r="B63" s="18">
        <f t="shared" si="1"/>
        <v>20</v>
      </c>
      <c r="C63" s="18" t="s">
        <v>364</v>
      </c>
      <c r="D63" s="18">
        <f t="shared" si="2"/>
        <v>74</v>
      </c>
    </row>
    <row r="64" spans="1:4" x14ac:dyDescent="0.25">
      <c r="A64" s="18">
        <f t="shared" si="0"/>
        <v>3</v>
      </c>
      <c r="B64" s="18">
        <f t="shared" si="1"/>
        <v>21</v>
      </c>
      <c r="C64" s="18"/>
      <c r="D64" s="18">
        <f t="shared" si="2"/>
        <v>0</v>
      </c>
    </row>
    <row r="65" spans="1:4" x14ac:dyDescent="0.25">
      <c r="A65" s="18">
        <f t="shared" si="0"/>
        <v>3</v>
      </c>
      <c r="B65" s="18">
        <f t="shared" si="1"/>
        <v>22</v>
      </c>
      <c r="C65" s="18" t="s">
        <v>173</v>
      </c>
      <c r="D65" s="18">
        <f t="shared" si="2"/>
        <v>34</v>
      </c>
    </row>
    <row r="66" spans="1:4" x14ac:dyDescent="0.25">
      <c r="A66" s="18">
        <f t="shared" si="0"/>
        <v>4</v>
      </c>
      <c r="B66" s="18">
        <f t="shared" si="1"/>
        <v>1</v>
      </c>
      <c r="C66" s="18" t="s">
        <v>365</v>
      </c>
      <c r="D66" s="18">
        <f t="shared" si="2"/>
        <v>21</v>
      </c>
    </row>
    <row r="67" spans="1:4" x14ac:dyDescent="0.25">
      <c r="A67" s="18">
        <f t="shared" ref="A67:A130" si="3">IF(ISNUMBER(A66),IF(B67&lt;B66,A66+1,A66),1)</f>
        <v>4</v>
      </c>
      <c r="B67" s="18">
        <f t="shared" ref="B67:B130" si="4">IF(ISNUMBER(B66),IF(C66="Press ENTER to resume the program.",1,B66+1),1)</f>
        <v>2</v>
      </c>
      <c r="C67" s="18"/>
      <c r="D67" s="18">
        <f t="shared" ref="D67:D130" si="5">LEN(C67)</f>
        <v>0</v>
      </c>
    </row>
    <row r="68" spans="1:4" x14ac:dyDescent="0.25">
      <c r="A68" s="18">
        <f t="shared" si="3"/>
        <v>4</v>
      </c>
      <c r="B68" s="18">
        <f t="shared" si="4"/>
        <v>3</v>
      </c>
      <c r="C68" s="18" t="s">
        <v>366</v>
      </c>
      <c r="D68" s="18">
        <f t="shared" si="5"/>
        <v>57</v>
      </c>
    </row>
    <row r="69" spans="1:4" x14ac:dyDescent="0.25">
      <c r="A69" s="18">
        <f t="shared" si="3"/>
        <v>4</v>
      </c>
      <c r="B69" s="18">
        <f t="shared" si="4"/>
        <v>4</v>
      </c>
      <c r="C69" s="18" t="s">
        <v>367</v>
      </c>
      <c r="D69" s="18">
        <f t="shared" si="5"/>
        <v>65</v>
      </c>
    </row>
    <row r="70" spans="1:4" x14ac:dyDescent="0.25">
      <c r="A70" s="18">
        <f t="shared" si="3"/>
        <v>4</v>
      </c>
      <c r="B70" s="18">
        <f t="shared" si="4"/>
        <v>5</v>
      </c>
      <c r="C70" s="18" t="s">
        <v>368</v>
      </c>
      <c r="D70" s="18">
        <f t="shared" si="5"/>
        <v>45</v>
      </c>
    </row>
    <row r="71" spans="1:4" x14ac:dyDescent="0.25">
      <c r="A71" s="18">
        <f t="shared" si="3"/>
        <v>4</v>
      </c>
      <c r="B71" s="18">
        <f t="shared" si="4"/>
        <v>6</v>
      </c>
      <c r="C71" s="18" t="s">
        <v>369</v>
      </c>
      <c r="D71" s="18">
        <f t="shared" si="5"/>
        <v>40</v>
      </c>
    </row>
    <row r="72" spans="1:4" x14ac:dyDescent="0.25">
      <c r="A72" s="18">
        <f t="shared" si="3"/>
        <v>4</v>
      </c>
      <c r="B72" s="18">
        <f t="shared" si="4"/>
        <v>7</v>
      </c>
      <c r="C72" s="18"/>
      <c r="D72" s="18">
        <f t="shared" si="5"/>
        <v>0</v>
      </c>
    </row>
    <row r="73" spans="1:4" x14ac:dyDescent="0.25">
      <c r="A73" s="18">
        <f t="shared" si="3"/>
        <v>4</v>
      </c>
      <c r="B73" s="18">
        <f t="shared" si="4"/>
        <v>8</v>
      </c>
      <c r="C73" s="18" t="s">
        <v>370</v>
      </c>
      <c r="D73" s="18">
        <f t="shared" si="5"/>
        <v>18</v>
      </c>
    </row>
    <row r="74" spans="1:4" x14ac:dyDescent="0.25">
      <c r="A74" s="18">
        <f t="shared" si="3"/>
        <v>4</v>
      </c>
      <c r="B74" s="18">
        <f t="shared" si="4"/>
        <v>9</v>
      </c>
      <c r="C74" s="18" t="s">
        <v>371</v>
      </c>
      <c r="D74" s="18">
        <f t="shared" si="5"/>
        <v>80</v>
      </c>
    </row>
    <row r="75" spans="1:4" x14ac:dyDescent="0.25">
      <c r="A75" s="18">
        <f t="shared" si="3"/>
        <v>4</v>
      </c>
      <c r="B75" s="18">
        <f t="shared" si="4"/>
        <v>10</v>
      </c>
      <c r="C75" s="18" t="s">
        <v>372</v>
      </c>
      <c r="D75" s="18">
        <f t="shared" si="5"/>
        <v>80</v>
      </c>
    </row>
    <row r="76" spans="1:4" x14ac:dyDescent="0.25">
      <c r="A76" s="18">
        <f t="shared" si="3"/>
        <v>4</v>
      </c>
      <c r="B76" s="18">
        <f t="shared" si="4"/>
        <v>11</v>
      </c>
      <c r="C76" s="18" t="s">
        <v>373</v>
      </c>
      <c r="D76" s="18">
        <f t="shared" si="5"/>
        <v>20</v>
      </c>
    </row>
    <row r="77" spans="1:4" x14ac:dyDescent="0.25">
      <c r="A77" s="18">
        <f t="shared" si="3"/>
        <v>4</v>
      </c>
      <c r="B77" s="18">
        <f t="shared" si="4"/>
        <v>12</v>
      </c>
      <c r="C77" s="18" t="s">
        <v>374</v>
      </c>
      <c r="D77" s="18">
        <f t="shared" si="5"/>
        <v>18</v>
      </c>
    </row>
    <row r="78" spans="1:4" x14ac:dyDescent="0.25">
      <c r="A78" s="18">
        <f t="shared" si="3"/>
        <v>4</v>
      </c>
      <c r="B78" s="18">
        <f t="shared" si="4"/>
        <v>13</v>
      </c>
      <c r="C78" s="18"/>
      <c r="D78" s="18">
        <f t="shared" si="5"/>
        <v>0</v>
      </c>
    </row>
    <row r="79" spans="1:4" x14ac:dyDescent="0.25">
      <c r="A79" s="18">
        <f t="shared" si="3"/>
        <v>4</v>
      </c>
      <c r="B79" s="18">
        <f t="shared" si="4"/>
        <v>14</v>
      </c>
      <c r="C79" s="18" t="s">
        <v>375</v>
      </c>
      <c r="D79" s="18">
        <f t="shared" si="5"/>
        <v>42</v>
      </c>
    </row>
    <row r="80" spans="1:4" x14ac:dyDescent="0.25">
      <c r="A80" s="18">
        <f t="shared" si="3"/>
        <v>4</v>
      </c>
      <c r="B80" s="18">
        <f t="shared" si="4"/>
        <v>15</v>
      </c>
      <c r="C80" s="18" t="s">
        <v>173</v>
      </c>
      <c r="D80" s="18">
        <f t="shared" si="5"/>
        <v>34</v>
      </c>
    </row>
    <row r="81" spans="1:4" x14ac:dyDescent="0.25">
      <c r="A81" s="18">
        <f t="shared" si="3"/>
        <v>5</v>
      </c>
      <c r="B81" s="18">
        <f t="shared" si="4"/>
        <v>1</v>
      </c>
      <c r="C81" s="18" t="s">
        <v>376</v>
      </c>
      <c r="D81" s="18">
        <f t="shared" si="5"/>
        <v>63</v>
      </c>
    </row>
    <row r="82" spans="1:4" x14ac:dyDescent="0.25">
      <c r="A82" s="18">
        <f t="shared" si="3"/>
        <v>5</v>
      </c>
      <c r="B82" s="18">
        <f t="shared" si="4"/>
        <v>2</v>
      </c>
      <c r="C82" s="18"/>
      <c r="D82" s="18">
        <f t="shared" si="5"/>
        <v>0</v>
      </c>
    </row>
    <row r="83" spans="1:4" x14ac:dyDescent="0.25">
      <c r="A83" s="18">
        <f t="shared" si="3"/>
        <v>5</v>
      </c>
      <c r="B83" s="18">
        <f t="shared" si="4"/>
        <v>3</v>
      </c>
      <c r="C83" s="18" t="s">
        <v>357</v>
      </c>
      <c r="D83" s="18">
        <f t="shared" si="5"/>
        <v>56</v>
      </c>
    </row>
    <row r="84" spans="1:4" x14ac:dyDescent="0.25">
      <c r="A84" s="18">
        <f t="shared" si="3"/>
        <v>5</v>
      </c>
      <c r="B84" s="18">
        <f t="shared" si="4"/>
        <v>4</v>
      </c>
      <c r="C84" s="18" t="s">
        <v>377</v>
      </c>
      <c r="D84" s="18">
        <f t="shared" si="5"/>
        <v>59</v>
      </c>
    </row>
    <row r="85" spans="1:4" x14ac:dyDescent="0.25">
      <c r="A85" s="18">
        <f t="shared" si="3"/>
        <v>5</v>
      </c>
      <c r="B85" s="18">
        <f t="shared" si="4"/>
        <v>5</v>
      </c>
      <c r="C85" s="18"/>
      <c r="D85" s="18">
        <f t="shared" si="5"/>
        <v>0</v>
      </c>
    </row>
    <row r="86" spans="1:4" x14ac:dyDescent="0.25">
      <c r="A86" s="18">
        <f t="shared" si="3"/>
        <v>5</v>
      </c>
      <c r="B86" s="18">
        <f t="shared" si="4"/>
        <v>6</v>
      </c>
      <c r="C86" s="18" t="s">
        <v>357</v>
      </c>
      <c r="D86" s="18">
        <f t="shared" si="5"/>
        <v>56</v>
      </c>
    </row>
    <row r="87" spans="1:4" x14ac:dyDescent="0.25">
      <c r="A87" s="18">
        <f t="shared" si="3"/>
        <v>5</v>
      </c>
      <c r="B87" s="18">
        <f t="shared" si="4"/>
        <v>7</v>
      </c>
      <c r="C87" s="18" t="s">
        <v>378</v>
      </c>
      <c r="D87" s="18">
        <f t="shared" si="5"/>
        <v>76</v>
      </c>
    </row>
    <row r="88" spans="1:4" x14ac:dyDescent="0.25">
      <c r="A88" s="18">
        <f t="shared" si="3"/>
        <v>5</v>
      </c>
      <c r="B88" s="18">
        <f t="shared" si="4"/>
        <v>8</v>
      </c>
      <c r="C88" s="18"/>
      <c r="D88" s="18">
        <f t="shared" si="5"/>
        <v>0</v>
      </c>
    </row>
    <row r="89" spans="1:4" x14ac:dyDescent="0.25">
      <c r="A89" s="18">
        <f t="shared" si="3"/>
        <v>5</v>
      </c>
      <c r="B89" s="18">
        <f t="shared" si="4"/>
        <v>9</v>
      </c>
      <c r="C89" s="18" t="s">
        <v>357</v>
      </c>
      <c r="D89" s="18">
        <f t="shared" si="5"/>
        <v>56</v>
      </c>
    </row>
    <row r="90" spans="1:4" x14ac:dyDescent="0.25">
      <c r="A90" s="18">
        <f t="shared" si="3"/>
        <v>5</v>
      </c>
      <c r="B90" s="18">
        <f t="shared" si="4"/>
        <v>10</v>
      </c>
      <c r="C90" s="18" t="s">
        <v>379</v>
      </c>
      <c r="D90" s="18">
        <f t="shared" si="5"/>
        <v>71</v>
      </c>
    </row>
    <row r="91" spans="1:4" x14ac:dyDescent="0.25">
      <c r="A91" s="18">
        <f t="shared" si="3"/>
        <v>5</v>
      </c>
      <c r="B91" s="18">
        <f t="shared" si="4"/>
        <v>11</v>
      </c>
      <c r="C91" s="18"/>
      <c r="D91" s="18">
        <f t="shared" si="5"/>
        <v>0</v>
      </c>
    </row>
    <row r="92" spans="1:4" x14ac:dyDescent="0.25">
      <c r="A92" s="18">
        <f t="shared" si="3"/>
        <v>5</v>
      </c>
      <c r="B92" s="18">
        <f t="shared" si="4"/>
        <v>12</v>
      </c>
      <c r="C92" s="18" t="s">
        <v>361</v>
      </c>
      <c r="D92" s="18">
        <f t="shared" si="5"/>
        <v>62</v>
      </c>
    </row>
    <row r="93" spans="1:4" x14ac:dyDescent="0.25">
      <c r="A93" s="18">
        <f t="shared" si="3"/>
        <v>5</v>
      </c>
      <c r="B93" s="18">
        <f t="shared" si="4"/>
        <v>13</v>
      </c>
      <c r="C93" s="18" t="s">
        <v>380</v>
      </c>
      <c r="D93" s="18">
        <f t="shared" si="5"/>
        <v>68</v>
      </c>
    </row>
    <row r="94" spans="1:4" x14ac:dyDescent="0.25">
      <c r="A94" s="18">
        <f t="shared" si="3"/>
        <v>5</v>
      </c>
      <c r="B94" s="18">
        <f t="shared" si="4"/>
        <v>14</v>
      </c>
      <c r="C94" s="18"/>
      <c r="D94" s="18">
        <f t="shared" si="5"/>
        <v>0</v>
      </c>
    </row>
    <row r="95" spans="1:4" x14ac:dyDescent="0.25">
      <c r="A95" s="18">
        <f t="shared" si="3"/>
        <v>5</v>
      </c>
      <c r="B95" s="18">
        <f t="shared" si="4"/>
        <v>15</v>
      </c>
      <c r="C95" s="18" t="s">
        <v>361</v>
      </c>
      <c r="D95" s="18">
        <f t="shared" si="5"/>
        <v>62</v>
      </c>
    </row>
    <row r="96" spans="1:4" x14ac:dyDescent="0.25">
      <c r="A96" s="18">
        <f t="shared" si="3"/>
        <v>5</v>
      </c>
      <c r="B96" s="18">
        <f t="shared" si="4"/>
        <v>16</v>
      </c>
      <c r="C96" s="18" t="s">
        <v>381</v>
      </c>
      <c r="D96" s="18">
        <f t="shared" si="5"/>
        <v>80</v>
      </c>
    </row>
    <row r="97" spans="1:4" x14ac:dyDescent="0.25">
      <c r="A97" s="18">
        <f t="shared" si="3"/>
        <v>5</v>
      </c>
      <c r="B97" s="18">
        <f t="shared" si="4"/>
        <v>17</v>
      </c>
      <c r="C97" s="18" t="s">
        <v>382</v>
      </c>
      <c r="D97" s="18">
        <f t="shared" si="5"/>
        <v>5</v>
      </c>
    </row>
    <row r="98" spans="1:4" x14ac:dyDescent="0.25">
      <c r="A98" s="18">
        <f t="shared" si="3"/>
        <v>5</v>
      </c>
      <c r="B98" s="18">
        <f t="shared" si="4"/>
        <v>18</v>
      </c>
      <c r="C98" s="18"/>
      <c r="D98" s="18">
        <f t="shared" si="5"/>
        <v>0</v>
      </c>
    </row>
    <row r="99" spans="1:4" x14ac:dyDescent="0.25">
      <c r="A99" s="18">
        <f t="shared" si="3"/>
        <v>5</v>
      </c>
      <c r="B99" s="18">
        <f t="shared" si="4"/>
        <v>19</v>
      </c>
      <c r="C99" s="18" t="s">
        <v>361</v>
      </c>
      <c r="D99" s="18">
        <f t="shared" si="5"/>
        <v>62</v>
      </c>
    </row>
    <row r="100" spans="1:4" x14ac:dyDescent="0.25">
      <c r="A100" s="18">
        <f t="shared" si="3"/>
        <v>5</v>
      </c>
      <c r="B100" s="18">
        <f t="shared" si="4"/>
        <v>20</v>
      </c>
      <c r="C100" s="18" t="s">
        <v>383</v>
      </c>
      <c r="D100" s="18">
        <f t="shared" si="5"/>
        <v>80</v>
      </c>
    </row>
    <row r="101" spans="1:4" x14ac:dyDescent="0.25">
      <c r="A101" s="18">
        <f t="shared" si="3"/>
        <v>5</v>
      </c>
      <c r="B101" s="18">
        <f t="shared" si="4"/>
        <v>21</v>
      </c>
      <c r="C101" s="18"/>
      <c r="D101" s="18">
        <f t="shared" si="5"/>
        <v>0</v>
      </c>
    </row>
    <row r="102" spans="1:4" x14ac:dyDescent="0.25">
      <c r="A102" s="18">
        <f t="shared" si="3"/>
        <v>5</v>
      </c>
      <c r="B102" s="18">
        <f t="shared" si="4"/>
        <v>22</v>
      </c>
      <c r="C102" s="18"/>
      <c r="D102" s="18">
        <f t="shared" si="5"/>
        <v>0</v>
      </c>
    </row>
    <row r="103" spans="1:4" x14ac:dyDescent="0.25">
      <c r="A103" s="18">
        <f t="shared" si="3"/>
        <v>5</v>
      </c>
      <c r="B103" s="18">
        <f t="shared" si="4"/>
        <v>23</v>
      </c>
      <c r="C103" s="18" t="s">
        <v>173</v>
      </c>
      <c r="D103" s="18">
        <f t="shared" si="5"/>
        <v>34</v>
      </c>
    </row>
    <row r="104" spans="1:4" x14ac:dyDescent="0.25">
      <c r="A104" s="18">
        <f t="shared" si="3"/>
        <v>6</v>
      </c>
      <c r="B104" s="18">
        <f t="shared" si="4"/>
        <v>1</v>
      </c>
      <c r="C104" s="18" t="s">
        <v>384</v>
      </c>
      <c r="D104" s="18">
        <f t="shared" si="5"/>
        <v>21</v>
      </c>
    </row>
    <row r="105" spans="1:4" x14ac:dyDescent="0.25">
      <c r="A105" s="18">
        <f t="shared" si="3"/>
        <v>6</v>
      </c>
      <c r="B105" s="18">
        <f t="shared" si="4"/>
        <v>2</v>
      </c>
      <c r="C105" s="18"/>
      <c r="D105" s="18">
        <f t="shared" si="5"/>
        <v>0</v>
      </c>
    </row>
    <row r="106" spans="1:4" x14ac:dyDescent="0.25">
      <c r="A106" s="18">
        <f t="shared" si="3"/>
        <v>6</v>
      </c>
      <c r="B106" s="18">
        <f t="shared" si="4"/>
        <v>3</v>
      </c>
      <c r="C106" s="18" t="s">
        <v>366</v>
      </c>
      <c r="D106" s="18">
        <f t="shared" si="5"/>
        <v>57</v>
      </c>
    </row>
    <row r="107" spans="1:4" x14ac:dyDescent="0.25">
      <c r="A107" s="18">
        <f t="shared" si="3"/>
        <v>6</v>
      </c>
      <c r="B107" s="18">
        <f t="shared" si="4"/>
        <v>4</v>
      </c>
      <c r="C107" s="18" t="s">
        <v>385</v>
      </c>
      <c r="D107" s="18">
        <f t="shared" si="5"/>
        <v>65</v>
      </c>
    </row>
    <row r="108" spans="1:4" x14ac:dyDescent="0.25">
      <c r="A108" s="18">
        <f t="shared" si="3"/>
        <v>6</v>
      </c>
      <c r="B108" s="18">
        <f t="shared" si="4"/>
        <v>5</v>
      </c>
      <c r="C108" s="18" t="s">
        <v>368</v>
      </c>
      <c r="D108" s="18">
        <f t="shared" si="5"/>
        <v>45</v>
      </c>
    </row>
    <row r="109" spans="1:4" x14ac:dyDescent="0.25">
      <c r="A109" s="18">
        <f t="shared" si="3"/>
        <v>6</v>
      </c>
      <c r="B109" s="18">
        <f t="shared" si="4"/>
        <v>6</v>
      </c>
      <c r="C109" s="18" t="s">
        <v>369</v>
      </c>
      <c r="D109" s="18">
        <f t="shared" si="5"/>
        <v>40</v>
      </c>
    </row>
    <row r="110" spans="1:4" x14ac:dyDescent="0.25">
      <c r="A110" s="18">
        <f t="shared" si="3"/>
        <v>6</v>
      </c>
      <c r="B110" s="18">
        <f t="shared" si="4"/>
        <v>7</v>
      </c>
      <c r="C110" s="18"/>
      <c r="D110" s="18">
        <f t="shared" si="5"/>
        <v>0</v>
      </c>
    </row>
    <row r="111" spans="1:4" x14ac:dyDescent="0.25">
      <c r="A111" s="18">
        <f t="shared" si="3"/>
        <v>6</v>
      </c>
      <c r="B111" s="18">
        <f t="shared" si="4"/>
        <v>8</v>
      </c>
      <c r="C111" s="18" t="s">
        <v>370</v>
      </c>
      <c r="D111" s="18">
        <f t="shared" si="5"/>
        <v>18</v>
      </c>
    </row>
    <row r="112" spans="1:4" x14ac:dyDescent="0.25">
      <c r="A112" s="18">
        <f t="shared" si="3"/>
        <v>6</v>
      </c>
      <c r="B112" s="18">
        <f t="shared" si="4"/>
        <v>9</v>
      </c>
      <c r="C112" s="18" t="s">
        <v>371</v>
      </c>
      <c r="D112" s="18">
        <f t="shared" si="5"/>
        <v>80</v>
      </c>
    </row>
    <row r="113" spans="1:4" x14ac:dyDescent="0.25">
      <c r="A113" s="18">
        <f t="shared" si="3"/>
        <v>6</v>
      </c>
      <c r="B113" s="18">
        <f t="shared" si="4"/>
        <v>10</v>
      </c>
      <c r="C113" s="18" t="s">
        <v>372</v>
      </c>
      <c r="D113" s="18">
        <f t="shared" si="5"/>
        <v>80</v>
      </c>
    </row>
    <row r="114" spans="1:4" x14ac:dyDescent="0.25">
      <c r="A114" s="18">
        <f t="shared" si="3"/>
        <v>6</v>
      </c>
      <c r="B114" s="18">
        <f t="shared" si="4"/>
        <v>11</v>
      </c>
      <c r="C114" s="18" t="s">
        <v>386</v>
      </c>
      <c r="D114" s="18">
        <f t="shared" si="5"/>
        <v>20</v>
      </c>
    </row>
    <row r="115" spans="1:4" x14ac:dyDescent="0.25">
      <c r="A115" s="18">
        <f t="shared" si="3"/>
        <v>6</v>
      </c>
      <c r="B115" s="18">
        <f t="shared" si="4"/>
        <v>12</v>
      </c>
      <c r="C115" s="18" t="s">
        <v>374</v>
      </c>
      <c r="D115" s="18">
        <f t="shared" si="5"/>
        <v>18</v>
      </c>
    </row>
    <row r="116" spans="1:4" x14ac:dyDescent="0.25">
      <c r="A116" s="18">
        <f t="shared" si="3"/>
        <v>6</v>
      </c>
      <c r="B116" s="18">
        <f t="shared" si="4"/>
        <v>13</v>
      </c>
      <c r="C116" s="18"/>
      <c r="D116" s="18">
        <f t="shared" si="5"/>
        <v>0</v>
      </c>
    </row>
    <row r="117" spans="1:4" x14ac:dyDescent="0.25">
      <c r="A117" s="18">
        <f t="shared" si="3"/>
        <v>6</v>
      </c>
      <c r="B117" s="18">
        <f t="shared" si="4"/>
        <v>14</v>
      </c>
      <c r="C117" s="18" t="s">
        <v>375</v>
      </c>
      <c r="D117" s="18">
        <f t="shared" si="5"/>
        <v>42</v>
      </c>
    </row>
    <row r="118" spans="1:4" x14ac:dyDescent="0.25">
      <c r="A118" s="18">
        <f t="shared" si="3"/>
        <v>6</v>
      </c>
      <c r="B118" s="18">
        <f t="shared" si="4"/>
        <v>15</v>
      </c>
      <c r="C118" s="18" t="s">
        <v>173</v>
      </c>
      <c r="D118" s="18">
        <f t="shared" si="5"/>
        <v>34</v>
      </c>
    </row>
    <row r="119" spans="1:4" x14ac:dyDescent="0.25">
      <c r="A119" s="18">
        <f t="shared" si="3"/>
        <v>7</v>
      </c>
      <c r="B119" s="18">
        <f t="shared" si="4"/>
        <v>1</v>
      </c>
      <c r="C119" s="18"/>
      <c r="D119" s="18">
        <f t="shared" si="5"/>
        <v>0</v>
      </c>
    </row>
    <row r="120" spans="1:4" x14ac:dyDescent="0.25">
      <c r="A120" s="18">
        <f t="shared" si="3"/>
        <v>7</v>
      </c>
      <c r="B120" s="18">
        <f t="shared" si="4"/>
        <v>2</v>
      </c>
      <c r="C120" s="18" t="s">
        <v>189</v>
      </c>
      <c r="D120" s="18">
        <f t="shared" si="5"/>
        <v>38</v>
      </c>
    </row>
    <row r="121" spans="1:4" x14ac:dyDescent="0.25">
      <c r="A121" s="18">
        <f t="shared" si="3"/>
        <v>7</v>
      </c>
      <c r="B121" s="18">
        <f t="shared" si="4"/>
        <v>3</v>
      </c>
      <c r="C121" s="18"/>
      <c r="D121" s="18">
        <f t="shared" si="5"/>
        <v>0</v>
      </c>
    </row>
    <row r="122" spans="1:4" x14ac:dyDescent="0.25">
      <c r="A122" s="18">
        <f t="shared" si="3"/>
        <v>7</v>
      </c>
      <c r="B122" s="18">
        <f t="shared" si="4"/>
        <v>4</v>
      </c>
      <c r="C122" s="18" t="s">
        <v>190</v>
      </c>
      <c r="D122" s="18">
        <f t="shared" si="5"/>
        <v>55</v>
      </c>
    </row>
    <row r="123" spans="1:4" x14ac:dyDescent="0.25">
      <c r="A123" s="18">
        <f t="shared" si="3"/>
        <v>7</v>
      </c>
      <c r="B123" s="18">
        <f t="shared" si="4"/>
        <v>5</v>
      </c>
      <c r="C123" s="18" t="s">
        <v>191</v>
      </c>
      <c r="D123" s="18">
        <f t="shared" si="5"/>
        <v>55</v>
      </c>
    </row>
    <row r="124" spans="1:4" x14ac:dyDescent="0.25">
      <c r="A124" s="18">
        <f t="shared" si="3"/>
        <v>7</v>
      </c>
      <c r="B124" s="18">
        <f t="shared" si="4"/>
        <v>6</v>
      </c>
      <c r="C124" s="18" t="s">
        <v>192</v>
      </c>
      <c r="D124" s="18">
        <f t="shared" si="5"/>
        <v>56</v>
      </c>
    </row>
    <row r="125" spans="1:4" x14ac:dyDescent="0.25">
      <c r="A125" s="18">
        <f t="shared" si="3"/>
        <v>7</v>
      </c>
      <c r="B125" s="18">
        <f t="shared" si="4"/>
        <v>7</v>
      </c>
      <c r="C125" s="18" t="s">
        <v>193</v>
      </c>
      <c r="D125" s="18">
        <f t="shared" si="5"/>
        <v>56</v>
      </c>
    </row>
    <row r="126" spans="1:4" x14ac:dyDescent="0.25">
      <c r="A126" s="18">
        <f t="shared" si="3"/>
        <v>7</v>
      </c>
      <c r="B126" s="18">
        <f t="shared" si="4"/>
        <v>8</v>
      </c>
      <c r="C126" s="18" t="s">
        <v>194</v>
      </c>
      <c r="D126" s="18">
        <f t="shared" si="5"/>
        <v>55</v>
      </c>
    </row>
    <row r="127" spans="1:4" x14ac:dyDescent="0.25">
      <c r="A127" s="18">
        <f t="shared" si="3"/>
        <v>7</v>
      </c>
      <c r="B127" s="18">
        <f t="shared" si="4"/>
        <v>9</v>
      </c>
      <c r="C127" s="18" t="s">
        <v>195</v>
      </c>
      <c r="D127" s="18">
        <f t="shared" si="5"/>
        <v>55</v>
      </c>
    </row>
    <row r="128" spans="1:4" x14ac:dyDescent="0.25">
      <c r="A128" s="18">
        <f t="shared" si="3"/>
        <v>7</v>
      </c>
      <c r="B128" s="18">
        <f t="shared" si="4"/>
        <v>10</v>
      </c>
      <c r="C128" s="18" t="s">
        <v>196</v>
      </c>
      <c r="D128" s="18">
        <f t="shared" si="5"/>
        <v>55</v>
      </c>
    </row>
    <row r="129" spans="1:4" x14ac:dyDescent="0.25">
      <c r="A129" s="18">
        <f t="shared" si="3"/>
        <v>7</v>
      </c>
      <c r="B129" s="18">
        <f t="shared" si="4"/>
        <v>11</v>
      </c>
      <c r="C129" s="18"/>
      <c r="D129" s="18">
        <f t="shared" si="5"/>
        <v>0</v>
      </c>
    </row>
    <row r="130" spans="1:4" x14ac:dyDescent="0.25">
      <c r="A130" s="18">
        <f t="shared" si="3"/>
        <v>7</v>
      </c>
      <c r="B130" s="18">
        <f t="shared" si="4"/>
        <v>12</v>
      </c>
      <c r="C130" s="18" t="s">
        <v>197</v>
      </c>
      <c r="D130" s="18">
        <f t="shared" si="5"/>
        <v>78</v>
      </c>
    </row>
    <row r="131" spans="1:4" x14ac:dyDescent="0.25">
      <c r="A131" s="18">
        <f t="shared" ref="A131:A194" si="6">IF(ISNUMBER(A130),IF(B131&lt;B130,A130+1,A130),1)</f>
        <v>7</v>
      </c>
      <c r="B131" s="18">
        <f t="shared" ref="B131:B194" si="7">IF(ISNUMBER(B130),IF(C130="Press ENTER to resume the program.",1,B130+1),1)</f>
        <v>13</v>
      </c>
      <c r="C131" s="18" t="s">
        <v>198</v>
      </c>
      <c r="D131" s="18">
        <f t="shared" ref="D131:D194" si="8">LEN(C131)</f>
        <v>78</v>
      </c>
    </row>
    <row r="132" spans="1:4" x14ac:dyDescent="0.25">
      <c r="A132" s="18">
        <f t="shared" si="6"/>
        <v>7</v>
      </c>
      <c r="B132" s="18">
        <f t="shared" si="7"/>
        <v>14</v>
      </c>
      <c r="C132" s="18"/>
      <c r="D132" s="18">
        <f t="shared" si="8"/>
        <v>0</v>
      </c>
    </row>
    <row r="133" spans="1:4" x14ac:dyDescent="0.25">
      <c r="A133" s="18">
        <f t="shared" si="6"/>
        <v>7</v>
      </c>
      <c r="B133" s="18">
        <f t="shared" si="7"/>
        <v>15</v>
      </c>
      <c r="C133" s="18" t="s">
        <v>199</v>
      </c>
      <c r="D133" s="18">
        <f t="shared" si="8"/>
        <v>37</v>
      </c>
    </row>
    <row r="134" spans="1:4" x14ac:dyDescent="0.25">
      <c r="A134" s="18">
        <f t="shared" si="6"/>
        <v>7</v>
      </c>
      <c r="B134" s="18">
        <f t="shared" si="7"/>
        <v>16</v>
      </c>
      <c r="C134" s="18" t="s">
        <v>173</v>
      </c>
      <c r="D134" s="18">
        <f t="shared" si="8"/>
        <v>34</v>
      </c>
    </row>
    <row r="135" spans="1:4" x14ac:dyDescent="0.25">
      <c r="A135" s="18">
        <f t="shared" si="6"/>
        <v>8</v>
      </c>
      <c r="B135" s="18">
        <f t="shared" si="7"/>
        <v>1</v>
      </c>
      <c r="C135" s="18"/>
      <c r="D135" s="18">
        <f t="shared" si="8"/>
        <v>0</v>
      </c>
    </row>
    <row r="136" spans="1:4" x14ac:dyDescent="0.25">
      <c r="A136" s="18">
        <f t="shared" si="6"/>
        <v>8</v>
      </c>
      <c r="B136" s="18">
        <f t="shared" si="7"/>
        <v>2</v>
      </c>
      <c r="C136" s="18" t="s">
        <v>200</v>
      </c>
      <c r="D136" s="18">
        <f t="shared" si="8"/>
        <v>40</v>
      </c>
    </row>
    <row r="137" spans="1:4" x14ac:dyDescent="0.25">
      <c r="A137" s="18">
        <f t="shared" si="6"/>
        <v>8</v>
      </c>
      <c r="B137" s="18">
        <f t="shared" si="7"/>
        <v>3</v>
      </c>
      <c r="C137" s="18"/>
      <c r="D137" s="18">
        <f t="shared" si="8"/>
        <v>0</v>
      </c>
    </row>
    <row r="138" spans="1:4" x14ac:dyDescent="0.25">
      <c r="A138" s="18">
        <f t="shared" si="6"/>
        <v>8</v>
      </c>
      <c r="B138" s="18">
        <f t="shared" si="7"/>
        <v>4</v>
      </c>
      <c r="C138" s="18" t="s">
        <v>201</v>
      </c>
      <c r="D138" s="18">
        <f t="shared" si="8"/>
        <v>51</v>
      </c>
    </row>
    <row r="139" spans="1:4" x14ac:dyDescent="0.25">
      <c r="A139" s="18">
        <f t="shared" si="6"/>
        <v>8</v>
      </c>
      <c r="B139" s="18">
        <f t="shared" si="7"/>
        <v>5</v>
      </c>
      <c r="C139" s="18" t="s">
        <v>202</v>
      </c>
      <c r="D139" s="18">
        <f t="shared" si="8"/>
        <v>51</v>
      </c>
    </row>
    <row r="140" spans="1:4" x14ac:dyDescent="0.25">
      <c r="A140" s="18">
        <f t="shared" si="6"/>
        <v>8</v>
      </c>
      <c r="B140" s="18">
        <f t="shared" si="7"/>
        <v>6</v>
      </c>
      <c r="C140" s="18" t="s">
        <v>203</v>
      </c>
      <c r="D140" s="18">
        <f t="shared" si="8"/>
        <v>51</v>
      </c>
    </row>
    <row r="141" spans="1:4" x14ac:dyDescent="0.25">
      <c r="A141" s="18">
        <f t="shared" si="6"/>
        <v>8</v>
      </c>
      <c r="B141" s="18">
        <f t="shared" si="7"/>
        <v>7</v>
      </c>
      <c r="C141" s="18"/>
      <c r="D141" s="18">
        <f t="shared" si="8"/>
        <v>0</v>
      </c>
    </row>
    <row r="142" spans="1:4" x14ac:dyDescent="0.25">
      <c r="A142" s="18">
        <f t="shared" si="6"/>
        <v>8</v>
      </c>
      <c r="B142" s="18">
        <f t="shared" si="7"/>
        <v>8</v>
      </c>
      <c r="C142" s="18" t="s">
        <v>204</v>
      </c>
      <c r="D142" s="18">
        <f t="shared" si="8"/>
        <v>75</v>
      </c>
    </row>
    <row r="143" spans="1:4" x14ac:dyDescent="0.25">
      <c r="A143" s="18">
        <f t="shared" si="6"/>
        <v>8</v>
      </c>
      <c r="B143" s="18">
        <f t="shared" si="7"/>
        <v>9</v>
      </c>
      <c r="C143" s="18"/>
      <c r="D143" s="18">
        <f t="shared" si="8"/>
        <v>0</v>
      </c>
    </row>
    <row r="144" spans="1:4" x14ac:dyDescent="0.25">
      <c r="A144" s="18">
        <f t="shared" si="6"/>
        <v>8</v>
      </c>
      <c r="B144" s="18">
        <f t="shared" si="7"/>
        <v>10</v>
      </c>
      <c r="C144" s="18" t="s">
        <v>205</v>
      </c>
      <c r="D144" s="18">
        <f t="shared" si="8"/>
        <v>37</v>
      </c>
    </row>
    <row r="145" spans="1:4" x14ac:dyDescent="0.25">
      <c r="A145" s="18">
        <f t="shared" si="6"/>
        <v>8</v>
      </c>
      <c r="B145" s="18">
        <f t="shared" si="7"/>
        <v>11</v>
      </c>
      <c r="C145" s="18" t="s">
        <v>173</v>
      </c>
      <c r="D145" s="18">
        <f t="shared" si="8"/>
        <v>34</v>
      </c>
    </row>
    <row r="146" spans="1:4" x14ac:dyDescent="0.25">
      <c r="A146" s="18">
        <f t="shared" si="6"/>
        <v>9</v>
      </c>
      <c r="B146" s="18">
        <f t="shared" si="7"/>
        <v>1</v>
      </c>
      <c r="C146" s="18"/>
      <c r="D146" s="18">
        <f t="shared" si="8"/>
        <v>0</v>
      </c>
    </row>
    <row r="147" spans="1:4" x14ac:dyDescent="0.25">
      <c r="A147" s="18">
        <f t="shared" si="6"/>
        <v>9</v>
      </c>
      <c r="B147" s="18">
        <f t="shared" si="7"/>
        <v>2</v>
      </c>
      <c r="C147" s="18" t="s">
        <v>208</v>
      </c>
      <c r="D147" s="18">
        <f t="shared" si="8"/>
        <v>43</v>
      </c>
    </row>
    <row r="148" spans="1:4" x14ac:dyDescent="0.25">
      <c r="A148" s="18">
        <f t="shared" si="6"/>
        <v>9</v>
      </c>
      <c r="B148" s="18">
        <f t="shared" si="7"/>
        <v>3</v>
      </c>
      <c r="C148" s="18"/>
      <c r="D148" s="18">
        <f t="shared" si="8"/>
        <v>0</v>
      </c>
    </row>
    <row r="149" spans="1:4" x14ac:dyDescent="0.25">
      <c r="A149" s="18">
        <f t="shared" si="6"/>
        <v>9</v>
      </c>
      <c r="B149" s="18">
        <f t="shared" si="7"/>
        <v>4</v>
      </c>
      <c r="C149" s="18" t="s">
        <v>209</v>
      </c>
      <c r="D149" s="18">
        <f t="shared" si="8"/>
        <v>40</v>
      </c>
    </row>
    <row r="150" spans="1:4" x14ac:dyDescent="0.25">
      <c r="A150" s="18">
        <f t="shared" si="6"/>
        <v>9</v>
      </c>
      <c r="B150" s="18">
        <f t="shared" si="7"/>
        <v>5</v>
      </c>
      <c r="C150" s="18"/>
      <c r="D150" s="18">
        <f t="shared" si="8"/>
        <v>0</v>
      </c>
    </row>
    <row r="151" spans="1:4" x14ac:dyDescent="0.25">
      <c r="A151" s="18">
        <f t="shared" si="6"/>
        <v>9</v>
      </c>
      <c r="B151" s="18">
        <f t="shared" si="7"/>
        <v>6</v>
      </c>
      <c r="C151" s="18" t="s">
        <v>210</v>
      </c>
      <c r="D151" s="18">
        <f t="shared" si="8"/>
        <v>80</v>
      </c>
    </row>
    <row r="152" spans="1:4" x14ac:dyDescent="0.25">
      <c r="A152" s="18">
        <f t="shared" si="6"/>
        <v>9</v>
      </c>
      <c r="B152" s="18">
        <f t="shared" si="7"/>
        <v>7</v>
      </c>
      <c r="C152" s="18" t="s">
        <v>211</v>
      </c>
      <c r="D152" s="18">
        <f t="shared" si="8"/>
        <v>8</v>
      </c>
    </row>
    <row r="153" spans="1:4" x14ac:dyDescent="0.25">
      <c r="A153" s="18">
        <f t="shared" si="6"/>
        <v>9</v>
      </c>
      <c r="B153" s="18">
        <f t="shared" si="7"/>
        <v>8</v>
      </c>
      <c r="C153" s="18" t="s">
        <v>212</v>
      </c>
      <c r="D153" s="18">
        <f t="shared" si="8"/>
        <v>80</v>
      </c>
    </row>
    <row r="154" spans="1:4" x14ac:dyDescent="0.25">
      <c r="A154" s="18">
        <f t="shared" si="6"/>
        <v>9</v>
      </c>
      <c r="B154" s="18">
        <f t="shared" si="7"/>
        <v>9</v>
      </c>
      <c r="C154" s="18" t="s">
        <v>213</v>
      </c>
      <c r="D154" s="18">
        <f t="shared" si="8"/>
        <v>9</v>
      </c>
    </row>
    <row r="155" spans="1:4" x14ac:dyDescent="0.25">
      <c r="A155" s="18">
        <f t="shared" si="6"/>
        <v>9</v>
      </c>
      <c r="B155" s="18">
        <f t="shared" si="7"/>
        <v>10</v>
      </c>
      <c r="C155" s="18" t="s">
        <v>214</v>
      </c>
      <c r="D155" s="18">
        <f t="shared" si="8"/>
        <v>80</v>
      </c>
    </row>
    <row r="156" spans="1:4" x14ac:dyDescent="0.25">
      <c r="A156" s="18">
        <f t="shared" si="6"/>
        <v>9</v>
      </c>
      <c r="B156" s="18">
        <f t="shared" si="7"/>
        <v>11</v>
      </c>
      <c r="C156" s="18" t="s">
        <v>213</v>
      </c>
      <c r="D156" s="18">
        <f t="shared" si="8"/>
        <v>9</v>
      </c>
    </row>
    <row r="157" spans="1:4" x14ac:dyDescent="0.25">
      <c r="A157" s="18">
        <f t="shared" si="6"/>
        <v>9</v>
      </c>
      <c r="B157" s="18">
        <f t="shared" si="7"/>
        <v>12</v>
      </c>
      <c r="C157" s="18" t="s">
        <v>215</v>
      </c>
      <c r="D157" s="18">
        <f t="shared" si="8"/>
        <v>80</v>
      </c>
    </row>
    <row r="158" spans="1:4" x14ac:dyDescent="0.25">
      <c r="A158" s="18">
        <f t="shared" si="6"/>
        <v>9</v>
      </c>
      <c r="B158" s="18">
        <f t="shared" si="7"/>
        <v>13</v>
      </c>
      <c r="C158" s="18" t="s">
        <v>216</v>
      </c>
      <c r="D158" s="18">
        <f t="shared" si="8"/>
        <v>13</v>
      </c>
    </row>
    <row r="159" spans="1:4" x14ac:dyDescent="0.25">
      <c r="A159" s="18">
        <f t="shared" si="6"/>
        <v>9</v>
      </c>
      <c r="B159" s="18">
        <f t="shared" si="7"/>
        <v>14</v>
      </c>
      <c r="C159" s="18"/>
      <c r="D159" s="18">
        <f t="shared" si="8"/>
        <v>0</v>
      </c>
    </row>
    <row r="160" spans="1:4" x14ac:dyDescent="0.25">
      <c r="A160" s="18">
        <f t="shared" si="6"/>
        <v>9</v>
      </c>
      <c r="B160" s="18">
        <f t="shared" si="7"/>
        <v>15</v>
      </c>
      <c r="C160" s="18" t="s">
        <v>217</v>
      </c>
      <c r="D160" s="18">
        <f t="shared" si="8"/>
        <v>80</v>
      </c>
    </row>
    <row r="161" spans="1:4" x14ac:dyDescent="0.25">
      <c r="A161" s="18">
        <f t="shared" si="6"/>
        <v>9</v>
      </c>
      <c r="B161" s="18">
        <f t="shared" si="7"/>
        <v>16</v>
      </c>
      <c r="C161" s="18" t="s">
        <v>218</v>
      </c>
      <c r="D161" s="18">
        <f t="shared" si="8"/>
        <v>11</v>
      </c>
    </row>
    <row r="162" spans="1:4" x14ac:dyDescent="0.25">
      <c r="A162" s="18">
        <f t="shared" si="6"/>
        <v>9</v>
      </c>
      <c r="B162" s="18">
        <f t="shared" si="7"/>
        <v>17</v>
      </c>
      <c r="C162" s="18" t="s">
        <v>217</v>
      </c>
      <c r="D162" s="18">
        <f t="shared" si="8"/>
        <v>80</v>
      </c>
    </row>
    <row r="163" spans="1:4" x14ac:dyDescent="0.25">
      <c r="A163" s="18">
        <f t="shared" si="6"/>
        <v>9</v>
      </c>
      <c r="B163" s="18">
        <f t="shared" si="7"/>
        <v>18</v>
      </c>
      <c r="C163" s="18" t="s">
        <v>218</v>
      </c>
      <c r="D163" s="18">
        <f t="shared" si="8"/>
        <v>11</v>
      </c>
    </row>
    <row r="164" spans="1:4" x14ac:dyDescent="0.25">
      <c r="A164" s="18">
        <f t="shared" si="6"/>
        <v>9</v>
      </c>
      <c r="B164" s="18">
        <f t="shared" si="7"/>
        <v>19</v>
      </c>
      <c r="C164" s="18" t="s">
        <v>219</v>
      </c>
      <c r="D164" s="18">
        <f t="shared" si="8"/>
        <v>80</v>
      </c>
    </row>
    <row r="165" spans="1:4" x14ac:dyDescent="0.25">
      <c r="A165" s="18">
        <f t="shared" si="6"/>
        <v>9</v>
      </c>
      <c r="B165" s="18">
        <f t="shared" si="7"/>
        <v>20</v>
      </c>
      <c r="C165" s="18" t="s">
        <v>220</v>
      </c>
      <c r="D165" s="18">
        <f t="shared" si="8"/>
        <v>11</v>
      </c>
    </row>
    <row r="166" spans="1:4" x14ac:dyDescent="0.25">
      <c r="A166" s="18">
        <f t="shared" si="6"/>
        <v>9</v>
      </c>
      <c r="B166" s="18">
        <f t="shared" si="7"/>
        <v>21</v>
      </c>
      <c r="C166" s="18" t="s">
        <v>221</v>
      </c>
      <c r="D166" s="18">
        <f t="shared" si="8"/>
        <v>80</v>
      </c>
    </row>
    <row r="167" spans="1:4" x14ac:dyDescent="0.25">
      <c r="A167" s="18">
        <f t="shared" si="6"/>
        <v>9</v>
      </c>
      <c r="B167" s="18">
        <f t="shared" si="7"/>
        <v>22</v>
      </c>
      <c r="C167" s="18" t="s">
        <v>222</v>
      </c>
      <c r="D167" s="18">
        <f t="shared" si="8"/>
        <v>11</v>
      </c>
    </row>
    <row r="168" spans="1:4" x14ac:dyDescent="0.25">
      <c r="A168" s="18">
        <f t="shared" si="6"/>
        <v>9</v>
      </c>
      <c r="B168" s="18">
        <f t="shared" si="7"/>
        <v>23</v>
      </c>
      <c r="C168" s="18"/>
      <c r="D168" s="18">
        <f t="shared" si="8"/>
        <v>0</v>
      </c>
    </row>
    <row r="169" spans="1:4" x14ac:dyDescent="0.25">
      <c r="A169" s="18">
        <f t="shared" si="6"/>
        <v>9</v>
      </c>
      <c r="B169" s="18">
        <f t="shared" si="7"/>
        <v>24</v>
      </c>
      <c r="C169" s="18" t="s">
        <v>173</v>
      </c>
      <c r="D169" s="18">
        <f t="shared" si="8"/>
        <v>34</v>
      </c>
    </row>
    <row r="170" spans="1:4" x14ac:dyDescent="0.25">
      <c r="A170" s="18">
        <f t="shared" si="6"/>
        <v>10</v>
      </c>
      <c r="B170" s="18">
        <f t="shared" si="7"/>
        <v>1</v>
      </c>
      <c r="C170" s="18" t="s">
        <v>387</v>
      </c>
      <c r="D170" s="18">
        <f t="shared" si="8"/>
        <v>45</v>
      </c>
    </row>
    <row r="171" spans="1:4" x14ac:dyDescent="0.25">
      <c r="A171" s="18">
        <f t="shared" si="6"/>
        <v>10</v>
      </c>
      <c r="B171" s="18">
        <f t="shared" si="7"/>
        <v>2</v>
      </c>
      <c r="C171" s="18"/>
      <c r="D171" s="18">
        <f t="shared" si="8"/>
        <v>0</v>
      </c>
    </row>
    <row r="172" spans="1:4" x14ac:dyDescent="0.25">
      <c r="A172" s="18">
        <f t="shared" si="6"/>
        <v>10</v>
      </c>
      <c r="B172" s="18">
        <f t="shared" si="7"/>
        <v>3</v>
      </c>
      <c r="C172" s="18" t="s">
        <v>223</v>
      </c>
      <c r="D172" s="18">
        <f t="shared" si="8"/>
        <v>80</v>
      </c>
    </row>
    <row r="173" spans="1:4" x14ac:dyDescent="0.25">
      <c r="A173" s="18">
        <f t="shared" si="6"/>
        <v>10</v>
      </c>
      <c r="B173" s="18">
        <f t="shared" si="7"/>
        <v>4</v>
      </c>
      <c r="C173" s="18" t="s">
        <v>224</v>
      </c>
      <c r="D173" s="18">
        <f t="shared" si="8"/>
        <v>13</v>
      </c>
    </row>
    <row r="174" spans="1:4" x14ac:dyDescent="0.25">
      <c r="A174" s="18">
        <f t="shared" si="6"/>
        <v>10</v>
      </c>
      <c r="B174" s="18">
        <f t="shared" si="7"/>
        <v>5</v>
      </c>
      <c r="C174" s="18" t="s">
        <v>225</v>
      </c>
      <c r="D174" s="18">
        <f t="shared" si="8"/>
        <v>80</v>
      </c>
    </row>
    <row r="175" spans="1:4" x14ac:dyDescent="0.25">
      <c r="A175" s="18">
        <f t="shared" si="6"/>
        <v>10</v>
      </c>
      <c r="B175" s="18">
        <f t="shared" si="7"/>
        <v>6</v>
      </c>
      <c r="C175" s="18" t="s">
        <v>226</v>
      </c>
      <c r="D175" s="18">
        <f t="shared" si="8"/>
        <v>11</v>
      </c>
    </row>
    <row r="176" spans="1:4" x14ac:dyDescent="0.25">
      <c r="A176" s="18">
        <f t="shared" si="6"/>
        <v>10</v>
      </c>
      <c r="B176" s="18">
        <f t="shared" si="7"/>
        <v>7</v>
      </c>
      <c r="C176" s="18" t="s">
        <v>227</v>
      </c>
      <c r="D176" s="18">
        <f t="shared" si="8"/>
        <v>80</v>
      </c>
    </row>
    <row r="177" spans="1:4" x14ac:dyDescent="0.25">
      <c r="A177" s="18">
        <f t="shared" si="6"/>
        <v>10</v>
      </c>
      <c r="B177" s="18">
        <f t="shared" si="7"/>
        <v>8</v>
      </c>
      <c r="C177" s="18" t="s">
        <v>228</v>
      </c>
      <c r="D177" s="18">
        <f t="shared" si="8"/>
        <v>14</v>
      </c>
    </row>
    <row r="178" spans="1:4" x14ac:dyDescent="0.25">
      <c r="A178" s="18">
        <f t="shared" si="6"/>
        <v>10</v>
      </c>
      <c r="B178" s="18">
        <f t="shared" si="7"/>
        <v>9</v>
      </c>
      <c r="C178" s="18" t="s">
        <v>229</v>
      </c>
      <c r="D178" s="18">
        <f t="shared" si="8"/>
        <v>80</v>
      </c>
    </row>
    <row r="179" spans="1:4" x14ac:dyDescent="0.25">
      <c r="A179" s="18">
        <f t="shared" si="6"/>
        <v>10</v>
      </c>
      <c r="B179" s="18">
        <f t="shared" si="7"/>
        <v>10</v>
      </c>
      <c r="C179" s="18" t="s">
        <v>230</v>
      </c>
      <c r="D179" s="18">
        <f t="shared" si="8"/>
        <v>15</v>
      </c>
    </row>
    <row r="180" spans="1:4" x14ac:dyDescent="0.25">
      <c r="A180" s="18">
        <f t="shared" si="6"/>
        <v>10</v>
      </c>
      <c r="B180" s="18">
        <f t="shared" si="7"/>
        <v>11</v>
      </c>
      <c r="C180" s="18"/>
      <c r="D180" s="18">
        <f t="shared" si="8"/>
        <v>0</v>
      </c>
    </row>
    <row r="181" spans="1:4" x14ac:dyDescent="0.25">
      <c r="A181" s="18">
        <f t="shared" si="6"/>
        <v>10</v>
      </c>
      <c r="B181" s="18">
        <f t="shared" si="7"/>
        <v>12</v>
      </c>
      <c r="C181" s="18" t="s">
        <v>388</v>
      </c>
      <c r="D181" s="18">
        <f t="shared" si="8"/>
        <v>46</v>
      </c>
    </row>
    <row r="182" spans="1:4" x14ac:dyDescent="0.25">
      <c r="A182" s="18">
        <f t="shared" si="6"/>
        <v>10</v>
      </c>
      <c r="B182" s="18">
        <f t="shared" si="7"/>
        <v>13</v>
      </c>
      <c r="C182" s="18"/>
      <c r="D182" s="18">
        <f t="shared" si="8"/>
        <v>0</v>
      </c>
    </row>
    <row r="183" spans="1:4" x14ac:dyDescent="0.25">
      <c r="A183" s="18">
        <f t="shared" si="6"/>
        <v>10</v>
      </c>
      <c r="B183" s="18">
        <f t="shared" si="7"/>
        <v>14</v>
      </c>
      <c r="C183" s="18" t="s">
        <v>389</v>
      </c>
      <c r="D183" s="18">
        <f t="shared" si="8"/>
        <v>80</v>
      </c>
    </row>
    <row r="184" spans="1:4" x14ac:dyDescent="0.25">
      <c r="A184" s="18">
        <f t="shared" si="6"/>
        <v>10</v>
      </c>
      <c r="B184" s="18">
        <f t="shared" si="7"/>
        <v>15</v>
      </c>
      <c r="C184" s="18" t="s">
        <v>390</v>
      </c>
      <c r="D184" s="18">
        <f t="shared" si="8"/>
        <v>11</v>
      </c>
    </row>
    <row r="185" spans="1:4" x14ac:dyDescent="0.25">
      <c r="A185" s="18">
        <f t="shared" si="6"/>
        <v>10</v>
      </c>
      <c r="B185" s="18">
        <f t="shared" si="7"/>
        <v>16</v>
      </c>
      <c r="C185" s="18" t="s">
        <v>391</v>
      </c>
      <c r="D185" s="18">
        <f t="shared" si="8"/>
        <v>80</v>
      </c>
    </row>
    <row r="186" spans="1:4" x14ac:dyDescent="0.25">
      <c r="A186" s="18">
        <f t="shared" si="6"/>
        <v>10</v>
      </c>
      <c r="B186" s="18">
        <f t="shared" si="7"/>
        <v>17</v>
      </c>
      <c r="C186" s="18" t="s">
        <v>392</v>
      </c>
      <c r="D186" s="18">
        <f t="shared" si="8"/>
        <v>12</v>
      </c>
    </row>
    <row r="187" spans="1:4" x14ac:dyDescent="0.25">
      <c r="A187" s="18">
        <f t="shared" si="6"/>
        <v>10</v>
      </c>
      <c r="B187" s="18">
        <f t="shared" si="7"/>
        <v>18</v>
      </c>
      <c r="C187" s="18" t="s">
        <v>173</v>
      </c>
      <c r="D187" s="18">
        <f t="shared" si="8"/>
        <v>34</v>
      </c>
    </row>
    <row r="188" spans="1:4" x14ac:dyDescent="0.25">
      <c r="A188" s="18">
        <f t="shared" si="6"/>
        <v>11</v>
      </c>
      <c r="B188" s="18">
        <f t="shared" si="7"/>
        <v>1</v>
      </c>
      <c r="C188" s="18"/>
      <c r="D188" s="18">
        <f t="shared" si="8"/>
        <v>0</v>
      </c>
    </row>
    <row r="189" spans="1:4" x14ac:dyDescent="0.25">
      <c r="A189" s="18">
        <f t="shared" si="6"/>
        <v>11</v>
      </c>
      <c r="B189" s="18">
        <f t="shared" si="7"/>
        <v>2</v>
      </c>
      <c r="C189" s="18" t="s">
        <v>393</v>
      </c>
      <c r="D189" s="18">
        <f t="shared" si="8"/>
        <v>59</v>
      </c>
    </row>
    <row r="190" spans="1:4" x14ac:dyDescent="0.25">
      <c r="A190" s="18">
        <f t="shared" si="6"/>
        <v>11</v>
      </c>
      <c r="B190" s="18">
        <f t="shared" si="7"/>
        <v>3</v>
      </c>
      <c r="C190" s="18"/>
      <c r="D190" s="18">
        <f t="shared" si="8"/>
        <v>0</v>
      </c>
    </row>
    <row r="191" spans="1:4" x14ac:dyDescent="0.25">
      <c r="A191" s="18">
        <f t="shared" si="6"/>
        <v>11</v>
      </c>
      <c r="B191" s="18">
        <f t="shared" si="7"/>
        <v>4</v>
      </c>
      <c r="C191" s="18" t="s">
        <v>394</v>
      </c>
      <c r="D191" s="18">
        <f t="shared" si="8"/>
        <v>80</v>
      </c>
    </row>
    <row r="192" spans="1:4" x14ac:dyDescent="0.25">
      <c r="A192" s="18">
        <f t="shared" si="6"/>
        <v>11</v>
      </c>
      <c r="B192" s="18">
        <f t="shared" si="7"/>
        <v>5</v>
      </c>
      <c r="C192" s="18" t="s">
        <v>395</v>
      </c>
      <c r="D192" s="18">
        <f t="shared" si="8"/>
        <v>26</v>
      </c>
    </row>
    <row r="193" spans="1:4" x14ac:dyDescent="0.25">
      <c r="A193" s="18">
        <f t="shared" si="6"/>
        <v>11</v>
      </c>
      <c r="B193" s="18">
        <f t="shared" si="7"/>
        <v>6</v>
      </c>
      <c r="C193" s="18" t="s">
        <v>396</v>
      </c>
      <c r="D193" s="18">
        <f t="shared" si="8"/>
        <v>80</v>
      </c>
    </row>
    <row r="194" spans="1:4" x14ac:dyDescent="0.25">
      <c r="A194" s="18">
        <f t="shared" si="6"/>
        <v>11</v>
      </c>
      <c r="B194" s="18">
        <f t="shared" si="7"/>
        <v>7</v>
      </c>
      <c r="C194" s="18" t="s">
        <v>397</v>
      </c>
      <c r="D194" s="18">
        <f t="shared" si="8"/>
        <v>47</v>
      </c>
    </row>
    <row r="195" spans="1:4" x14ac:dyDescent="0.25">
      <c r="A195" s="18">
        <f t="shared" ref="A195:A258" si="9">IF(ISNUMBER(A194),IF(B195&lt;B194,A194+1,A194),1)</f>
        <v>11</v>
      </c>
      <c r="B195" s="18">
        <f t="shared" ref="B195:B258" si="10">IF(ISNUMBER(B194),IF(C194="Press ENTER to resume the program.",1,B194+1),1)</f>
        <v>8</v>
      </c>
      <c r="C195" s="18" t="s">
        <v>398</v>
      </c>
      <c r="D195" s="18">
        <f t="shared" ref="D195:D258" si="11">LEN(C195)</f>
        <v>80</v>
      </c>
    </row>
    <row r="196" spans="1:4" x14ac:dyDescent="0.25">
      <c r="A196" s="18">
        <f t="shared" si="9"/>
        <v>11</v>
      </c>
      <c r="B196" s="18">
        <f t="shared" si="10"/>
        <v>9</v>
      </c>
      <c r="C196" s="18" t="s">
        <v>399</v>
      </c>
      <c r="D196" s="18">
        <f t="shared" si="11"/>
        <v>22</v>
      </c>
    </row>
    <row r="197" spans="1:4" x14ac:dyDescent="0.25">
      <c r="A197" s="18">
        <f t="shared" si="9"/>
        <v>11</v>
      </c>
      <c r="B197" s="18">
        <f t="shared" si="10"/>
        <v>10</v>
      </c>
      <c r="C197" s="18"/>
      <c r="D197" s="18">
        <f t="shared" si="11"/>
        <v>0</v>
      </c>
    </row>
    <row r="198" spans="1:4" x14ac:dyDescent="0.25">
      <c r="A198" s="18">
        <f t="shared" si="9"/>
        <v>11</v>
      </c>
      <c r="B198" s="18">
        <f t="shared" si="10"/>
        <v>11</v>
      </c>
      <c r="C198" s="18" t="s">
        <v>400</v>
      </c>
      <c r="D198" s="18">
        <f t="shared" si="11"/>
        <v>80</v>
      </c>
    </row>
    <row r="199" spans="1:4" x14ac:dyDescent="0.25">
      <c r="A199" s="18">
        <f t="shared" si="9"/>
        <v>11</v>
      </c>
      <c r="B199" s="18">
        <f t="shared" si="10"/>
        <v>12</v>
      </c>
      <c r="C199" s="18">
        <v>1</v>
      </c>
      <c r="D199" s="18">
        <f t="shared" si="11"/>
        <v>1</v>
      </c>
    </row>
    <row r="200" spans="1:4" x14ac:dyDescent="0.25">
      <c r="A200" s="18">
        <f t="shared" si="9"/>
        <v>11</v>
      </c>
      <c r="B200" s="18">
        <f t="shared" si="10"/>
        <v>13</v>
      </c>
      <c r="C200" s="18" t="s">
        <v>401</v>
      </c>
      <c r="D200" s="18">
        <f t="shared" si="11"/>
        <v>80</v>
      </c>
    </row>
    <row r="201" spans="1:4" x14ac:dyDescent="0.25">
      <c r="A201" s="18">
        <f t="shared" si="9"/>
        <v>11</v>
      </c>
      <c r="B201" s="18">
        <f t="shared" si="10"/>
        <v>14</v>
      </c>
      <c r="C201" s="18" t="s">
        <v>402</v>
      </c>
      <c r="D201" s="18">
        <f t="shared" si="11"/>
        <v>10</v>
      </c>
    </row>
    <row r="202" spans="1:4" x14ac:dyDescent="0.25">
      <c r="A202" s="18">
        <f t="shared" si="9"/>
        <v>11</v>
      </c>
      <c r="B202" s="18">
        <f t="shared" si="10"/>
        <v>15</v>
      </c>
      <c r="C202" s="18" t="s">
        <v>403</v>
      </c>
      <c r="D202" s="18">
        <f t="shared" si="11"/>
        <v>79</v>
      </c>
    </row>
    <row r="203" spans="1:4" x14ac:dyDescent="0.25">
      <c r="A203" s="18">
        <f t="shared" si="9"/>
        <v>11</v>
      </c>
      <c r="B203" s="18">
        <f t="shared" si="10"/>
        <v>16</v>
      </c>
      <c r="C203" s="18"/>
      <c r="D203" s="18">
        <f t="shared" si="11"/>
        <v>0</v>
      </c>
    </row>
    <row r="204" spans="1:4" x14ac:dyDescent="0.25">
      <c r="A204" s="18">
        <f t="shared" si="9"/>
        <v>11</v>
      </c>
      <c r="B204" s="18">
        <f t="shared" si="10"/>
        <v>17</v>
      </c>
      <c r="C204" s="18" t="s">
        <v>404</v>
      </c>
      <c r="D204" s="18">
        <f t="shared" si="11"/>
        <v>37</v>
      </c>
    </row>
    <row r="205" spans="1:4" x14ac:dyDescent="0.25">
      <c r="A205" s="18">
        <f t="shared" si="9"/>
        <v>11</v>
      </c>
      <c r="B205" s="18">
        <f t="shared" si="10"/>
        <v>18</v>
      </c>
      <c r="C205" s="18" t="s">
        <v>173</v>
      </c>
      <c r="D205" s="18">
        <f t="shared" si="11"/>
        <v>34</v>
      </c>
    </row>
    <row r="206" spans="1:4" x14ac:dyDescent="0.25">
      <c r="A206" s="18">
        <f t="shared" si="9"/>
        <v>12</v>
      </c>
      <c r="B206" s="18">
        <f t="shared" si="10"/>
        <v>1</v>
      </c>
      <c r="C206" s="18"/>
      <c r="D206" s="18">
        <f t="shared" si="11"/>
        <v>0</v>
      </c>
    </row>
    <row r="207" spans="1:4" x14ac:dyDescent="0.25">
      <c r="A207" s="18">
        <f t="shared" si="9"/>
        <v>12</v>
      </c>
      <c r="B207" s="18">
        <f t="shared" si="10"/>
        <v>2</v>
      </c>
      <c r="C207" s="18" t="s">
        <v>405</v>
      </c>
      <c r="D207" s="18">
        <f t="shared" si="11"/>
        <v>40</v>
      </c>
    </row>
    <row r="208" spans="1:4" x14ac:dyDescent="0.25">
      <c r="A208" s="18">
        <f t="shared" si="9"/>
        <v>12</v>
      </c>
      <c r="B208" s="18">
        <f t="shared" si="10"/>
        <v>3</v>
      </c>
      <c r="C208" s="18"/>
      <c r="D208" s="18">
        <f t="shared" si="11"/>
        <v>0</v>
      </c>
    </row>
    <row r="209" spans="1:4" x14ac:dyDescent="0.25">
      <c r="A209" s="18">
        <f t="shared" si="9"/>
        <v>12</v>
      </c>
      <c r="B209" s="18">
        <f t="shared" si="10"/>
        <v>4</v>
      </c>
      <c r="C209" s="18" t="s">
        <v>406</v>
      </c>
      <c r="D209" s="18">
        <f t="shared" si="11"/>
        <v>69</v>
      </c>
    </row>
    <row r="210" spans="1:4" x14ac:dyDescent="0.25">
      <c r="A210" s="18">
        <f t="shared" si="9"/>
        <v>12</v>
      </c>
      <c r="B210" s="18">
        <f t="shared" si="10"/>
        <v>5</v>
      </c>
      <c r="C210" s="18" t="s">
        <v>407</v>
      </c>
      <c r="D210" s="18">
        <f t="shared" si="11"/>
        <v>68</v>
      </c>
    </row>
    <row r="211" spans="1:4" x14ac:dyDescent="0.25">
      <c r="A211" s="18">
        <f t="shared" si="9"/>
        <v>12</v>
      </c>
      <c r="B211" s="18">
        <f t="shared" si="10"/>
        <v>6</v>
      </c>
      <c r="C211" s="18"/>
      <c r="D211" s="18">
        <f t="shared" si="11"/>
        <v>0</v>
      </c>
    </row>
    <row r="212" spans="1:4" x14ac:dyDescent="0.25">
      <c r="A212" s="18">
        <f t="shared" si="9"/>
        <v>12</v>
      </c>
      <c r="B212" s="18">
        <f t="shared" si="10"/>
        <v>7</v>
      </c>
      <c r="C212" s="18" t="s">
        <v>408</v>
      </c>
      <c r="D212" s="18">
        <f t="shared" si="11"/>
        <v>68</v>
      </c>
    </row>
    <row r="213" spans="1:4" x14ac:dyDescent="0.25">
      <c r="A213" s="18">
        <f t="shared" si="9"/>
        <v>12</v>
      </c>
      <c r="B213" s="18">
        <f t="shared" si="10"/>
        <v>8</v>
      </c>
      <c r="C213" s="18" t="s">
        <v>409</v>
      </c>
      <c r="D213" s="18">
        <f t="shared" si="11"/>
        <v>69</v>
      </c>
    </row>
    <row r="214" spans="1:4" x14ac:dyDescent="0.25">
      <c r="A214" s="18">
        <f t="shared" si="9"/>
        <v>12</v>
      </c>
      <c r="B214" s="18">
        <f t="shared" si="10"/>
        <v>9</v>
      </c>
      <c r="C214" s="18"/>
      <c r="D214" s="18">
        <f t="shared" si="11"/>
        <v>0</v>
      </c>
    </row>
    <row r="215" spans="1:4" x14ac:dyDescent="0.25">
      <c r="A215" s="18">
        <f t="shared" si="9"/>
        <v>12</v>
      </c>
      <c r="B215" s="18">
        <f t="shared" si="10"/>
        <v>10</v>
      </c>
      <c r="C215" s="18" t="s">
        <v>410</v>
      </c>
      <c r="D215" s="18">
        <f t="shared" si="11"/>
        <v>68</v>
      </c>
    </row>
    <row r="216" spans="1:4" x14ac:dyDescent="0.25">
      <c r="A216" s="18">
        <f t="shared" si="9"/>
        <v>12</v>
      </c>
      <c r="B216" s="18">
        <f t="shared" si="10"/>
        <v>11</v>
      </c>
      <c r="C216" s="18" t="s">
        <v>411</v>
      </c>
      <c r="D216" s="18">
        <f t="shared" si="11"/>
        <v>69</v>
      </c>
    </row>
    <row r="217" spans="1:4" x14ac:dyDescent="0.25">
      <c r="A217" s="18">
        <f t="shared" si="9"/>
        <v>12</v>
      </c>
      <c r="B217" s="18">
        <f t="shared" si="10"/>
        <v>12</v>
      </c>
      <c r="C217" s="18"/>
      <c r="D217" s="18">
        <f t="shared" si="11"/>
        <v>0</v>
      </c>
    </row>
    <row r="218" spans="1:4" x14ac:dyDescent="0.25">
      <c r="A218" s="18">
        <f t="shared" si="9"/>
        <v>12</v>
      </c>
      <c r="B218" s="18">
        <f t="shared" si="10"/>
        <v>13</v>
      </c>
      <c r="C218" s="18" t="s">
        <v>412</v>
      </c>
      <c r="D218" s="18">
        <f t="shared" si="11"/>
        <v>37</v>
      </c>
    </row>
    <row r="219" spans="1:4" x14ac:dyDescent="0.25">
      <c r="A219" s="18">
        <f t="shared" si="9"/>
        <v>12</v>
      </c>
      <c r="B219" s="18">
        <f t="shared" si="10"/>
        <v>14</v>
      </c>
      <c r="C219" s="18" t="s">
        <v>173</v>
      </c>
      <c r="D219" s="18">
        <f t="shared" si="11"/>
        <v>34</v>
      </c>
    </row>
    <row r="220" spans="1:4" x14ac:dyDescent="0.25">
      <c r="A220" s="18">
        <f t="shared" si="9"/>
        <v>13</v>
      </c>
      <c r="B220" s="18">
        <f t="shared" si="10"/>
        <v>1</v>
      </c>
      <c r="C220" s="18"/>
      <c r="D220" s="18">
        <f t="shared" si="11"/>
        <v>0</v>
      </c>
    </row>
    <row r="221" spans="1:4" x14ac:dyDescent="0.25">
      <c r="A221" s="18">
        <f t="shared" si="9"/>
        <v>13</v>
      </c>
      <c r="B221" s="18">
        <f t="shared" si="10"/>
        <v>2</v>
      </c>
      <c r="C221" s="18" t="s">
        <v>413</v>
      </c>
      <c r="D221" s="18">
        <f t="shared" si="11"/>
        <v>37</v>
      </c>
    </row>
    <row r="222" spans="1:4" x14ac:dyDescent="0.25">
      <c r="A222" s="18">
        <f t="shared" si="9"/>
        <v>13</v>
      </c>
      <c r="B222" s="18">
        <f t="shared" si="10"/>
        <v>3</v>
      </c>
      <c r="C222" s="18"/>
      <c r="D222" s="18">
        <f t="shared" si="11"/>
        <v>0</v>
      </c>
    </row>
    <row r="223" spans="1:4" x14ac:dyDescent="0.25">
      <c r="A223" s="18">
        <f t="shared" si="9"/>
        <v>13</v>
      </c>
      <c r="B223" s="18">
        <f t="shared" si="10"/>
        <v>4</v>
      </c>
      <c r="C223" s="18" t="s">
        <v>414</v>
      </c>
      <c r="D223" s="18">
        <f t="shared" si="11"/>
        <v>58</v>
      </c>
    </row>
    <row r="224" spans="1:4" x14ac:dyDescent="0.25">
      <c r="A224" s="18">
        <f t="shared" si="9"/>
        <v>13</v>
      </c>
      <c r="B224" s="18">
        <f t="shared" si="10"/>
        <v>5</v>
      </c>
      <c r="C224" s="18" t="s">
        <v>415</v>
      </c>
      <c r="D224" s="18">
        <f t="shared" si="11"/>
        <v>59</v>
      </c>
    </row>
    <row r="225" spans="1:4" x14ac:dyDescent="0.25">
      <c r="A225" s="18">
        <f t="shared" si="9"/>
        <v>13</v>
      </c>
      <c r="B225" s="18">
        <f t="shared" si="10"/>
        <v>6</v>
      </c>
      <c r="C225" s="18" t="s">
        <v>416</v>
      </c>
      <c r="D225" s="18">
        <f t="shared" si="11"/>
        <v>58</v>
      </c>
    </row>
    <row r="226" spans="1:4" x14ac:dyDescent="0.25">
      <c r="A226" s="18">
        <f t="shared" si="9"/>
        <v>13</v>
      </c>
      <c r="B226" s="18">
        <f t="shared" si="10"/>
        <v>7</v>
      </c>
      <c r="C226" s="18" t="s">
        <v>417</v>
      </c>
      <c r="D226" s="18">
        <f t="shared" si="11"/>
        <v>59</v>
      </c>
    </row>
    <row r="227" spans="1:4" x14ac:dyDescent="0.25">
      <c r="A227" s="18">
        <f t="shared" si="9"/>
        <v>13</v>
      </c>
      <c r="B227" s="18">
        <f t="shared" si="10"/>
        <v>8</v>
      </c>
      <c r="C227" s="18" t="s">
        <v>418</v>
      </c>
      <c r="D227" s="18">
        <f t="shared" si="11"/>
        <v>58</v>
      </c>
    </row>
    <row r="228" spans="1:4" x14ac:dyDescent="0.25">
      <c r="A228" s="18">
        <f t="shared" si="9"/>
        <v>13</v>
      </c>
      <c r="B228" s="18">
        <f t="shared" si="10"/>
        <v>9</v>
      </c>
      <c r="C228" s="18" t="s">
        <v>419</v>
      </c>
      <c r="D228" s="18">
        <f t="shared" si="11"/>
        <v>58</v>
      </c>
    </row>
    <row r="229" spans="1:4" x14ac:dyDescent="0.25">
      <c r="A229" s="18">
        <f t="shared" si="9"/>
        <v>13</v>
      </c>
      <c r="B229" s="18">
        <f t="shared" si="10"/>
        <v>10</v>
      </c>
      <c r="C229" s="18" t="s">
        <v>420</v>
      </c>
      <c r="D229" s="18">
        <f t="shared" si="11"/>
        <v>58</v>
      </c>
    </row>
    <row r="230" spans="1:4" x14ac:dyDescent="0.25">
      <c r="A230" s="18">
        <f t="shared" si="9"/>
        <v>13</v>
      </c>
      <c r="B230" s="18">
        <f t="shared" si="10"/>
        <v>11</v>
      </c>
      <c r="C230" s="18"/>
      <c r="D230" s="18">
        <f t="shared" si="11"/>
        <v>0</v>
      </c>
    </row>
    <row r="231" spans="1:4" x14ac:dyDescent="0.25">
      <c r="A231" s="18">
        <f t="shared" si="9"/>
        <v>13</v>
      </c>
      <c r="B231" s="18">
        <f t="shared" si="10"/>
        <v>12</v>
      </c>
      <c r="C231" s="18" t="s">
        <v>421</v>
      </c>
      <c r="D231" s="18">
        <f t="shared" si="11"/>
        <v>79</v>
      </c>
    </row>
    <row r="232" spans="1:4" x14ac:dyDescent="0.25">
      <c r="A232" s="18">
        <f t="shared" si="9"/>
        <v>13</v>
      </c>
      <c r="B232" s="18">
        <f t="shared" si="10"/>
        <v>13</v>
      </c>
      <c r="C232" s="18" t="s">
        <v>422</v>
      </c>
      <c r="D232" s="18">
        <f t="shared" si="11"/>
        <v>18</v>
      </c>
    </row>
    <row r="233" spans="1:4" x14ac:dyDescent="0.25">
      <c r="A233" s="18">
        <f t="shared" si="9"/>
        <v>13</v>
      </c>
      <c r="B233" s="18">
        <f t="shared" si="10"/>
        <v>14</v>
      </c>
      <c r="C233" s="18"/>
      <c r="D233" s="18">
        <f t="shared" si="11"/>
        <v>0</v>
      </c>
    </row>
    <row r="234" spans="1:4" x14ac:dyDescent="0.25">
      <c r="A234" s="18">
        <f t="shared" si="9"/>
        <v>13</v>
      </c>
      <c r="B234" s="18">
        <f t="shared" si="10"/>
        <v>15</v>
      </c>
      <c r="C234" s="18" t="s">
        <v>423</v>
      </c>
      <c r="D234" s="18">
        <f t="shared" si="11"/>
        <v>58</v>
      </c>
    </row>
    <row r="235" spans="1:4" x14ac:dyDescent="0.25">
      <c r="A235" s="18">
        <f t="shared" si="9"/>
        <v>13</v>
      </c>
      <c r="B235" s="18">
        <f t="shared" si="10"/>
        <v>16</v>
      </c>
      <c r="C235" s="18" t="s">
        <v>424</v>
      </c>
      <c r="D235" s="18">
        <f t="shared" si="11"/>
        <v>58</v>
      </c>
    </row>
    <row r="236" spans="1:4" x14ac:dyDescent="0.25">
      <c r="A236" s="18">
        <f t="shared" si="9"/>
        <v>13</v>
      </c>
      <c r="B236" s="18">
        <f t="shared" si="10"/>
        <v>17</v>
      </c>
      <c r="C236" s="18" t="s">
        <v>425</v>
      </c>
      <c r="D236" s="18">
        <f t="shared" si="11"/>
        <v>71</v>
      </c>
    </row>
    <row r="237" spans="1:4" x14ac:dyDescent="0.25">
      <c r="A237" s="18">
        <f t="shared" si="9"/>
        <v>13</v>
      </c>
      <c r="B237" s="18">
        <f t="shared" si="10"/>
        <v>18</v>
      </c>
      <c r="C237" s="18" t="s">
        <v>426</v>
      </c>
      <c r="D237" s="18">
        <f t="shared" si="11"/>
        <v>73</v>
      </c>
    </row>
    <row r="238" spans="1:4" x14ac:dyDescent="0.25">
      <c r="A238" s="18">
        <f t="shared" si="9"/>
        <v>13</v>
      </c>
      <c r="B238" s="18">
        <f t="shared" si="10"/>
        <v>19</v>
      </c>
      <c r="C238" s="18" t="s">
        <v>427</v>
      </c>
      <c r="D238" s="18">
        <f t="shared" si="11"/>
        <v>58</v>
      </c>
    </row>
    <row r="239" spans="1:4" x14ac:dyDescent="0.25">
      <c r="A239" s="18">
        <f t="shared" si="9"/>
        <v>13</v>
      </c>
      <c r="B239" s="18">
        <f t="shared" si="10"/>
        <v>20</v>
      </c>
      <c r="C239" s="18" t="s">
        <v>428</v>
      </c>
      <c r="D239" s="18">
        <f t="shared" si="11"/>
        <v>60</v>
      </c>
    </row>
    <row r="240" spans="1:4" x14ac:dyDescent="0.25">
      <c r="A240" s="18">
        <f t="shared" si="9"/>
        <v>13</v>
      </c>
      <c r="B240" s="18">
        <f t="shared" si="10"/>
        <v>21</v>
      </c>
      <c r="C240" s="18" t="s">
        <v>429</v>
      </c>
      <c r="D240" s="18">
        <f t="shared" si="11"/>
        <v>58</v>
      </c>
    </row>
    <row r="241" spans="1:4" x14ac:dyDescent="0.25">
      <c r="A241" s="18">
        <f t="shared" si="9"/>
        <v>13</v>
      </c>
      <c r="B241" s="18">
        <f t="shared" si="10"/>
        <v>22</v>
      </c>
      <c r="C241" s="18" t="s">
        <v>430</v>
      </c>
      <c r="D241" s="18">
        <f t="shared" si="11"/>
        <v>60</v>
      </c>
    </row>
    <row r="242" spans="1:4" x14ac:dyDescent="0.25">
      <c r="A242" s="18">
        <f t="shared" si="9"/>
        <v>13</v>
      </c>
      <c r="B242" s="18">
        <f t="shared" si="10"/>
        <v>23</v>
      </c>
      <c r="C242" s="18"/>
      <c r="D242" s="18">
        <f t="shared" si="11"/>
        <v>0</v>
      </c>
    </row>
    <row r="243" spans="1:4" x14ac:dyDescent="0.25">
      <c r="A243" s="18">
        <f t="shared" si="9"/>
        <v>13</v>
      </c>
      <c r="B243" s="18">
        <f t="shared" si="10"/>
        <v>24</v>
      </c>
      <c r="C243" s="18" t="s">
        <v>431</v>
      </c>
      <c r="D243" s="18">
        <f t="shared" si="11"/>
        <v>37</v>
      </c>
    </row>
    <row r="244" spans="1:4" x14ac:dyDescent="0.25">
      <c r="A244" s="18">
        <f t="shared" si="9"/>
        <v>13</v>
      </c>
      <c r="B244" s="18">
        <f t="shared" si="10"/>
        <v>25</v>
      </c>
      <c r="C244" s="18" t="s">
        <v>173</v>
      </c>
      <c r="D244" s="18">
        <f t="shared" si="11"/>
        <v>34</v>
      </c>
    </row>
    <row r="245" spans="1:4" x14ac:dyDescent="0.25">
      <c r="A245" s="18">
        <f t="shared" si="9"/>
        <v>14</v>
      </c>
      <c r="B245" s="18">
        <f t="shared" si="10"/>
        <v>1</v>
      </c>
      <c r="C245" s="18"/>
      <c r="D245" s="18">
        <f t="shared" si="11"/>
        <v>0</v>
      </c>
    </row>
    <row r="246" spans="1:4" x14ac:dyDescent="0.25">
      <c r="A246" s="18">
        <f t="shared" si="9"/>
        <v>14</v>
      </c>
      <c r="B246" s="18">
        <f t="shared" si="10"/>
        <v>2</v>
      </c>
      <c r="C246" s="18" t="s">
        <v>166</v>
      </c>
      <c r="D246" s="18">
        <f t="shared" si="11"/>
        <v>42</v>
      </c>
    </row>
    <row r="247" spans="1:4" x14ac:dyDescent="0.25">
      <c r="A247" s="18">
        <f t="shared" si="9"/>
        <v>14</v>
      </c>
      <c r="B247" s="18">
        <f t="shared" si="10"/>
        <v>3</v>
      </c>
      <c r="C247" s="18"/>
      <c r="D247" s="18">
        <f t="shared" si="11"/>
        <v>0</v>
      </c>
    </row>
    <row r="248" spans="1:4" x14ac:dyDescent="0.25">
      <c r="A248" s="18">
        <f t="shared" si="9"/>
        <v>14</v>
      </c>
      <c r="B248" s="18">
        <f t="shared" si="10"/>
        <v>4</v>
      </c>
      <c r="C248" s="18" t="s">
        <v>167</v>
      </c>
      <c r="D248" s="18">
        <f t="shared" si="11"/>
        <v>62</v>
      </c>
    </row>
    <row r="249" spans="1:4" x14ac:dyDescent="0.25">
      <c r="A249" s="18">
        <f t="shared" si="9"/>
        <v>14</v>
      </c>
      <c r="B249" s="18">
        <f t="shared" si="10"/>
        <v>5</v>
      </c>
      <c r="C249" s="18" t="s">
        <v>168</v>
      </c>
      <c r="D249" s="18">
        <f t="shared" si="11"/>
        <v>62</v>
      </c>
    </row>
    <row r="250" spans="1:4" x14ac:dyDescent="0.25">
      <c r="A250" s="18">
        <f t="shared" si="9"/>
        <v>14</v>
      </c>
      <c r="B250" s="18">
        <f t="shared" si="10"/>
        <v>6</v>
      </c>
      <c r="C250" s="18" t="s">
        <v>169</v>
      </c>
      <c r="D250" s="18">
        <f t="shared" si="11"/>
        <v>64</v>
      </c>
    </row>
    <row r="251" spans="1:4" x14ac:dyDescent="0.25">
      <c r="A251" s="18">
        <f t="shared" si="9"/>
        <v>14</v>
      </c>
      <c r="B251" s="18">
        <f t="shared" si="10"/>
        <v>7</v>
      </c>
      <c r="C251" s="18" t="s">
        <v>170</v>
      </c>
      <c r="D251" s="18">
        <f t="shared" si="11"/>
        <v>62</v>
      </c>
    </row>
    <row r="252" spans="1:4" x14ac:dyDescent="0.25">
      <c r="A252" s="18">
        <f t="shared" si="9"/>
        <v>14</v>
      </c>
      <c r="B252" s="18">
        <f t="shared" si="10"/>
        <v>8</v>
      </c>
      <c r="C252" s="18" t="s">
        <v>171</v>
      </c>
      <c r="D252" s="18">
        <f t="shared" si="11"/>
        <v>62</v>
      </c>
    </row>
    <row r="253" spans="1:4" x14ac:dyDescent="0.25">
      <c r="A253" s="18">
        <f t="shared" si="9"/>
        <v>14</v>
      </c>
      <c r="B253" s="18">
        <f t="shared" si="10"/>
        <v>9</v>
      </c>
      <c r="C253" s="18"/>
      <c r="D253" s="18">
        <f t="shared" si="11"/>
        <v>0</v>
      </c>
    </row>
    <row r="254" spans="1:4" x14ac:dyDescent="0.25">
      <c r="A254" s="18">
        <f t="shared" si="9"/>
        <v>14</v>
      </c>
      <c r="B254" s="18">
        <f t="shared" si="10"/>
        <v>10</v>
      </c>
      <c r="C254" s="18" t="s">
        <v>172</v>
      </c>
      <c r="D254" s="18">
        <f t="shared" si="11"/>
        <v>37</v>
      </c>
    </row>
    <row r="255" spans="1:4" x14ac:dyDescent="0.25">
      <c r="A255" s="18">
        <f t="shared" si="9"/>
        <v>14</v>
      </c>
      <c r="B255" s="18">
        <f t="shared" si="10"/>
        <v>11</v>
      </c>
      <c r="C255" s="18"/>
      <c r="D255" s="18">
        <f t="shared" si="11"/>
        <v>0</v>
      </c>
    </row>
    <row r="256" spans="1:4" x14ac:dyDescent="0.25">
      <c r="A256" s="18">
        <f t="shared" si="9"/>
        <v>14</v>
      </c>
      <c r="B256" s="18">
        <f t="shared" si="10"/>
        <v>12</v>
      </c>
      <c r="C256" s="18" t="s">
        <v>174</v>
      </c>
      <c r="D256" s="18">
        <f t="shared" si="11"/>
        <v>46</v>
      </c>
    </row>
    <row r="257" spans="1:4" x14ac:dyDescent="0.25">
      <c r="A257" s="18">
        <f t="shared" si="9"/>
        <v>14</v>
      </c>
      <c r="B257" s="18">
        <f t="shared" si="10"/>
        <v>13</v>
      </c>
      <c r="C257" s="18"/>
      <c r="D257" s="18">
        <f t="shared" si="11"/>
        <v>0</v>
      </c>
    </row>
    <row r="258" spans="1:4" x14ac:dyDescent="0.25">
      <c r="A258" s="18">
        <f t="shared" si="9"/>
        <v>14</v>
      </c>
      <c r="B258" s="18">
        <f t="shared" si="10"/>
        <v>14</v>
      </c>
      <c r="C258" s="18" t="s">
        <v>175</v>
      </c>
      <c r="D258" s="18">
        <f t="shared" si="11"/>
        <v>79</v>
      </c>
    </row>
    <row r="259" spans="1:4" x14ac:dyDescent="0.25">
      <c r="A259" s="18">
        <f t="shared" ref="A259:A322" si="12">IF(ISNUMBER(A258),IF(B259&lt;B258,A258+1,A258),1)</f>
        <v>14</v>
      </c>
      <c r="B259" s="18">
        <f t="shared" ref="B259:B322" si="13">IF(ISNUMBER(B258),IF(C258="Press ENTER to resume the program.",1,B258+1),1)</f>
        <v>15</v>
      </c>
      <c r="C259" s="18" t="s">
        <v>176</v>
      </c>
      <c r="D259" s="18">
        <f t="shared" ref="D259:D322" si="14">LEN(C259)</f>
        <v>79</v>
      </c>
    </row>
    <row r="260" spans="1:4" x14ac:dyDescent="0.25">
      <c r="A260" s="18">
        <f t="shared" si="12"/>
        <v>14</v>
      </c>
      <c r="B260" s="18">
        <f t="shared" si="13"/>
        <v>16</v>
      </c>
      <c r="C260" s="18" t="s">
        <v>177</v>
      </c>
      <c r="D260" s="18">
        <f t="shared" si="14"/>
        <v>79</v>
      </c>
    </row>
    <row r="261" spans="1:4" x14ac:dyDescent="0.25">
      <c r="A261" s="18">
        <f t="shared" si="12"/>
        <v>14</v>
      </c>
      <c r="B261" s="18">
        <f t="shared" si="13"/>
        <v>17</v>
      </c>
      <c r="C261" s="18" t="s">
        <v>178</v>
      </c>
      <c r="D261" s="18">
        <f t="shared" si="14"/>
        <v>79</v>
      </c>
    </row>
    <row r="262" spans="1:4" x14ac:dyDescent="0.25">
      <c r="A262" s="18">
        <f t="shared" si="12"/>
        <v>14</v>
      </c>
      <c r="B262" s="18">
        <f t="shared" si="13"/>
        <v>18</v>
      </c>
      <c r="C262" s="18" t="s">
        <v>179</v>
      </c>
      <c r="D262" s="18">
        <f t="shared" si="14"/>
        <v>79</v>
      </c>
    </row>
    <row r="263" spans="1:4" x14ac:dyDescent="0.25">
      <c r="A263" s="18">
        <f t="shared" si="12"/>
        <v>14</v>
      </c>
      <c r="B263" s="18">
        <f t="shared" si="13"/>
        <v>19</v>
      </c>
      <c r="C263" s="18" t="s">
        <v>180</v>
      </c>
      <c r="D263" s="18">
        <f t="shared" si="14"/>
        <v>79</v>
      </c>
    </row>
    <row r="264" spans="1:4" x14ac:dyDescent="0.25">
      <c r="A264" s="18">
        <f t="shared" si="12"/>
        <v>14</v>
      </c>
      <c r="B264" s="18">
        <f t="shared" si="13"/>
        <v>20</v>
      </c>
      <c r="C264" s="18" t="s">
        <v>181</v>
      </c>
      <c r="D264" s="18">
        <f t="shared" si="14"/>
        <v>80</v>
      </c>
    </row>
    <row r="265" spans="1:4" x14ac:dyDescent="0.25">
      <c r="A265" s="18">
        <f t="shared" si="12"/>
        <v>14</v>
      </c>
      <c r="B265" s="18">
        <f t="shared" si="13"/>
        <v>21</v>
      </c>
      <c r="C265" s="18"/>
      <c r="D265" s="18">
        <f t="shared" si="14"/>
        <v>0</v>
      </c>
    </row>
    <row r="266" spans="1:4" x14ac:dyDescent="0.25">
      <c r="A266" s="18">
        <f t="shared" si="12"/>
        <v>14</v>
      </c>
      <c r="B266" s="18">
        <f t="shared" si="13"/>
        <v>22</v>
      </c>
      <c r="C266" s="18"/>
      <c r="D266" s="18">
        <f t="shared" si="14"/>
        <v>0</v>
      </c>
    </row>
    <row r="267" spans="1:4" x14ac:dyDescent="0.25">
      <c r="A267" s="18">
        <f t="shared" si="12"/>
        <v>14</v>
      </c>
      <c r="B267" s="18">
        <f t="shared" si="13"/>
        <v>23</v>
      </c>
      <c r="C267" s="18" t="s">
        <v>182</v>
      </c>
      <c r="D267" s="18">
        <f t="shared" si="14"/>
        <v>37</v>
      </c>
    </row>
    <row r="268" spans="1:4" x14ac:dyDescent="0.25">
      <c r="A268" s="18">
        <f t="shared" si="12"/>
        <v>14</v>
      </c>
      <c r="B268" s="18">
        <f t="shared" si="13"/>
        <v>24</v>
      </c>
      <c r="C268" s="18" t="s">
        <v>173</v>
      </c>
      <c r="D268" s="18">
        <f t="shared" si="14"/>
        <v>34</v>
      </c>
    </row>
    <row r="269" spans="1:4" x14ac:dyDescent="0.25">
      <c r="A269" s="18">
        <f t="shared" si="12"/>
        <v>15</v>
      </c>
      <c r="B269" s="18">
        <f t="shared" si="13"/>
        <v>1</v>
      </c>
      <c r="C269" s="18"/>
      <c r="D269" s="18">
        <f t="shared" si="14"/>
        <v>0</v>
      </c>
    </row>
    <row r="270" spans="1:4" x14ac:dyDescent="0.25">
      <c r="A270" s="18">
        <f t="shared" si="12"/>
        <v>15</v>
      </c>
      <c r="B270" s="18">
        <f t="shared" si="13"/>
        <v>2</v>
      </c>
      <c r="C270" s="18" t="s">
        <v>232</v>
      </c>
      <c r="D270" s="18">
        <f t="shared" si="14"/>
        <v>33</v>
      </c>
    </row>
    <row r="271" spans="1:4" x14ac:dyDescent="0.25">
      <c r="A271" s="18">
        <f t="shared" si="12"/>
        <v>15</v>
      </c>
      <c r="B271" s="18">
        <f t="shared" si="13"/>
        <v>3</v>
      </c>
      <c r="C271" s="18"/>
      <c r="D271" s="18">
        <f t="shared" si="14"/>
        <v>0</v>
      </c>
    </row>
    <row r="272" spans="1:4" x14ac:dyDescent="0.25">
      <c r="A272" s="18">
        <f t="shared" si="12"/>
        <v>15</v>
      </c>
      <c r="B272" s="18">
        <f t="shared" si="13"/>
        <v>4</v>
      </c>
      <c r="C272" s="18" t="s">
        <v>233</v>
      </c>
      <c r="D272" s="18">
        <f t="shared" si="14"/>
        <v>80</v>
      </c>
    </row>
    <row r="273" spans="1:4" x14ac:dyDescent="0.25">
      <c r="A273" s="18">
        <f t="shared" si="12"/>
        <v>15</v>
      </c>
      <c r="B273" s="18">
        <f t="shared" si="13"/>
        <v>5</v>
      </c>
      <c r="C273" s="18" t="s">
        <v>234</v>
      </c>
      <c r="D273" s="18">
        <f t="shared" si="14"/>
        <v>22</v>
      </c>
    </row>
    <row r="274" spans="1:4" x14ac:dyDescent="0.25">
      <c r="A274" s="18">
        <f t="shared" si="12"/>
        <v>15</v>
      </c>
      <c r="B274" s="18">
        <f t="shared" si="13"/>
        <v>6</v>
      </c>
      <c r="C274" s="18" t="s">
        <v>233</v>
      </c>
      <c r="D274" s="18">
        <f t="shared" si="14"/>
        <v>80</v>
      </c>
    </row>
    <row r="275" spans="1:4" x14ac:dyDescent="0.25">
      <c r="A275" s="18">
        <f t="shared" si="12"/>
        <v>15</v>
      </c>
      <c r="B275" s="18">
        <f t="shared" si="13"/>
        <v>7</v>
      </c>
      <c r="C275" s="18" t="s">
        <v>235</v>
      </c>
      <c r="D275" s="18">
        <f t="shared" si="14"/>
        <v>23</v>
      </c>
    </row>
    <row r="276" spans="1:4" x14ac:dyDescent="0.25">
      <c r="A276" s="18">
        <f t="shared" si="12"/>
        <v>15</v>
      </c>
      <c r="B276" s="18">
        <f t="shared" si="13"/>
        <v>8</v>
      </c>
      <c r="C276" s="18" t="s">
        <v>236</v>
      </c>
      <c r="D276" s="18">
        <f t="shared" si="14"/>
        <v>80</v>
      </c>
    </row>
    <row r="277" spans="1:4" x14ac:dyDescent="0.25">
      <c r="A277" s="18">
        <f t="shared" si="12"/>
        <v>15</v>
      </c>
      <c r="B277" s="18">
        <f t="shared" si="13"/>
        <v>9</v>
      </c>
      <c r="C277" s="18" t="s">
        <v>234</v>
      </c>
      <c r="D277" s="18">
        <f t="shared" si="14"/>
        <v>22</v>
      </c>
    </row>
    <row r="278" spans="1:4" x14ac:dyDescent="0.25">
      <c r="A278" s="18">
        <f t="shared" si="12"/>
        <v>15</v>
      </c>
      <c r="B278" s="18">
        <f t="shared" si="13"/>
        <v>10</v>
      </c>
      <c r="C278" s="18" t="s">
        <v>237</v>
      </c>
      <c r="D278" s="18">
        <f t="shared" si="14"/>
        <v>80</v>
      </c>
    </row>
    <row r="279" spans="1:4" x14ac:dyDescent="0.25">
      <c r="A279" s="18">
        <f t="shared" si="12"/>
        <v>15</v>
      </c>
      <c r="B279" s="18">
        <f t="shared" si="13"/>
        <v>11</v>
      </c>
      <c r="C279" s="18" t="s">
        <v>235</v>
      </c>
      <c r="D279" s="18">
        <f t="shared" si="14"/>
        <v>23</v>
      </c>
    </row>
    <row r="280" spans="1:4" x14ac:dyDescent="0.25">
      <c r="A280" s="18">
        <f t="shared" si="12"/>
        <v>15</v>
      </c>
      <c r="B280" s="18">
        <f t="shared" si="13"/>
        <v>12</v>
      </c>
      <c r="C280" s="18"/>
      <c r="D280" s="18">
        <f t="shared" si="14"/>
        <v>0</v>
      </c>
    </row>
    <row r="281" spans="1:4" x14ac:dyDescent="0.25">
      <c r="A281" s="18">
        <f t="shared" si="12"/>
        <v>15</v>
      </c>
      <c r="B281" s="18">
        <f t="shared" si="13"/>
        <v>13</v>
      </c>
      <c r="C281" s="18" t="s">
        <v>173</v>
      </c>
      <c r="D281" s="18">
        <f t="shared" si="14"/>
        <v>34</v>
      </c>
    </row>
    <row r="282" spans="1:4" x14ac:dyDescent="0.25">
      <c r="A282" s="18">
        <f t="shared" si="12"/>
        <v>16</v>
      </c>
      <c r="B282" s="18">
        <f t="shared" si="13"/>
        <v>1</v>
      </c>
      <c r="C282" s="18"/>
      <c r="D282" s="18">
        <f t="shared" si="14"/>
        <v>0</v>
      </c>
    </row>
    <row r="283" spans="1:4" x14ac:dyDescent="0.25">
      <c r="A283" s="18">
        <f t="shared" si="12"/>
        <v>16</v>
      </c>
      <c r="B283" s="18">
        <f t="shared" si="13"/>
        <v>2</v>
      </c>
      <c r="C283" s="18" t="s">
        <v>238</v>
      </c>
      <c r="D283" s="18">
        <f t="shared" si="14"/>
        <v>80</v>
      </c>
    </row>
    <row r="284" spans="1:4" x14ac:dyDescent="0.25">
      <c r="A284" s="18">
        <f t="shared" si="12"/>
        <v>16</v>
      </c>
      <c r="B284" s="18">
        <f t="shared" si="13"/>
        <v>3</v>
      </c>
      <c r="C284" s="18" t="s">
        <v>239</v>
      </c>
      <c r="D284" s="18">
        <f t="shared" si="14"/>
        <v>34</v>
      </c>
    </row>
    <row r="285" spans="1:4" x14ac:dyDescent="0.25">
      <c r="A285" s="18">
        <f t="shared" si="12"/>
        <v>16</v>
      </c>
      <c r="B285" s="18">
        <f t="shared" si="13"/>
        <v>4</v>
      </c>
      <c r="C285" s="18" t="s">
        <v>240</v>
      </c>
      <c r="D285" s="18">
        <f t="shared" si="14"/>
        <v>71</v>
      </c>
    </row>
    <row r="286" spans="1:4" x14ac:dyDescent="0.25">
      <c r="A286" s="18">
        <f t="shared" si="12"/>
        <v>16</v>
      </c>
      <c r="B286" s="18">
        <f t="shared" si="13"/>
        <v>5</v>
      </c>
      <c r="C286" s="18" t="s">
        <v>241</v>
      </c>
      <c r="D286" s="18">
        <f t="shared" si="14"/>
        <v>70</v>
      </c>
    </row>
    <row r="287" spans="1:4" x14ac:dyDescent="0.25">
      <c r="A287" s="18">
        <f t="shared" si="12"/>
        <v>16</v>
      </c>
      <c r="B287" s="18">
        <f t="shared" si="13"/>
        <v>6</v>
      </c>
      <c r="C287" s="18" t="s">
        <v>242</v>
      </c>
      <c r="D287" s="18">
        <f t="shared" si="14"/>
        <v>63</v>
      </c>
    </row>
    <row r="288" spans="1:4" x14ac:dyDescent="0.25">
      <c r="A288" s="18">
        <f t="shared" si="12"/>
        <v>16</v>
      </c>
      <c r="B288" s="18">
        <f t="shared" si="13"/>
        <v>7</v>
      </c>
      <c r="C288" s="18"/>
      <c r="D288" s="18">
        <f t="shared" si="14"/>
        <v>0</v>
      </c>
    </row>
    <row r="289" spans="1:4" x14ac:dyDescent="0.25">
      <c r="A289" s="18">
        <f t="shared" si="12"/>
        <v>16</v>
      </c>
      <c r="B289" s="18">
        <f t="shared" si="13"/>
        <v>8</v>
      </c>
      <c r="C289" s="18" t="s">
        <v>238</v>
      </c>
      <c r="D289" s="18">
        <f t="shared" si="14"/>
        <v>80</v>
      </c>
    </row>
    <row r="290" spans="1:4" x14ac:dyDescent="0.25">
      <c r="A290" s="18">
        <f t="shared" si="12"/>
        <v>16</v>
      </c>
      <c r="B290" s="18">
        <f t="shared" si="13"/>
        <v>9</v>
      </c>
      <c r="C290" s="18" t="s">
        <v>243</v>
      </c>
      <c r="D290" s="18">
        <f t="shared" si="14"/>
        <v>26</v>
      </c>
    </row>
    <row r="291" spans="1:4" x14ac:dyDescent="0.25">
      <c r="A291" s="18">
        <f t="shared" si="12"/>
        <v>16</v>
      </c>
      <c r="B291" s="18">
        <f t="shared" si="13"/>
        <v>10</v>
      </c>
      <c r="C291" s="18" t="s">
        <v>244</v>
      </c>
      <c r="D291" s="18">
        <f t="shared" si="14"/>
        <v>68</v>
      </c>
    </row>
    <row r="292" spans="1:4" x14ac:dyDescent="0.25">
      <c r="A292" s="18">
        <f t="shared" si="12"/>
        <v>16</v>
      </c>
      <c r="B292" s="18">
        <f t="shared" si="13"/>
        <v>11</v>
      </c>
      <c r="C292" s="18" t="s">
        <v>241</v>
      </c>
      <c r="D292" s="18">
        <f t="shared" si="14"/>
        <v>70</v>
      </c>
    </row>
    <row r="293" spans="1:4" x14ac:dyDescent="0.25">
      <c r="A293" s="18">
        <f t="shared" si="12"/>
        <v>16</v>
      </c>
      <c r="B293" s="18">
        <f t="shared" si="13"/>
        <v>12</v>
      </c>
      <c r="C293" s="18" t="s">
        <v>245</v>
      </c>
      <c r="D293" s="18">
        <f t="shared" si="14"/>
        <v>62</v>
      </c>
    </row>
    <row r="294" spans="1:4" x14ac:dyDescent="0.25">
      <c r="A294" s="18">
        <f t="shared" si="12"/>
        <v>16</v>
      </c>
      <c r="B294" s="18">
        <f t="shared" si="13"/>
        <v>13</v>
      </c>
      <c r="C294" s="18"/>
      <c r="D294" s="18">
        <f t="shared" si="14"/>
        <v>0</v>
      </c>
    </row>
    <row r="295" spans="1:4" x14ac:dyDescent="0.25">
      <c r="A295" s="18">
        <f t="shared" si="12"/>
        <v>16</v>
      </c>
      <c r="B295" s="18">
        <f t="shared" si="13"/>
        <v>14</v>
      </c>
      <c r="C295" s="18" t="s">
        <v>246</v>
      </c>
      <c r="D295" s="18">
        <f t="shared" si="14"/>
        <v>80</v>
      </c>
    </row>
    <row r="296" spans="1:4" x14ac:dyDescent="0.25">
      <c r="A296" s="18">
        <f t="shared" si="12"/>
        <v>16</v>
      </c>
      <c r="B296" s="18">
        <f t="shared" si="13"/>
        <v>15</v>
      </c>
      <c r="C296" s="18" t="s">
        <v>247</v>
      </c>
      <c r="D296" s="18">
        <f t="shared" si="14"/>
        <v>72</v>
      </c>
    </row>
    <row r="297" spans="1:4" x14ac:dyDescent="0.25">
      <c r="A297" s="18">
        <f t="shared" si="12"/>
        <v>16</v>
      </c>
      <c r="B297" s="18">
        <f t="shared" si="13"/>
        <v>16</v>
      </c>
      <c r="C297" s="18" t="s">
        <v>248</v>
      </c>
      <c r="D297" s="18">
        <f t="shared" si="14"/>
        <v>65</v>
      </c>
    </row>
    <row r="298" spans="1:4" x14ac:dyDescent="0.25">
      <c r="A298" s="18">
        <f t="shared" si="12"/>
        <v>16</v>
      </c>
      <c r="B298" s="18">
        <f t="shared" si="13"/>
        <v>17</v>
      </c>
      <c r="C298" s="18" t="s">
        <v>249</v>
      </c>
      <c r="D298" s="18">
        <f t="shared" si="14"/>
        <v>74</v>
      </c>
    </row>
    <row r="299" spans="1:4" x14ac:dyDescent="0.25">
      <c r="A299" s="18">
        <f t="shared" si="12"/>
        <v>16</v>
      </c>
      <c r="B299" s="18">
        <f t="shared" si="13"/>
        <v>18</v>
      </c>
      <c r="C299" s="18" t="s">
        <v>250</v>
      </c>
      <c r="D299" s="18">
        <f t="shared" si="14"/>
        <v>80</v>
      </c>
    </row>
    <row r="300" spans="1:4" x14ac:dyDescent="0.25">
      <c r="A300" s="18">
        <f t="shared" si="12"/>
        <v>16</v>
      </c>
      <c r="B300" s="18">
        <f t="shared" si="13"/>
        <v>19</v>
      </c>
      <c r="C300" s="18" t="s">
        <v>251</v>
      </c>
      <c r="D300" s="18">
        <f t="shared" si="14"/>
        <v>30</v>
      </c>
    </row>
    <row r="301" spans="1:4" x14ac:dyDescent="0.25">
      <c r="A301" s="18">
        <f t="shared" si="12"/>
        <v>16</v>
      </c>
      <c r="B301" s="18">
        <f t="shared" si="13"/>
        <v>20</v>
      </c>
      <c r="C301" s="18"/>
      <c r="D301" s="18">
        <f t="shared" si="14"/>
        <v>0</v>
      </c>
    </row>
    <row r="302" spans="1:4" x14ac:dyDescent="0.25">
      <c r="A302" s="18">
        <f t="shared" si="12"/>
        <v>16</v>
      </c>
      <c r="B302" s="18">
        <f t="shared" si="13"/>
        <v>21</v>
      </c>
      <c r="C302" s="18" t="s">
        <v>173</v>
      </c>
      <c r="D302" s="18">
        <f t="shared" si="14"/>
        <v>34</v>
      </c>
    </row>
    <row r="303" spans="1:4" x14ac:dyDescent="0.25">
      <c r="A303" s="18">
        <f t="shared" si="12"/>
        <v>17</v>
      </c>
      <c r="B303" s="18">
        <f t="shared" si="13"/>
        <v>1</v>
      </c>
      <c r="C303" s="18"/>
      <c r="D303" s="18">
        <f t="shared" si="14"/>
        <v>0</v>
      </c>
    </row>
    <row r="304" spans="1:4" x14ac:dyDescent="0.25">
      <c r="A304" s="18">
        <f t="shared" si="12"/>
        <v>17</v>
      </c>
      <c r="B304" s="18">
        <f t="shared" si="13"/>
        <v>2</v>
      </c>
      <c r="C304" s="18" t="s">
        <v>252</v>
      </c>
      <c r="D304" s="18">
        <f t="shared" si="14"/>
        <v>80</v>
      </c>
    </row>
    <row r="305" spans="1:4" x14ac:dyDescent="0.25">
      <c r="A305" s="18">
        <f t="shared" si="12"/>
        <v>17</v>
      </c>
      <c r="B305" s="18">
        <f t="shared" si="13"/>
        <v>3</v>
      </c>
      <c r="C305" s="18" t="s">
        <v>253</v>
      </c>
      <c r="D305" s="18">
        <f t="shared" si="14"/>
        <v>48</v>
      </c>
    </row>
    <row r="306" spans="1:4" x14ac:dyDescent="0.25">
      <c r="A306" s="18">
        <f t="shared" si="12"/>
        <v>17</v>
      </c>
      <c r="B306" s="18">
        <f t="shared" si="13"/>
        <v>4</v>
      </c>
      <c r="C306" s="18" t="s">
        <v>254</v>
      </c>
      <c r="D306" s="18">
        <f t="shared" si="14"/>
        <v>78</v>
      </c>
    </row>
    <row r="307" spans="1:4" x14ac:dyDescent="0.25">
      <c r="A307" s="18">
        <f t="shared" si="12"/>
        <v>17</v>
      </c>
      <c r="B307" s="18">
        <f t="shared" si="13"/>
        <v>5</v>
      </c>
      <c r="C307" s="18" t="s">
        <v>255</v>
      </c>
      <c r="D307" s="18">
        <f t="shared" si="14"/>
        <v>73</v>
      </c>
    </row>
    <row r="308" spans="1:4" x14ac:dyDescent="0.25">
      <c r="A308" s="18">
        <f t="shared" si="12"/>
        <v>17</v>
      </c>
      <c r="B308" s="18">
        <f t="shared" si="13"/>
        <v>6</v>
      </c>
      <c r="C308" s="18" t="s">
        <v>256</v>
      </c>
      <c r="D308" s="18">
        <f t="shared" si="14"/>
        <v>80</v>
      </c>
    </row>
    <row r="309" spans="1:4" x14ac:dyDescent="0.25">
      <c r="A309" s="18">
        <f t="shared" si="12"/>
        <v>17</v>
      </c>
      <c r="B309" s="18">
        <f t="shared" si="13"/>
        <v>7</v>
      </c>
      <c r="C309" s="18" t="s">
        <v>257</v>
      </c>
      <c r="D309" s="18">
        <f t="shared" si="14"/>
        <v>6</v>
      </c>
    </row>
    <row r="310" spans="1:4" x14ac:dyDescent="0.25">
      <c r="A310" s="18">
        <f t="shared" si="12"/>
        <v>17</v>
      </c>
      <c r="B310" s="18">
        <f t="shared" si="13"/>
        <v>8</v>
      </c>
      <c r="C310" s="18"/>
      <c r="D310" s="18">
        <f t="shared" si="14"/>
        <v>0</v>
      </c>
    </row>
    <row r="311" spans="1:4" x14ac:dyDescent="0.25">
      <c r="A311" s="18">
        <f t="shared" si="12"/>
        <v>17</v>
      </c>
      <c r="B311" s="18">
        <f t="shared" si="13"/>
        <v>9</v>
      </c>
      <c r="C311" s="18" t="s">
        <v>258</v>
      </c>
      <c r="D311" s="18">
        <f t="shared" si="14"/>
        <v>28</v>
      </c>
    </row>
    <row r="312" spans="1:4" x14ac:dyDescent="0.25">
      <c r="A312" s="18">
        <f t="shared" si="12"/>
        <v>17</v>
      </c>
      <c r="B312" s="18">
        <f t="shared" si="13"/>
        <v>10</v>
      </c>
      <c r="C312" s="18" t="s">
        <v>259</v>
      </c>
      <c r="D312" s="18">
        <f t="shared" si="14"/>
        <v>32</v>
      </c>
    </row>
    <row r="313" spans="1:4" x14ac:dyDescent="0.25">
      <c r="A313" s="18">
        <f t="shared" si="12"/>
        <v>17</v>
      </c>
      <c r="B313" s="18">
        <f t="shared" si="13"/>
        <v>11</v>
      </c>
      <c r="C313" s="18"/>
      <c r="D313" s="18">
        <f t="shared" si="14"/>
        <v>0</v>
      </c>
    </row>
    <row r="314" spans="1:4" x14ac:dyDescent="0.25">
      <c r="A314" s="18">
        <f t="shared" si="12"/>
        <v>17</v>
      </c>
      <c r="B314" s="18">
        <f t="shared" si="13"/>
        <v>12</v>
      </c>
      <c r="C314" s="18" t="s">
        <v>252</v>
      </c>
      <c r="D314" s="18">
        <f t="shared" si="14"/>
        <v>80</v>
      </c>
    </row>
    <row r="315" spans="1:4" x14ac:dyDescent="0.25">
      <c r="A315" s="18">
        <f t="shared" si="12"/>
        <v>17</v>
      </c>
      <c r="B315" s="18">
        <f t="shared" si="13"/>
        <v>13</v>
      </c>
      <c r="C315" s="18" t="s">
        <v>253</v>
      </c>
      <c r="D315" s="18">
        <f t="shared" si="14"/>
        <v>48</v>
      </c>
    </row>
    <row r="316" spans="1:4" x14ac:dyDescent="0.25">
      <c r="A316" s="18">
        <f t="shared" si="12"/>
        <v>17</v>
      </c>
      <c r="B316" s="18">
        <f t="shared" si="13"/>
        <v>14</v>
      </c>
      <c r="C316" s="18" t="s">
        <v>260</v>
      </c>
      <c r="D316" s="18">
        <f t="shared" si="14"/>
        <v>73</v>
      </c>
    </row>
    <row r="317" spans="1:4" x14ac:dyDescent="0.25">
      <c r="A317" s="18">
        <f t="shared" si="12"/>
        <v>17</v>
      </c>
      <c r="B317" s="18">
        <f t="shared" si="13"/>
        <v>15</v>
      </c>
      <c r="C317" s="18" t="s">
        <v>255</v>
      </c>
      <c r="D317" s="18">
        <f t="shared" si="14"/>
        <v>73</v>
      </c>
    </row>
    <row r="318" spans="1:4" x14ac:dyDescent="0.25">
      <c r="A318" s="18">
        <f t="shared" si="12"/>
        <v>17</v>
      </c>
      <c r="B318" s="18">
        <f t="shared" si="13"/>
        <v>16</v>
      </c>
      <c r="C318" s="18" t="s">
        <v>261</v>
      </c>
      <c r="D318" s="18">
        <f t="shared" si="14"/>
        <v>73</v>
      </c>
    </row>
    <row r="319" spans="1:4" x14ac:dyDescent="0.25">
      <c r="A319" s="18">
        <f t="shared" si="12"/>
        <v>17</v>
      </c>
      <c r="B319" s="18">
        <f t="shared" si="13"/>
        <v>17</v>
      </c>
      <c r="C319" s="18"/>
      <c r="D319" s="18">
        <f t="shared" si="14"/>
        <v>0</v>
      </c>
    </row>
    <row r="320" spans="1:4" x14ac:dyDescent="0.25">
      <c r="A320" s="18">
        <f t="shared" si="12"/>
        <v>17</v>
      </c>
      <c r="B320" s="18">
        <f t="shared" si="13"/>
        <v>18</v>
      </c>
      <c r="C320" s="18" t="s">
        <v>252</v>
      </c>
      <c r="D320" s="18">
        <f t="shared" si="14"/>
        <v>80</v>
      </c>
    </row>
    <row r="321" spans="1:4" x14ac:dyDescent="0.25">
      <c r="A321" s="18">
        <f t="shared" si="12"/>
        <v>17</v>
      </c>
      <c r="B321" s="18">
        <f t="shared" si="13"/>
        <v>19</v>
      </c>
      <c r="C321" s="18" t="s">
        <v>253</v>
      </c>
      <c r="D321" s="18">
        <f t="shared" si="14"/>
        <v>48</v>
      </c>
    </row>
    <row r="322" spans="1:4" x14ac:dyDescent="0.25">
      <c r="A322" s="18">
        <f t="shared" si="12"/>
        <v>17</v>
      </c>
      <c r="B322" s="18">
        <f t="shared" si="13"/>
        <v>20</v>
      </c>
      <c r="C322" s="18" t="s">
        <v>262</v>
      </c>
      <c r="D322" s="18">
        <f t="shared" si="14"/>
        <v>74</v>
      </c>
    </row>
    <row r="323" spans="1:4" x14ac:dyDescent="0.25">
      <c r="A323" s="18">
        <f t="shared" ref="A323:A386" si="15">IF(ISNUMBER(A322),IF(B323&lt;B322,A322+1,A322),1)</f>
        <v>17</v>
      </c>
      <c r="B323" s="18">
        <f t="shared" ref="B323:B386" si="16">IF(ISNUMBER(B322),IF(C322="Press ENTER to resume the program.",1,B322+1),1)</f>
        <v>21</v>
      </c>
      <c r="C323" s="18" t="s">
        <v>255</v>
      </c>
      <c r="D323" s="18">
        <f t="shared" ref="D323:D386" si="17">LEN(C323)</f>
        <v>73</v>
      </c>
    </row>
    <row r="324" spans="1:4" x14ac:dyDescent="0.25">
      <c r="A324" s="18">
        <f t="shared" si="15"/>
        <v>17</v>
      </c>
      <c r="B324" s="18">
        <f t="shared" si="16"/>
        <v>22</v>
      </c>
      <c r="C324" s="18" t="s">
        <v>261</v>
      </c>
      <c r="D324" s="18">
        <f t="shared" si="17"/>
        <v>73</v>
      </c>
    </row>
    <row r="325" spans="1:4" x14ac:dyDescent="0.25">
      <c r="A325" s="18">
        <f t="shared" si="15"/>
        <v>17</v>
      </c>
      <c r="B325" s="18">
        <f t="shared" si="16"/>
        <v>23</v>
      </c>
      <c r="C325" s="18"/>
      <c r="D325" s="18">
        <f t="shared" si="17"/>
        <v>0</v>
      </c>
    </row>
    <row r="326" spans="1:4" x14ac:dyDescent="0.25">
      <c r="A326" s="18">
        <f t="shared" si="15"/>
        <v>17</v>
      </c>
      <c r="B326" s="18">
        <f t="shared" si="16"/>
        <v>24</v>
      </c>
      <c r="C326" s="18" t="s">
        <v>173</v>
      </c>
      <c r="D326" s="18">
        <f t="shared" si="17"/>
        <v>34</v>
      </c>
    </row>
    <row r="327" spans="1:4" x14ac:dyDescent="0.25">
      <c r="A327" s="18">
        <f t="shared" si="15"/>
        <v>18</v>
      </c>
      <c r="B327" s="18">
        <f t="shared" si="16"/>
        <v>1</v>
      </c>
      <c r="C327" s="18"/>
      <c r="D327" s="18">
        <f t="shared" si="17"/>
        <v>0</v>
      </c>
    </row>
    <row r="328" spans="1:4" x14ac:dyDescent="0.25">
      <c r="A328" s="18">
        <f t="shared" si="15"/>
        <v>18</v>
      </c>
      <c r="B328" s="18">
        <f t="shared" si="16"/>
        <v>2</v>
      </c>
      <c r="C328" s="18" t="s">
        <v>252</v>
      </c>
      <c r="D328" s="18">
        <f t="shared" si="17"/>
        <v>80</v>
      </c>
    </row>
    <row r="329" spans="1:4" x14ac:dyDescent="0.25">
      <c r="A329" s="18">
        <f t="shared" si="15"/>
        <v>18</v>
      </c>
      <c r="B329" s="18">
        <f t="shared" si="16"/>
        <v>3</v>
      </c>
      <c r="C329" s="18" t="s">
        <v>253</v>
      </c>
      <c r="D329" s="18">
        <f t="shared" si="17"/>
        <v>48</v>
      </c>
    </row>
    <row r="330" spans="1:4" x14ac:dyDescent="0.25">
      <c r="A330" s="18">
        <f t="shared" si="15"/>
        <v>18</v>
      </c>
      <c r="B330" s="18">
        <f t="shared" si="16"/>
        <v>4</v>
      </c>
      <c r="C330" s="18" t="s">
        <v>254</v>
      </c>
      <c r="D330" s="18">
        <f t="shared" si="17"/>
        <v>78</v>
      </c>
    </row>
    <row r="331" spans="1:4" x14ac:dyDescent="0.25">
      <c r="A331" s="18">
        <f t="shared" si="15"/>
        <v>18</v>
      </c>
      <c r="B331" s="18">
        <f t="shared" si="16"/>
        <v>5</v>
      </c>
      <c r="C331" s="18" t="s">
        <v>255</v>
      </c>
      <c r="D331" s="18">
        <f t="shared" si="17"/>
        <v>73</v>
      </c>
    </row>
    <row r="332" spans="1:4" x14ac:dyDescent="0.25">
      <c r="A332" s="18">
        <f t="shared" si="15"/>
        <v>18</v>
      </c>
      <c r="B332" s="18">
        <f t="shared" si="16"/>
        <v>6</v>
      </c>
      <c r="C332" s="18" t="s">
        <v>256</v>
      </c>
      <c r="D332" s="18">
        <f t="shared" si="17"/>
        <v>80</v>
      </c>
    </row>
    <row r="333" spans="1:4" x14ac:dyDescent="0.25">
      <c r="A333" s="18">
        <f t="shared" si="15"/>
        <v>18</v>
      </c>
      <c r="B333" s="18">
        <f t="shared" si="16"/>
        <v>7</v>
      </c>
      <c r="C333" s="18" t="s">
        <v>257</v>
      </c>
      <c r="D333" s="18">
        <f t="shared" si="17"/>
        <v>6</v>
      </c>
    </row>
    <row r="334" spans="1:4" x14ac:dyDescent="0.25">
      <c r="A334" s="18">
        <f t="shared" si="15"/>
        <v>18</v>
      </c>
      <c r="B334" s="18">
        <f t="shared" si="16"/>
        <v>8</v>
      </c>
      <c r="C334" s="18"/>
      <c r="D334" s="18">
        <f t="shared" si="17"/>
        <v>0</v>
      </c>
    </row>
    <row r="335" spans="1:4" x14ac:dyDescent="0.25">
      <c r="A335" s="18">
        <f t="shared" si="15"/>
        <v>18</v>
      </c>
      <c r="B335" s="18">
        <f t="shared" si="16"/>
        <v>9</v>
      </c>
      <c r="C335" s="18" t="s">
        <v>258</v>
      </c>
      <c r="D335" s="18">
        <f t="shared" si="17"/>
        <v>28</v>
      </c>
    </row>
    <row r="336" spans="1:4" x14ac:dyDescent="0.25">
      <c r="A336" s="18">
        <f t="shared" si="15"/>
        <v>18</v>
      </c>
      <c r="B336" s="18">
        <f t="shared" si="16"/>
        <v>10</v>
      </c>
      <c r="C336" s="18" t="s">
        <v>259</v>
      </c>
      <c r="D336" s="18">
        <f t="shared" si="17"/>
        <v>32</v>
      </c>
    </row>
    <row r="337" spans="1:4" x14ac:dyDescent="0.25">
      <c r="A337" s="18">
        <f t="shared" si="15"/>
        <v>18</v>
      </c>
      <c r="B337" s="18">
        <f t="shared" si="16"/>
        <v>11</v>
      </c>
      <c r="C337" s="18"/>
      <c r="D337" s="18">
        <f t="shared" si="17"/>
        <v>0</v>
      </c>
    </row>
    <row r="338" spans="1:4" x14ac:dyDescent="0.25">
      <c r="A338" s="18">
        <f t="shared" si="15"/>
        <v>18</v>
      </c>
      <c r="B338" s="18">
        <f t="shared" si="16"/>
        <v>12</v>
      </c>
      <c r="C338" s="18" t="s">
        <v>252</v>
      </c>
      <c r="D338" s="18">
        <f t="shared" si="17"/>
        <v>80</v>
      </c>
    </row>
    <row r="339" spans="1:4" x14ac:dyDescent="0.25">
      <c r="A339" s="18">
        <f t="shared" si="15"/>
        <v>18</v>
      </c>
      <c r="B339" s="18">
        <f t="shared" si="16"/>
        <v>13</v>
      </c>
      <c r="C339" s="18" t="s">
        <v>253</v>
      </c>
      <c r="D339" s="18">
        <f t="shared" si="17"/>
        <v>48</v>
      </c>
    </row>
    <row r="340" spans="1:4" x14ac:dyDescent="0.25">
      <c r="A340" s="18">
        <f t="shared" si="15"/>
        <v>18</v>
      </c>
      <c r="B340" s="18">
        <f t="shared" si="16"/>
        <v>14</v>
      </c>
      <c r="C340" s="18" t="s">
        <v>260</v>
      </c>
      <c r="D340" s="18">
        <f t="shared" si="17"/>
        <v>73</v>
      </c>
    </row>
    <row r="341" spans="1:4" x14ac:dyDescent="0.25">
      <c r="A341" s="18">
        <f t="shared" si="15"/>
        <v>18</v>
      </c>
      <c r="B341" s="18">
        <f t="shared" si="16"/>
        <v>15</v>
      </c>
      <c r="C341" s="18" t="s">
        <v>255</v>
      </c>
      <c r="D341" s="18">
        <f t="shared" si="17"/>
        <v>73</v>
      </c>
    </row>
    <row r="342" spans="1:4" x14ac:dyDescent="0.25">
      <c r="A342" s="18">
        <f t="shared" si="15"/>
        <v>18</v>
      </c>
      <c r="B342" s="18">
        <f t="shared" si="16"/>
        <v>16</v>
      </c>
      <c r="C342" s="18" t="s">
        <v>261</v>
      </c>
      <c r="D342" s="18">
        <f t="shared" si="17"/>
        <v>73</v>
      </c>
    </row>
    <row r="343" spans="1:4" x14ac:dyDescent="0.25">
      <c r="A343" s="18">
        <f t="shared" si="15"/>
        <v>18</v>
      </c>
      <c r="B343" s="18">
        <f t="shared" si="16"/>
        <v>17</v>
      </c>
      <c r="C343" s="18"/>
      <c r="D343" s="18">
        <f t="shared" si="17"/>
        <v>0</v>
      </c>
    </row>
    <row r="344" spans="1:4" x14ac:dyDescent="0.25">
      <c r="A344" s="18">
        <f t="shared" si="15"/>
        <v>18</v>
      </c>
      <c r="B344" s="18">
        <f t="shared" si="16"/>
        <v>18</v>
      </c>
      <c r="C344" s="18" t="s">
        <v>252</v>
      </c>
      <c r="D344" s="18">
        <f t="shared" si="17"/>
        <v>80</v>
      </c>
    </row>
    <row r="345" spans="1:4" x14ac:dyDescent="0.25">
      <c r="A345" s="18">
        <f t="shared" si="15"/>
        <v>18</v>
      </c>
      <c r="B345" s="18">
        <f t="shared" si="16"/>
        <v>19</v>
      </c>
      <c r="C345" s="18" t="s">
        <v>253</v>
      </c>
      <c r="D345" s="18">
        <f t="shared" si="17"/>
        <v>48</v>
      </c>
    </row>
    <row r="346" spans="1:4" x14ac:dyDescent="0.25">
      <c r="A346" s="18">
        <f t="shared" si="15"/>
        <v>18</v>
      </c>
      <c r="B346" s="18">
        <f t="shared" si="16"/>
        <v>20</v>
      </c>
      <c r="C346" s="18" t="s">
        <v>262</v>
      </c>
      <c r="D346" s="18">
        <f t="shared" si="17"/>
        <v>74</v>
      </c>
    </row>
    <row r="347" spans="1:4" x14ac:dyDescent="0.25">
      <c r="A347" s="18">
        <f t="shared" si="15"/>
        <v>18</v>
      </c>
      <c r="B347" s="18">
        <f t="shared" si="16"/>
        <v>21</v>
      </c>
      <c r="C347" s="18" t="s">
        <v>255</v>
      </c>
      <c r="D347" s="18">
        <f t="shared" si="17"/>
        <v>73</v>
      </c>
    </row>
    <row r="348" spans="1:4" x14ac:dyDescent="0.25">
      <c r="A348" s="18">
        <f t="shared" si="15"/>
        <v>18</v>
      </c>
      <c r="B348" s="18">
        <f t="shared" si="16"/>
        <v>22</v>
      </c>
      <c r="C348" s="18" t="s">
        <v>261</v>
      </c>
      <c r="D348" s="18">
        <f t="shared" si="17"/>
        <v>73</v>
      </c>
    </row>
    <row r="349" spans="1:4" x14ac:dyDescent="0.25">
      <c r="A349" s="18">
        <f t="shared" si="15"/>
        <v>18</v>
      </c>
      <c r="B349" s="18">
        <f t="shared" si="16"/>
        <v>23</v>
      </c>
      <c r="C349" s="18"/>
      <c r="D349" s="18">
        <f t="shared" si="17"/>
        <v>0</v>
      </c>
    </row>
    <row r="350" spans="1:4" x14ac:dyDescent="0.25">
      <c r="A350" s="18">
        <f t="shared" si="15"/>
        <v>18</v>
      </c>
      <c r="B350" s="18">
        <f t="shared" si="16"/>
        <v>24</v>
      </c>
      <c r="C350" s="18" t="s">
        <v>173</v>
      </c>
      <c r="D350" s="18">
        <f t="shared" si="17"/>
        <v>34</v>
      </c>
    </row>
    <row r="351" spans="1:4" x14ac:dyDescent="0.25">
      <c r="A351" s="18">
        <f t="shared" si="15"/>
        <v>19</v>
      </c>
      <c r="B351" s="18">
        <f t="shared" si="16"/>
        <v>1</v>
      </c>
      <c r="C351" s="18" t="s">
        <v>252</v>
      </c>
      <c r="D351" s="18">
        <f t="shared" si="17"/>
        <v>80</v>
      </c>
    </row>
    <row r="352" spans="1:4" x14ac:dyDescent="0.25">
      <c r="A352" s="18">
        <f t="shared" si="15"/>
        <v>19</v>
      </c>
      <c r="B352" s="18">
        <f t="shared" si="16"/>
        <v>2</v>
      </c>
      <c r="C352" s="18" t="s">
        <v>263</v>
      </c>
      <c r="D352" s="18">
        <f t="shared" si="17"/>
        <v>57</v>
      </c>
    </row>
    <row r="353" spans="1:4" x14ac:dyDescent="0.25">
      <c r="A353" s="18">
        <f t="shared" si="15"/>
        <v>19</v>
      </c>
      <c r="B353" s="18">
        <f t="shared" si="16"/>
        <v>3</v>
      </c>
      <c r="C353" s="18" t="s">
        <v>264</v>
      </c>
      <c r="D353" s="18">
        <f t="shared" si="17"/>
        <v>78</v>
      </c>
    </row>
    <row r="354" spans="1:4" x14ac:dyDescent="0.25">
      <c r="A354" s="18">
        <f t="shared" si="15"/>
        <v>19</v>
      </c>
      <c r="B354" s="18">
        <f t="shared" si="16"/>
        <v>4</v>
      </c>
      <c r="C354" s="18" t="s">
        <v>265</v>
      </c>
      <c r="D354" s="18">
        <f t="shared" si="17"/>
        <v>70</v>
      </c>
    </row>
    <row r="355" spans="1:4" x14ac:dyDescent="0.25">
      <c r="A355" s="18">
        <f t="shared" si="15"/>
        <v>19</v>
      </c>
      <c r="B355" s="18">
        <f t="shared" si="16"/>
        <v>5</v>
      </c>
      <c r="C355" s="18" t="s">
        <v>266</v>
      </c>
      <c r="D355" s="18">
        <f t="shared" si="17"/>
        <v>79</v>
      </c>
    </row>
    <row r="356" spans="1:4" x14ac:dyDescent="0.25">
      <c r="A356" s="18">
        <f t="shared" si="15"/>
        <v>19</v>
      </c>
      <c r="B356" s="18">
        <f t="shared" si="16"/>
        <v>6</v>
      </c>
      <c r="C356" s="18"/>
      <c r="D356" s="18">
        <f t="shared" si="17"/>
        <v>0</v>
      </c>
    </row>
    <row r="357" spans="1:4" x14ac:dyDescent="0.25">
      <c r="A357" s="18">
        <f t="shared" si="15"/>
        <v>19</v>
      </c>
      <c r="B357" s="18">
        <f t="shared" si="16"/>
        <v>7</v>
      </c>
      <c r="C357" s="18" t="s">
        <v>252</v>
      </c>
      <c r="D357" s="18">
        <f t="shared" si="17"/>
        <v>80</v>
      </c>
    </row>
    <row r="358" spans="1:4" x14ac:dyDescent="0.25">
      <c r="A358" s="18">
        <f t="shared" si="15"/>
        <v>19</v>
      </c>
      <c r="B358" s="18">
        <f t="shared" si="16"/>
        <v>8</v>
      </c>
      <c r="C358" s="18" t="s">
        <v>267</v>
      </c>
      <c r="D358" s="18">
        <f t="shared" si="17"/>
        <v>77</v>
      </c>
    </row>
    <row r="359" spans="1:4" x14ac:dyDescent="0.25">
      <c r="A359" s="18">
        <f t="shared" si="15"/>
        <v>19</v>
      </c>
      <c r="B359" s="18">
        <f t="shared" si="16"/>
        <v>9</v>
      </c>
      <c r="C359" s="18" t="s">
        <v>268</v>
      </c>
      <c r="D359" s="18">
        <f t="shared" si="17"/>
        <v>64</v>
      </c>
    </row>
    <row r="360" spans="1:4" x14ac:dyDescent="0.25">
      <c r="A360" s="18">
        <f t="shared" si="15"/>
        <v>19</v>
      </c>
      <c r="B360" s="18">
        <f t="shared" si="16"/>
        <v>10</v>
      </c>
      <c r="C360" s="18" t="s">
        <v>269</v>
      </c>
      <c r="D360" s="18">
        <f t="shared" si="17"/>
        <v>71</v>
      </c>
    </row>
    <row r="361" spans="1:4" x14ac:dyDescent="0.25">
      <c r="A361" s="18">
        <f t="shared" si="15"/>
        <v>19</v>
      </c>
      <c r="B361" s="18">
        <f t="shared" si="16"/>
        <v>11</v>
      </c>
      <c r="C361" s="18" t="s">
        <v>270</v>
      </c>
      <c r="D361" s="18">
        <f t="shared" si="17"/>
        <v>80</v>
      </c>
    </row>
    <row r="362" spans="1:4" x14ac:dyDescent="0.25">
      <c r="A362" s="18">
        <f t="shared" si="15"/>
        <v>19</v>
      </c>
      <c r="B362" s="18">
        <f t="shared" si="16"/>
        <v>12</v>
      </c>
      <c r="C362" s="18" t="s">
        <v>271</v>
      </c>
      <c r="D362" s="18">
        <f t="shared" si="17"/>
        <v>79</v>
      </c>
    </row>
    <row r="363" spans="1:4" x14ac:dyDescent="0.25">
      <c r="A363" s="18">
        <f t="shared" si="15"/>
        <v>19</v>
      </c>
      <c r="B363" s="18">
        <f t="shared" si="16"/>
        <v>13</v>
      </c>
      <c r="C363" s="18"/>
      <c r="D363" s="18">
        <f t="shared" si="17"/>
        <v>0</v>
      </c>
    </row>
    <row r="364" spans="1:4" x14ac:dyDescent="0.25">
      <c r="A364" s="18">
        <f t="shared" si="15"/>
        <v>19</v>
      </c>
      <c r="B364" s="18">
        <f t="shared" si="16"/>
        <v>14</v>
      </c>
      <c r="C364" s="18" t="s">
        <v>272</v>
      </c>
      <c r="D364" s="18">
        <f t="shared" si="17"/>
        <v>25</v>
      </c>
    </row>
    <row r="365" spans="1:4" x14ac:dyDescent="0.25">
      <c r="A365" s="18">
        <f t="shared" si="15"/>
        <v>19</v>
      </c>
      <c r="B365" s="18">
        <f t="shared" si="16"/>
        <v>15</v>
      </c>
      <c r="C365" s="18"/>
      <c r="D365" s="18">
        <f t="shared" si="17"/>
        <v>0</v>
      </c>
    </row>
    <row r="366" spans="1:4" x14ac:dyDescent="0.25">
      <c r="A366" s="18">
        <f t="shared" si="15"/>
        <v>19</v>
      </c>
      <c r="B366" s="18">
        <f t="shared" si="16"/>
        <v>16</v>
      </c>
      <c r="C366" s="18" t="s">
        <v>273</v>
      </c>
      <c r="D366" s="18">
        <f t="shared" si="17"/>
        <v>45</v>
      </c>
    </row>
    <row r="367" spans="1:4" x14ac:dyDescent="0.25">
      <c r="A367" s="18">
        <f t="shared" si="15"/>
        <v>19</v>
      </c>
      <c r="B367" s="18">
        <f t="shared" si="16"/>
        <v>17</v>
      </c>
      <c r="C367" s="18" t="s">
        <v>274</v>
      </c>
      <c r="D367" s="18">
        <f t="shared" si="17"/>
        <v>45</v>
      </c>
    </row>
    <row r="368" spans="1:4" x14ac:dyDescent="0.25">
      <c r="A368" s="18">
        <f t="shared" si="15"/>
        <v>19</v>
      </c>
      <c r="B368" s="18">
        <f t="shared" si="16"/>
        <v>18</v>
      </c>
      <c r="C368" s="18"/>
      <c r="D368" s="18">
        <f t="shared" si="17"/>
        <v>0</v>
      </c>
    </row>
    <row r="369" spans="1:4" x14ac:dyDescent="0.25">
      <c r="A369" s="18">
        <f t="shared" si="15"/>
        <v>19</v>
      </c>
      <c r="B369" s="18">
        <f t="shared" si="16"/>
        <v>19</v>
      </c>
      <c r="C369" s="18" t="s">
        <v>275</v>
      </c>
      <c r="D369" s="18">
        <f t="shared" si="17"/>
        <v>24</v>
      </c>
    </row>
    <row r="370" spans="1:4" x14ac:dyDescent="0.25">
      <c r="A370" s="18">
        <f t="shared" si="15"/>
        <v>19</v>
      </c>
      <c r="B370" s="18">
        <f t="shared" si="16"/>
        <v>20</v>
      </c>
      <c r="C370" s="18"/>
      <c r="D370" s="18">
        <f t="shared" si="17"/>
        <v>0</v>
      </c>
    </row>
    <row r="371" spans="1:4" x14ac:dyDescent="0.25">
      <c r="A371" s="18">
        <f t="shared" si="15"/>
        <v>19</v>
      </c>
      <c r="B371" s="18">
        <f t="shared" si="16"/>
        <v>21</v>
      </c>
      <c r="C371" s="18" t="s">
        <v>173</v>
      </c>
      <c r="D371" s="18">
        <f t="shared" si="17"/>
        <v>34</v>
      </c>
    </row>
    <row r="372" spans="1:4" x14ac:dyDescent="0.25">
      <c r="A372" s="18">
        <f t="shared" si="15"/>
        <v>20</v>
      </c>
      <c r="B372" s="18">
        <f t="shared" si="16"/>
        <v>1</v>
      </c>
      <c r="C372" s="18" t="s">
        <v>276</v>
      </c>
      <c r="D372" s="18">
        <f t="shared" si="17"/>
        <v>55</v>
      </c>
    </row>
    <row r="373" spans="1:4" x14ac:dyDescent="0.25">
      <c r="A373" s="18">
        <f t="shared" si="15"/>
        <v>20</v>
      </c>
      <c r="B373" s="18">
        <f t="shared" si="16"/>
        <v>2</v>
      </c>
      <c r="C373" s="18"/>
      <c r="D373" s="18">
        <f t="shared" si="17"/>
        <v>0</v>
      </c>
    </row>
    <row r="374" spans="1:4" x14ac:dyDescent="0.25">
      <c r="A374" s="18">
        <f t="shared" si="15"/>
        <v>20</v>
      </c>
      <c r="B374" s="18">
        <f t="shared" si="16"/>
        <v>3</v>
      </c>
      <c r="C374" s="18" t="s">
        <v>277</v>
      </c>
      <c r="D374" s="18">
        <f t="shared" si="17"/>
        <v>28</v>
      </c>
    </row>
    <row r="375" spans="1:4" x14ac:dyDescent="0.25">
      <c r="A375" s="18">
        <f t="shared" si="15"/>
        <v>20</v>
      </c>
      <c r="B375" s="18">
        <f t="shared" si="16"/>
        <v>4</v>
      </c>
      <c r="C375" s="18" t="s">
        <v>278</v>
      </c>
      <c r="D375" s="18">
        <f t="shared" si="17"/>
        <v>29</v>
      </c>
    </row>
    <row r="376" spans="1:4" x14ac:dyDescent="0.25">
      <c r="A376" s="18">
        <f t="shared" si="15"/>
        <v>20</v>
      </c>
      <c r="B376" s="18">
        <f t="shared" si="16"/>
        <v>5</v>
      </c>
      <c r="C376" s="18"/>
      <c r="D376" s="18">
        <f t="shared" si="17"/>
        <v>0</v>
      </c>
    </row>
    <row r="377" spans="1:4" x14ac:dyDescent="0.25">
      <c r="A377" s="18">
        <f t="shared" si="15"/>
        <v>20</v>
      </c>
      <c r="B377" s="18">
        <f t="shared" si="16"/>
        <v>6</v>
      </c>
      <c r="C377" s="18" t="s">
        <v>279</v>
      </c>
      <c r="D377" s="18">
        <f t="shared" si="17"/>
        <v>36</v>
      </c>
    </row>
    <row r="378" spans="1:4" x14ac:dyDescent="0.25">
      <c r="A378" s="18">
        <f t="shared" si="15"/>
        <v>20</v>
      </c>
      <c r="B378" s="18">
        <f t="shared" si="16"/>
        <v>7</v>
      </c>
      <c r="C378" s="18" t="s">
        <v>280</v>
      </c>
      <c r="D378" s="18">
        <f t="shared" si="17"/>
        <v>37</v>
      </c>
    </row>
    <row r="379" spans="1:4" x14ac:dyDescent="0.25">
      <c r="A379" s="18">
        <f t="shared" si="15"/>
        <v>20</v>
      </c>
      <c r="B379" s="18">
        <f t="shared" si="16"/>
        <v>8</v>
      </c>
      <c r="C379" s="18" t="s">
        <v>281</v>
      </c>
      <c r="D379" s="18">
        <f t="shared" si="17"/>
        <v>37</v>
      </c>
    </row>
    <row r="380" spans="1:4" x14ac:dyDescent="0.25">
      <c r="A380" s="18">
        <f t="shared" si="15"/>
        <v>20</v>
      </c>
      <c r="B380" s="18">
        <f t="shared" si="16"/>
        <v>9</v>
      </c>
      <c r="C380" s="18" t="s">
        <v>282</v>
      </c>
      <c r="D380" s="18">
        <f t="shared" si="17"/>
        <v>37</v>
      </c>
    </row>
    <row r="381" spans="1:4" x14ac:dyDescent="0.25">
      <c r="A381" s="18">
        <f t="shared" si="15"/>
        <v>20</v>
      </c>
      <c r="B381" s="18">
        <f t="shared" si="16"/>
        <v>10</v>
      </c>
      <c r="C381" s="18" t="s">
        <v>283</v>
      </c>
      <c r="D381" s="18">
        <f t="shared" si="17"/>
        <v>37</v>
      </c>
    </row>
    <row r="382" spans="1:4" x14ac:dyDescent="0.25">
      <c r="A382" s="18">
        <f t="shared" si="15"/>
        <v>20</v>
      </c>
      <c r="B382" s="18">
        <f t="shared" si="16"/>
        <v>11</v>
      </c>
      <c r="C382" s="18" t="s">
        <v>284</v>
      </c>
      <c r="D382" s="18">
        <f t="shared" si="17"/>
        <v>37</v>
      </c>
    </row>
    <row r="383" spans="1:4" x14ac:dyDescent="0.25">
      <c r="A383" s="18">
        <f t="shared" si="15"/>
        <v>20</v>
      </c>
      <c r="B383" s="18">
        <f t="shared" si="16"/>
        <v>12</v>
      </c>
      <c r="C383" s="18" t="s">
        <v>285</v>
      </c>
      <c r="D383" s="18">
        <f t="shared" si="17"/>
        <v>37</v>
      </c>
    </row>
    <row r="384" spans="1:4" x14ac:dyDescent="0.25">
      <c r="A384" s="18">
        <f t="shared" si="15"/>
        <v>20</v>
      </c>
      <c r="B384" s="18">
        <f t="shared" si="16"/>
        <v>13</v>
      </c>
      <c r="C384" s="18" t="s">
        <v>286</v>
      </c>
      <c r="D384" s="18">
        <f t="shared" si="17"/>
        <v>37</v>
      </c>
    </row>
    <row r="385" spans="1:4" x14ac:dyDescent="0.25">
      <c r="A385" s="18">
        <f t="shared" si="15"/>
        <v>20</v>
      </c>
      <c r="B385" s="18">
        <f t="shared" si="16"/>
        <v>14</v>
      </c>
      <c r="C385" s="18" t="s">
        <v>287</v>
      </c>
      <c r="D385" s="18">
        <f t="shared" si="17"/>
        <v>37</v>
      </c>
    </row>
    <row r="386" spans="1:4" x14ac:dyDescent="0.25">
      <c r="A386" s="18">
        <f t="shared" si="15"/>
        <v>20</v>
      </c>
      <c r="B386" s="18">
        <f t="shared" si="16"/>
        <v>15</v>
      </c>
      <c r="C386" s="18" t="s">
        <v>288</v>
      </c>
      <c r="D386" s="18">
        <f t="shared" si="17"/>
        <v>37</v>
      </c>
    </row>
    <row r="387" spans="1:4" x14ac:dyDescent="0.25">
      <c r="A387" s="18">
        <f t="shared" ref="A387:A450" si="18">IF(ISNUMBER(A386),IF(B387&lt;B386,A386+1,A386),1)</f>
        <v>20</v>
      </c>
      <c r="B387" s="18">
        <f t="shared" ref="B387:B450" si="19">IF(ISNUMBER(B386),IF(C386="Press ENTER to resume the program.",1,B386+1),1)</f>
        <v>16</v>
      </c>
      <c r="C387" s="18" t="s">
        <v>289</v>
      </c>
      <c r="D387" s="18">
        <f t="shared" ref="D387:D450" si="20">LEN(C387)</f>
        <v>37</v>
      </c>
    </row>
    <row r="388" spans="1:4" x14ac:dyDescent="0.25">
      <c r="A388" s="18">
        <f t="shared" si="18"/>
        <v>20</v>
      </c>
      <c r="B388" s="18">
        <f t="shared" si="19"/>
        <v>17</v>
      </c>
      <c r="C388" s="18" t="s">
        <v>290</v>
      </c>
      <c r="D388" s="18">
        <f t="shared" si="20"/>
        <v>36</v>
      </c>
    </row>
    <row r="389" spans="1:4" x14ac:dyDescent="0.25">
      <c r="A389" s="18">
        <f t="shared" si="18"/>
        <v>20</v>
      </c>
      <c r="B389" s="18">
        <f t="shared" si="19"/>
        <v>18</v>
      </c>
      <c r="C389" s="18" t="s">
        <v>173</v>
      </c>
      <c r="D389" s="18">
        <f t="shared" si="20"/>
        <v>34</v>
      </c>
    </row>
    <row r="390" spans="1:4" x14ac:dyDescent="0.25">
      <c r="A390" s="18">
        <f t="shared" si="18"/>
        <v>21</v>
      </c>
      <c r="B390" s="18">
        <f t="shared" si="19"/>
        <v>1</v>
      </c>
      <c r="C390" s="18"/>
      <c r="D390" s="18">
        <f t="shared" si="20"/>
        <v>0</v>
      </c>
    </row>
    <row r="391" spans="1:4" x14ac:dyDescent="0.25">
      <c r="A391" s="18">
        <f t="shared" si="18"/>
        <v>21</v>
      </c>
      <c r="B391" s="18">
        <f t="shared" si="19"/>
        <v>2</v>
      </c>
      <c r="C391" s="18" t="s">
        <v>276</v>
      </c>
      <c r="D391" s="18">
        <f t="shared" si="20"/>
        <v>55</v>
      </c>
    </row>
    <row r="392" spans="1:4" x14ac:dyDescent="0.25">
      <c r="A392" s="18">
        <f t="shared" si="18"/>
        <v>21</v>
      </c>
      <c r="B392" s="18">
        <f t="shared" si="19"/>
        <v>3</v>
      </c>
      <c r="C392" s="18"/>
      <c r="D392" s="18">
        <f t="shared" si="20"/>
        <v>0</v>
      </c>
    </row>
    <row r="393" spans="1:4" x14ac:dyDescent="0.25">
      <c r="A393" s="18">
        <f t="shared" si="18"/>
        <v>21</v>
      </c>
      <c r="B393" s="18">
        <f t="shared" si="19"/>
        <v>4</v>
      </c>
      <c r="C393" s="18" t="s">
        <v>291</v>
      </c>
      <c r="D393" s="18">
        <f t="shared" si="20"/>
        <v>28</v>
      </c>
    </row>
    <row r="394" spans="1:4" x14ac:dyDescent="0.25">
      <c r="A394" s="18">
        <f t="shared" si="18"/>
        <v>21</v>
      </c>
      <c r="B394" s="18">
        <f t="shared" si="19"/>
        <v>5</v>
      </c>
      <c r="C394" s="18" t="s">
        <v>292</v>
      </c>
      <c r="D394" s="18">
        <f t="shared" si="20"/>
        <v>29</v>
      </c>
    </row>
    <row r="395" spans="1:4" x14ac:dyDescent="0.25">
      <c r="A395" s="18">
        <f t="shared" si="18"/>
        <v>21</v>
      </c>
      <c r="B395" s="18">
        <f t="shared" si="19"/>
        <v>6</v>
      </c>
      <c r="C395" s="18"/>
      <c r="D395" s="18">
        <f t="shared" si="20"/>
        <v>0</v>
      </c>
    </row>
    <row r="396" spans="1:4" x14ac:dyDescent="0.25">
      <c r="A396" s="18">
        <f t="shared" si="18"/>
        <v>21</v>
      </c>
      <c r="B396" s="18">
        <f t="shared" si="19"/>
        <v>7</v>
      </c>
      <c r="C396" s="18" t="s">
        <v>279</v>
      </c>
      <c r="D396" s="18">
        <f t="shared" si="20"/>
        <v>36</v>
      </c>
    </row>
    <row r="397" spans="1:4" x14ac:dyDescent="0.25">
      <c r="A397" s="18">
        <f t="shared" si="18"/>
        <v>21</v>
      </c>
      <c r="B397" s="18">
        <f t="shared" si="19"/>
        <v>8</v>
      </c>
      <c r="C397" s="18" t="s">
        <v>280</v>
      </c>
      <c r="D397" s="18">
        <f t="shared" si="20"/>
        <v>37</v>
      </c>
    </row>
    <row r="398" spans="1:4" x14ac:dyDescent="0.25">
      <c r="A398" s="18">
        <f t="shared" si="18"/>
        <v>21</v>
      </c>
      <c r="B398" s="18">
        <f t="shared" si="19"/>
        <v>9</v>
      </c>
      <c r="C398" s="18" t="s">
        <v>293</v>
      </c>
      <c r="D398" s="18">
        <f t="shared" si="20"/>
        <v>37</v>
      </c>
    </row>
    <row r="399" spans="1:4" x14ac:dyDescent="0.25">
      <c r="A399" s="18">
        <f t="shared" si="18"/>
        <v>21</v>
      </c>
      <c r="B399" s="18">
        <f t="shared" si="19"/>
        <v>10</v>
      </c>
      <c r="C399" s="18" t="s">
        <v>294</v>
      </c>
      <c r="D399" s="18">
        <f t="shared" si="20"/>
        <v>37</v>
      </c>
    </row>
    <row r="400" spans="1:4" x14ac:dyDescent="0.25">
      <c r="A400" s="18">
        <f t="shared" si="18"/>
        <v>21</v>
      </c>
      <c r="B400" s="18">
        <f t="shared" si="19"/>
        <v>11</v>
      </c>
      <c r="C400" s="18" t="s">
        <v>282</v>
      </c>
      <c r="D400" s="18">
        <f t="shared" si="20"/>
        <v>37</v>
      </c>
    </row>
    <row r="401" spans="1:4" x14ac:dyDescent="0.25">
      <c r="A401" s="18">
        <f t="shared" si="18"/>
        <v>21</v>
      </c>
      <c r="B401" s="18">
        <f t="shared" si="19"/>
        <v>12</v>
      </c>
      <c r="C401" s="18" t="s">
        <v>283</v>
      </c>
      <c r="D401" s="18">
        <f t="shared" si="20"/>
        <v>37</v>
      </c>
    </row>
    <row r="402" spans="1:4" x14ac:dyDescent="0.25">
      <c r="A402" s="18">
        <f t="shared" si="18"/>
        <v>21</v>
      </c>
      <c r="B402" s="18">
        <f t="shared" si="19"/>
        <v>13</v>
      </c>
      <c r="C402" s="18" t="s">
        <v>284</v>
      </c>
      <c r="D402" s="18">
        <f t="shared" si="20"/>
        <v>37</v>
      </c>
    </row>
    <row r="403" spans="1:4" x14ac:dyDescent="0.25">
      <c r="A403" s="18">
        <f t="shared" si="18"/>
        <v>21</v>
      </c>
      <c r="B403" s="18">
        <f t="shared" si="19"/>
        <v>14</v>
      </c>
      <c r="C403" s="18" t="s">
        <v>285</v>
      </c>
      <c r="D403" s="18">
        <f t="shared" si="20"/>
        <v>37</v>
      </c>
    </row>
    <row r="404" spans="1:4" x14ac:dyDescent="0.25">
      <c r="A404" s="18">
        <f t="shared" si="18"/>
        <v>21</v>
      </c>
      <c r="B404" s="18">
        <f t="shared" si="19"/>
        <v>15</v>
      </c>
      <c r="C404" s="18" t="s">
        <v>286</v>
      </c>
      <c r="D404" s="18">
        <f t="shared" si="20"/>
        <v>37</v>
      </c>
    </row>
    <row r="405" spans="1:4" x14ac:dyDescent="0.25">
      <c r="A405" s="18">
        <f t="shared" si="18"/>
        <v>21</v>
      </c>
      <c r="B405" s="18">
        <f t="shared" si="19"/>
        <v>16</v>
      </c>
      <c r="C405" s="18" t="s">
        <v>287</v>
      </c>
      <c r="D405" s="18">
        <f t="shared" si="20"/>
        <v>37</v>
      </c>
    </row>
    <row r="406" spans="1:4" x14ac:dyDescent="0.25">
      <c r="A406" s="18">
        <f t="shared" si="18"/>
        <v>21</v>
      </c>
      <c r="B406" s="18">
        <f t="shared" si="19"/>
        <v>17</v>
      </c>
      <c r="C406" s="18" t="s">
        <v>288</v>
      </c>
      <c r="D406" s="18">
        <f t="shared" si="20"/>
        <v>37</v>
      </c>
    </row>
    <row r="407" spans="1:4" x14ac:dyDescent="0.25">
      <c r="A407" s="18">
        <f t="shared" si="18"/>
        <v>21</v>
      </c>
      <c r="B407" s="18">
        <f t="shared" si="19"/>
        <v>18</v>
      </c>
      <c r="C407" s="18" t="s">
        <v>289</v>
      </c>
      <c r="D407" s="18">
        <f t="shared" si="20"/>
        <v>37</v>
      </c>
    </row>
    <row r="408" spans="1:4" x14ac:dyDescent="0.25">
      <c r="A408" s="18">
        <f t="shared" si="18"/>
        <v>21</v>
      </c>
      <c r="B408" s="18">
        <f t="shared" si="19"/>
        <v>19</v>
      </c>
      <c r="C408" s="18" t="s">
        <v>295</v>
      </c>
      <c r="D408" s="18">
        <f t="shared" si="20"/>
        <v>37</v>
      </c>
    </row>
    <row r="409" spans="1:4" x14ac:dyDescent="0.25">
      <c r="A409" s="18">
        <f t="shared" si="18"/>
        <v>21</v>
      </c>
      <c r="B409" s="18">
        <f t="shared" si="19"/>
        <v>20</v>
      </c>
      <c r="C409" s="18" t="s">
        <v>296</v>
      </c>
      <c r="D409" s="18">
        <f t="shared" si="20"/>
        <v>37</v>
      </c>
    </row>
    <row r="410" spans="1:4" x14ac:dyDescent="0.25">
      <c r="A410" s="18">
        <f t="shared" si="18"/>
        <v>21</v>
      </c>
      <c r="B410" s="18">
        <f t="shared" si="19"/>
        <v>21</v>
      </c>
      <c r="C410" s="18" t="s">
        <v>297</v>
      </c>
      <c r="D410" s="18">
        <f t="shared" si="20"/>
        <v>36</v>
      </c>
    </row>
    <row r="411" spans="1:4" x14ac:dyDescent="0.25">
      <c r="A411" s="18">
        <f t="shared" si="18"/>
        <v>21</v>
      </c>
      <c r="B411" s="18">
        <f t="shared" si="19"/>
        <v>22</v>
      </c>
      <c r="C411" s="18" t="s">
        <v>173</v>
      </c>
      <c r="D411" s="18">
        <f t="shared" si="20"/>
        <v>34</v>
      </c>
    </row>
    <row r="412" spans="1:4" x14ac:dyDescent="0.25">
      <c r="A412" s="18">
        <f t="shared" si="18"/>
        <v>22</v>
      </c>
      <c r="B412" s="18">
        <f t="shared" si="19"/>
        <v>1</v>
      </c>
      <c r="C412" s="18"/>
      <c r="D412" s="18">
        <f t="shared" si="20"/>
        <v>0</v>
      </c>
    </row>
    <row r="413" spans="1:4" x14ac:dyDescent="0.25">
      <c r="A413" s="18">
        <f t="shared" si="18"/>
        <v>22</v>
      </c>
      <c r="B413" s="18">
        <f t="shared" si="19"/>
        <v>2</v>
      </c>
      <c r="C413" s="18" t="s">
        <v>276</v>
      </c>
      <c r="D413" s="18">
        <f t="shared" si="20"/>
        <v>55</v>
      </c>
    </row>
    <row r="414" spans="1:4" x14ac:dyDescent="0.25">
      <c r="A414" s="18">
        <f t="shared" si="18"/>
        <v>22</v>
      </c>
      <c r="B414" s="18">
        <f t="shared" si="19"/>
        <v>3</v>
      </c>
      <c r="C414" s="18"/>
      <c r="D414" s="18">
        <f t="shared" si="20"/>
        <v>0</v>
      </c>
    </row>
    <row r="415" spans="1:4" x14ac:dyDescent="0.25">
      <c r="A415" s="18">
        <f t="shared" si="18"/>
        <v>22</v>
      </c>
      <c r="B415" s="18">
        <f t="shared" si="19"/>
        <v>4</v>
      </c>
      <c r="C415" s="18" t="s">
        <v>298</v>
      </c>
      <c r="D415" s="18">
        <f t="shared" si="20"/>
        <v>30</v>
      </c>
    </row>
    <row r="416" spans="1:4" x14ac:dyDescent="0.25">
      <c r="A416" s="18">
        <f t="shared" si="18"/>
        <v>22</v>
      </c>
      <c r="B416" s="18">
        <f t="shared" si="19"/>
        <v>5</v>
      </c>
      <c r="C416" s="18" t="s">
        <v>299</v>
      </c>
      <c r="D416" s="18">
        <f t="shared" si="20"/>
        <v>28</v>
      </c>
    </row>
    <row r="417" spans="1:4" x14ac:dyDescent="0.25">
      <c r="A417" s="18">
        <f t="shared" si="18"/>
        <v>22</v>
      </c>
      <c r="B417" s="18">
        <f t="shared" si="19"/>
        <v>6</v>
      </c>
      <c r="C417" s="18"/>
      <c r="D417" s="18">
        <f t="shared" si="20"/>
        <v>0</v>
      </c>
    </row>
    <row r="418" spans="1:4" x14ac:dyDescent="0.25">
      <c r="A418" s="18">
        <f t="shared" si="18"/>
        <v>22</v>
      </c>
      <c r="B418" s="18">
        <f t="shared" si="19"/>
        <v>7</v>
      </c>
      <c r="C418" s="18" t="s">
        <v>279</v>
      </c>
      <c r="D418" s="18">
        <f t="shared" si="20"/>
        <v>36</v>
      </c>
    </row>
    <row r="419" spans="1:4" x14ac:dyDescent="0.25">
      <c r="A419" s="18">
        <f t="shared" si="18"/>
        <v>22</v>
      </c>
      <c r="B419" s="18">
        <f t="shared" si="19"/>
        <v>8</v>
      </c>
      <c r="C419" s="18" t="s">
        <v>280</v>
      </c>
      <c r="D419" s="18">
        <f t="shared" si="20"/>
        <v>37</v>
      </c>
    </row>
    <row r="420" spans="1:4" x14ac:dyDescent="0.25">
      <c r="A420" s="18">
        <f t="shared" si="18"/>
        <v>22</v>
      </c>
      <c r="B420" s="18">
        <f t="shared" si="19"/>
        <v>9</v>
      </c>
      <c r="C420" s="18" t="s">
        <v>300</v>
      </c>
      <c r="D420" s="18">
        <f t="shared" si="20"/>
        <v>37</v>
      </c>
    </row>
    <row r="421" spans="1:4" x14ac:dyDescent="0.25">
      <c r="A421" s="18">
        <f t="shared" si="18"/>
        <v>22</v>
      </c>
      <c r="B421" s="18">
        <f t="shared" si="19"/>
        <v>10</v>
      </c>
      <c r="C421" s="18" t="s">
        <v>301</v>
      </c>
      <c r="D421" s="18">
        <f t="shared" si="20"/>
        <v>37</v>
      </c>
    </row>
    <row r="422" spans="1:4" x14ac:dyDescent="0.25">
      <c r="A422" s="18">
        <f t="shared" si="18"/>
        <v>22</v>
      </c>
      <c r="B422" s="18">
        <f t="shared" si="19"/>
        <v>11</v>
      </c>
      <c r="C422" s="18" t="s">
        <v>302</v>
      </c>
      <c r="D422" s="18">
        <f t="shared" si="20"/>
        <v>37</v>
      </c>
    </row>
    <row r="423" spans="1:4" x14ac:dyDescent="0.25">
      <c r="A423" s="18">
        <f t="shared" si="18"/>
        <v>22</v>
      </c>
      <c r="B423" s="18">
        <f t="shared" si="19"/>
        <v>12</v>
      </c>
      <c r="C423" s="18" t="s">
        <v>303</v>
      </c>
      <c r="D423" s="18">
        <f t="shared" si="20"/>
        <v>37</v>
      </c>
    </row>
    <row r="424" spans="1:4" x14ac:dyDescent="0.25">
      <c r="A424" s="18">
        <f t="shared" si="18"/>
        <v>22</v>
      </c>
      <c r="B424" s="18">
        <f t="shared" si="19"/>
        <v>13</v>
      </c>
      <c r="C424" s="18" t="s">
        <v>304</v>
      </c>
      <c r="D424" s="18">
        <f t="shared" si="20"/>
        <v>37</v>
      </c>
    </row>
    <row r="425" spans="1:4" x14ac:dyDescent="0.25">
      <c r="A425" s="18">
        <f t="shared" si="18"/>
        <v>22</v>
      </c>
      <c r="B425" s="18">
        <f t="shared" si="19"/>
        <v>14</v>
      </c>
      <c r="C425" s="18" t="s">
        <v>305</v>
      </c>
      <c r="D425" s="18">
        <f t="shared" si="20"/>
        <v>37</v>
      </c>
    </row>
    <row r="426" spans="1:4" x14ac:dyDescent="0.25">
      <c r="A426" s="18">
        <f t="shared" si="18"/>
        <v>22</v>
      </c>
      <c r="B426" s="18">
        <f t="shared" si="19"/>
        <v>15</v>
      </c>
      <c r="C426" s="18" t="s">
        <v>306</v>
      </c>
      <c r="D426" s="18">
        <f t="shared" si="20"/>
        <v>37</v>
      </c>
    </row>
    <row r="427" spans="1:4" x14ac:dyDescent="0.25">
      <c r="A427" s="18">
        <f t="shared" si="18"/>
        <v>22</v>
      </c>
      <c r="B427" s="18">
        <f t="shared" si="19"/>
        <v>16</v>
      </c>
      <c r="C427" s="18" t="s">
        <v>307</v>
      </c>
      <c r="D427" s="18">
        <f t="shared" si="20"/>
        <v>37</v>
      </c>
    </row>
    <row r="428" spans="1:4" x14ac:dyDescent="0.25">
      <c r="A428" s="18">
        <f t="shared" si="18"/>
        <v>22</v>
      </c>
      <c r="B428" s="18">
        <f t="shared" si="19"/>
        <v>17</v>
      </c>
      <c r="C428" s="18" t="s">
        <v>308</v>
      </c>
      <c r="D428" s="18">
        <f t="shared" si="20"/>
        <v>37</v>
      </c>
    </row>
    <row r="429" spans="1:4" x14ac:dyDescent="0.25">
      <c r="A429" s="18">
        <f t="shared" si="18"/>
        <v>22</v>
      </c>
      <c r="B429" s="18">
        <f t="shared" si="19"/>
        <v>18</v>
      </c>
      <c r="C429" s="18" t="s">
        <v>309</v>
      </c>
      <c r="D429" s="18">
        <f t="shared" si="20"/>
        <v>37</v>
      </c>
    </row>
    <row r="430" spans="1:4" x14ac:dyDescent="0.25">
      <c r="A430" s="18">
        <f t="shared" si="18"/>
        <v>22</v>
      </c>
      <c r="B430" s="18">
        <f t="shared" si="19"/>
        <v>19</v>
      </c>
      <c r="C430" s="18" t="s">
        <v>310</v>
      </c>
      <c r="D430" s="18">
        <f t="shared" si="20"/>
        <v>37</v>
      </c>
    </row>
    <row r="431" spans="1:4" x14ac:dyDescent="0.25">
      <c r="A431" s="18">
        <f t="shared" si="18"/>
        <v>22</v>
      </c>
      <c r="B431" s="18">
        <f t="shared" si="19"/>
        <v>20</v>
      </c>
      <c r="C431" s="18" t="s">
        <v>294</v>
      </c>
      <c r="D431" s="18">
        <f t="shared" si="20"/>
        <v>37</v>
      </c>
    </row>
    <row r="432" spans="1:4" x14ac:dyDescent="0.25">
      <c r="A432" s="18">
        <f t="shared" si="18"/>
        <v>22</v>
      </c>
      <c r="B432" s="18">
        <f t="shared" si="19"/>
        <v>21</v>
      </c>
      <c r="C432" s="18" t="s">
        <v>282</v>
      </c>
      <c r="D432" s="18">
        <f t="shared" si="20"/>
        <v>37</v>
      </c>
    </row>
    <row r="433" spans="1:4" x14ac:dyDescent="0.25">
      <c r="A433" s="18">
        <f t="shared" si="18"/>
        <v>22</v>
      </c>
      <c r="B433" s="18">
        <f t="shared" si="19"/>
        <v>22</v>
      </c>
      <c r="C433" s="18" t="s">
        <v>283</v>
      </c>
      <c r="D433" s="18">
        <f t="shared" si="20"/>
        <v>37</v>
      </c>
    </row>
    <row r="434" spans="1:4" x14ac:dyDescent="0.25">
      <c r="A434" s="18">
        <f t="shared" si="18"/>
        <v>22</v>
      </c>
      <c r="B434" s="18">
        <f t="shared" si="19"/>
        <v>23</v>
      </c>
      <c r="C434" s="18" t="s">
        <v>284</v>
      </c>
      <c r="D434" s="18">
        <f t="shared" si="20"/>
        <v>37</v>
      </c>
    </row>
    <row r="435" spans="1:4" x14ac:dyDescent="0.25">
      <c r="A435" s="18">
        <f t="shared" si="18"/>
        <v>22</v>
      </c>
      <c r="B435" s="18">
        <f t="shared" si="19"/>
        <v>24</v>
      </c>
      <c r="C435" s="18" t="s">
        <v>311</v>
      </c>
      <c r="D435" s="18">
        <f t="shared" si="20"/>
        <v>36</v>
      </c>
    </row>
    <row r="436" spans="1:4" x14ac:dyDescent="0.25">
      <c r="A436" s="18">
        <f t="shared" si="18"/>
        <v>22</v>
      </c>
      <c r="B436" s="18">
        <f t="shared" si="19"/>
        <v>25</v>
      </c>
      <c r="C436" s="18" t="s">
        <v>173</v>
      </c>
      <c r="D436" s="18">
        <f t="shared" si="20"/>
        <v>34</v>
      </c>
    </row>
    <row r="437" spans="1:4" x14ac:dyDescent="0.25">
      <c r="A437" s="18">
        <f t="shared" si="18"/>
        <v>23</v>
      </c>
      <c r="B437" s="18">
        <f t="shared" si="19"/>
        <v>1</v>
      </c>
      <c r="C437" s="18"/>
      <c r="D437" s="18">
        <f t="shared" si="20"/>
        <v>0</v>
      </c>
    </row>
    <row r="438" spans="1:4" x14ac:dyDescent="0.25">
      <c r="A438" s="18">
        <f t="shared" si="18"/>
        <v>23</v>
      </c>
      <c r="B438" s="18">
        <f t="shared" si="19"/>
        <v>2</v>
      </c>
      <c r="C438" s="18" t="s">
        <v>312</v>
      </c>
      <c r="D438" s="18">
        <f t="shared" si="20"/>
        <v>43</v>
      </c>
    </row>
    <row r="439" spans="1:4" x14ac:dyDescent="0.25">
      <c r="A439" s="18">
        <f t="shared" si="18"/>
        <v>23</v>
      </c>
      <c r="B439" s="18">
        <f t="shared" si="19"/>
        <v>3</v>
      </c>
      <c r="C439" s="18"/>
      <c r="D439" s="18">
        <f t="shared" si="20"/>
        <v>0</v>
      </c>
    </row>
    <row r="440" spans="1:4" x14ac:dyDescent="0.25">
      <c r="A440" s="18">
        <f t="shared" si="18"/>
        <v>23</v>
      </c>
      <c r="B440" s="18">
        <f t="shared" si="19"/>
        <v>4</v>
      </c>
      <c r="C440" s="18" t="s">
        <v>277</v>
      </c>
      <c r="D440" s="18">
        <f t="shared" si="20"/>
        <v>28</v>
      </c>
    </row>
    <row r="441" spans="1:4" x14ac:dyDescent="0.25">
      <c r="A441" s="18">
        <f t="shared" si="18"/>
        <v>23</v>
      </c>
      <c r="B441" s="18">
        <f t="shared" si="19"/>
        <v>5</v>
      </c>
      <c r="C441" s="18" t="s">
        <v>278</v>
      </c>
      <c r="D441" s="18">
        <f t="shared" si="20"/>
        <v>29</v>
      </c>
    </row>
    <row r="442" spans="1:4" x14ac:dyDescent="0.25">
      <c r="A442" s="18">
        <f t="shared" si="18"/>
        <v>23</v>
      </c>
      <c r="B442" s="18">
        <f t="shared" si="19"/>
        <v>6</v>
      </c>
      <c r="C442" s="18"/>
      <c r="D442" s="18">
        <f t="shared" si="20"/>
        <v>0</v>
      </c>
    </row>
    <row r="443" spans="1:4" x14ac:dyDescent="0.25">
      <c r="A443" s="18">
        <f t="shared" si="18"/>
        <v>23</v>
      </c>
      <c r="B443" s="18">
        <f t="shared" si="19"/>
        <v>7</v>
      </c>
      <c r="C443" s="18" t="s">
        <v>279</v>
      </c>
      <c r="D443" s="18">
        <f t="shared" si="20"/>
        <v>36</v>
      </c>
    </row>
    <row r="444" spans="1:4" x14ac:dyDescent="0.25">
      <c r="A444" s="18">
        <f t="shared" si="18"/>
        <v>23</v>
      </c>
      <c r="B444" s="18">
        <f t="shared" si="19"/>
        <v>8</v>
      </c>
      <c r="C444" s="18" t="s">
        <v>280</v>
      </c>
      <c r="D444" s="18">
        <f t="shared" si="20"/>
        <v>37</v>
      </c>
    </row>
    <row r="445" spans="1:4" x14ac:dyDescent="0.25">
      <c r="A445" s="18">
        <f t="shared" si="18"/>
        <v>23</v>
      </c>
      <c r="B445" s="18">
        <f t="shared" si="19"/>
        <v>9</v>
      </c>
      <c r="C445" s="18" t="s">
        <v>281</v>
      </c>
      <c r="D445" s="18">
        <f t="shared" si="20"/>
        <v>37</v>
      </c>
    </row>
    <row r="446" spans="1:4" x14ac:dyDescent="0.25">
      <c r="A446" s="18">
        <f t="shared" si="18"/>
        <v>23</v>
      </c>
      <c r="B446" s="18">
        <f t="shared" si="19"/>
        <v>10</v>
      </c>
      <c r="C446" s="18" t="s">
        <v>282</v>
      </c>
      <c r="D446" s="18">
        <f t="shared" si="20"/>
        <v>37</v>
      </c>
    </row>
    <row r="447" spans="1:4" x14ac:dyDescent="0.25">
      <c r="A447" s="18">
        <f t="shared" si="18"/>
        <v>23</v>
      </c>
      <c r="B447" s="18">
        <f t="shared" si="19"/>
        <v>11</v>
      </c>
      <c r="C447" s="18" t="s">
        <v>283</v>
      </c>
      <c r="D447" s="18">
        <f t="shared" si="20"/>
        <v>37</v>
      </c>
    </row>
    <row r="448" spans="1:4" x14ac:dyDescent="0.25">
      <c r="A448" s="18">
        <f t="shared" si="18"/>
        <v>23</v>
      </c>
      <c r="B448" s="18">
        <f t="shared" si="19"/>
        <v>12</v>
      </c>
      <c r="C448" s="18" t="s">
        <v>284</v>
      </c>
      <c r="D448" s="18">
        <f t="shared" si="20"/>
        <v>37</v>
      </c>
    </row>
    <row r="449" spans="1:4" x14ac:dyDescent="0.25">
      <c r="A449" s="18">
        <f t="shared" si="18"/>
        <v>23</v>
      </c>
      <c r="B449" s="18">
        <f t="shared" si="19"/>
        <v>13</v>
      </c>
      <c r="C449" s="18" t="s">
        <v>285</v>
      </c>
      <c r="D449" s="18">
        <f t="shared" si="20"/>
        <v>37</v>
      </c>
    </row>
    <row r="450" spans="1:4" x14ac:dyDescent="0.25">
      <c r="A450" s="18">
        <f t="shared" si="18"/>
        <v>23</v>
      </c>
      <c r="B450" s="18">
        <f t="shared" si="19"/>
        <v>14</v>
      </c>
      <c r="C450" s="18" t="s">
        <v>286</v>
      </c>
      <c r="D450" s="18">
        <f t="shared" si="20"/>
        <v>37</v>
      </c>
    </row>
    <row r="451" spans="1:4" x14ac:dyDescent="0.25">
      <c r="A451" s="18">
        <f t="shared" ref="A451:A514" si="21">IF(ISNUMBER(A450),IF(B451&lt;B450,A450+1,A450),1)</f>
        <v>23</v>
      </c>
      <c r="B451" s="18">
        <f t="shared" ref="B451:B514" si="22">IF(ISNUMBER(B450),IF(C450="Press ENTER to resume the program.",1,B450+1),1)</f>
        <v>15</v>
      </c>
      <c r="C451" s="18" t="s">
        <v>287</v>
      </c>
      <c r="D451" s="18">
        <f t="shared" ref="D451:D514" si="23">LEN(C451)</f>
        <v>37</v>
      </c>
    </row>
    <row r="452" spans="1:4" x14ac:dyDescent="0.25">
      <c r="A452" s="18">
        <f t="shared" si="21"/>
        <v>23</v>
      </c>
      <c r="B452" s="18">
        <f t="shared" si="22"/>
        <v>16</v>
      </c>
      <c r="C452" s="18" t="s">
        <v>288</v>
      </c>
      <c r="D452" s="18">
        <f t="shared" si="23"/>
        <v>37</v>
      </c>
    </row>
    <row r="453" spans="1:4" x14ac:dyDescent="0.25">
      <c r="A453" s="18">
        <f t="shared" si="21"/>
        <v>23</v>
      </c>
      <c r="B453" s="18">
        <f t="shared" si="22"/>
        <v>17</v>
      </c>
      <c r="C453" s="18" t="s">
        <v>313</v>
      </c>
      <c r="D453" s="18">
        <f t="shared" si="23"/>
        <v>36</v>
      </c>
    </row>
    <row r="454" spans="1:4" x14ac:dyDescent="0.25">
      <c r="A454" s="18">
        <f t="shared" si="21"/>
        <v>23</v>
      </c>
      <c r="B454" s="18">
        <f t="shared" si="22"/>
        <v>18</v>
      </c>
      <c r="C454" s="18" t="s">
        <v>173</v>
      </c>
      <c r="D454" s="18">
        <f t="shared" si="23"/>
        <v>34</v>
      </c>
    </row>
    <row r="455" spans="1:4" x14ac:dyDescent="0.25">
      <c r="A455" s="18">
        <f t="shared" si="21"/>
        <v>24</v>
      </c>
      <c r="B455" s="18">
        <f t="shared" si="22"/>
        <v>1</v>
      </c>
      <c r="C455" s="18"/>
      <c r="D455" s="18">
        <f t="shared" si="23"/>
        <v>0</v>
      </c>
    </row>
    <row r="456" spans="1:4" x14ac:dyDescent="0.25">
      <c r="A456" s="18">
        <f t="shared" si="21"/>
        <v>24</v>
      </c>
      <c r="B456" s="18">
        <f t="shared" si="22"/>
        <v>2</v>
      </c>
      <c r="C456" s="18" t="s">
        <v>312</v>
      </c>
      <c r="D456" s="18">
        <f t="shared" si="23"/>
        <v>43</v>
      </c>
    </row>
    <row r="457" spans="1:4" x14ac:dyDescent="0.25">
      <c r="A457" s="18">
        <f t="shared" si="21"/>
        <v>24</v>
      </c>
      <c r="B457" s="18">
        <f t="shared" si="22"/>
        <v>3</v>
      </c>
      <c r="C457" s="18"/>
      <c r="D457" s="18">
        <f t="shared" si="23"/>
        <v>0</v>
      </c>
    </row>
    <row r="458" spans="1:4" x14ac:dyDescent="0.25">
      <c r="A458" s="18">
        <f t="shared" si="21"/>
        <v>24</v>
      </c>
      <c r="B458" s="18">
        <f t="shared" si="22"/>
        <v>4</v>
      </c>
      <c r="C458" s="18" t="s">
        <v>291</v>
      </c>
      <c r="D458" s="18">
        <f t="shared" si="23"/>
        <v>28</v>
      </c>
    </row>
    <row r="459" spans="1:4" x14ac:dyDescent="0.25">
      <c r="A459" s="18">
        <f t="shared" si="21"/>
        <v>24</v>
      </c>
      <c r="B459" s="18">
        <f t="shared" si="22"/>
        <v>5</v>
      </c>
      <c r="C459" s="18" t="s">
        <v>292</v>
      </c>
      <c r="D459" s="18">
        <f t="shared" si="23"/>
        <v>29</v>
      </c>
    </row>
    <row r="460" spans="1:4" x14ac:dyDescent="0.25">
      <c r="A460" s="18">
        <f t="shared" si="21"/>
        <v>24</v>
      </c>
      <c r="B460" s="18">
        <f t="shared" si="22"/>
        <v>6</v>
      </c>
      <c r="C460" s="18"/>
      <c r="D460" s="18">
        <f t="shared" si="23"/>
        <v>0</v>
      </c>
    </row>
    <row r="461" spans="1:4" x14ac:dyDescent="0.25">
      <c r="A461" s="18">
        <f t="shared" si="21"/>
        <v>24</v>
      </c>
      <c r="B461" s="18">
        <f t="shared" si="22"/>
        <v>7</v>
      </c>
      <c r="C461" s="18" t="s">
        <v>279</v>
      </c>
      <c r="D461" s="18">
        <f t="shared" si="23"/>
        <v>36</v>
      </c>
    </row>
    <row r="462" spans="1:4" x14ac:dyDescent="0.25">
      <c r="A462" s="18">
        <f t="shared" si="21"/>
        <v>24</v>
      </c>
      <c r="B462" s="18">
        <f t="shared" si="22"/>
        <v>8</v>
      </c>
      <c r="C462" s="18" t="s">
        <v>280</v>
      </c>
      <c r="D462" s="18">
        <f t="shared" si="23"/>
        <v>37</v>
      </c>
    </row>
    <row r="463" spans="1:4" x14ac:dyDescent="0.25">
      <c r="A463" s="18">
        <f t="shared" si="21"/>
        <v>24</v>
      </c>
      <c r="B463" s="18">
        <f t="shared" si="22"/>
        <v>9</v>
      </c>
      <c r="C463" s="18" t="s">
        <v>293</v>
      </c>
      <c r="D463" s="18">
        <f t="shared" si="23"/>
        <v>37</v>
      </c>
    </row>
    <row r="464" spans="1:4" x14ac:dyDescent="0.25">
      <c r="A464" s="18">
        <f t="shared" si="21"/>
        <v>24</v>
      </c>
      <c r="B464" s="18">
        <f t="shared" si="22"/>
        <v>10</v>
      </c>
      <c r="C464" s="18" t="s">
        <v>294</v>
      </c>
      <c r="D464" s="18">
        <f t="shared" si="23"/>
        <v>37</v>
      </c>
    </row>
    <row r="465" spans="1:4" x14ac:dyDescent="0.25">
      <c r="A465" s="18">
        <f t="shared" si="21"/>
        <v>24</v>
      </c>
      <c r="B465" s="18">
        <f t="shared" si="22"/>
        <v>11</v>
      </c>
      <c r="C465" s="18" t="s">
        <v>282</v>
      </c>
      <c r="D465" s="18">
        <f t="shared" si="23"/>
        <v>37</v>
      </c>
    </row>
    <row r="466" spans="1:4" x14ac:dyDescent="0.25">
      <c r="A466" s="18">
        <f t="shared" si="21"/>
        <v>24</v>
      </c>
      <c r="B466" s="18">
        <f t="shared" si="22"/>
        <v>12</v>
      </c>
      <c r="C466" s="18" t="s">
        <v>283</v>
      </c>
      <c r="D466" s="18">
        <f t="shared" si="23"/>
        <v>37</v>
      </c>
    </row>
    <row r="467" spans="1:4" x14ac:dyDescent="0.25">
      <c r="A467" s="18">
        <f t="shared" si="21"/>
        <v>24</v>
      </c>
      <c r="B467" s="18">
        <f t="shared" si="22"/>
        <v>13</v>
      </c>
      <c r="C467" s="18" t="s">
        <v>284</v>
      </c>
      <c r="D467" s="18">
        <f t="shared" si="23"/>
        <v>37</v>
      </c>
    </row>
    <row r="468" spans="1:4" x14ac:dyDescent="0.25">
      <c r="A468" s="18">
        <f t="shared" si="21"/>
        <v>24</v>
      </c>
      <c r="B468" s="18">
        <f t="shared" si="22"/>
        <v>14</v>
      </c>
      <c r="C468" s="18" t="s">
        <v>285</v>
      </c>
      <c r="D468" s="18">
        <f t="shared" si="23"/>
        <v>37</v>
      </c>
    </row>
    <row r="469" spans="1:4" x14ac:dyDescent="0.25">
      <c r="A469" s="18">
        <f t="shared" si="21"/>
        <v>24</v>
      </c>
      <c r="B469" s="18">
        <f t="shared" si="22"/>
        <v>15</v>
      </c>
      <c r="C469" s="18" t="s">
        <v>286</v>
      </c>
      <c r="D469" s="18">
        <f t="shared" si="23"/>
        <v>37</v>
      </c>
    </row>
    <row r="470" spans="1:4" x14ac:dyDescent="0.25">
      <c r="A470" s="18">
        <f t="shared" si="21"/>
        <v>24</v>
      </c>
      <c r="B470" s="18">
        <f t="shared" si="22"/>
        <v>16</v>
      </c>
      <c r="C470" s="18" t="s">
        <v>287</v>
      </c>
      <c r="D470" s="18">
        <f t="shared" si="23"/>
        <v>37</v>
      </c>
    </row>
    <row r="471" spans="1:4" x14ac:dyDescent="0.25">
      <c r="A471" s="18">
        <f t="shared" si="21"/>
        <v>24</v>
      </c>
      <c r="B471" s="18">
        <f t="shared" si="22"/>
        <v>17</v>
      </c>
      <c r="C471" s="18" t="s">
        <v>288</v>
      </c>
      <c r="D471" s="18">
        <f t="shared" si="23"/>
        <v>37</v>
      </c>
    </row>
    <row r="472" spans="1:4" x14ac:dyDescent="0.25">
      <c r="A472" s="18">
        <f t="shared" si="21"/>
        <v>24</v>
      </c>
      <c r="B472" s="18">
        <f t="shared" si="22"/>
        <v>18</v>
      </c>
      <c r="C472" s="18" t="s">
        <v>289</v>
      </c>
      <c r="D472" s="18">
        <f t="shared" si="23"/>
        <v>37</v>
      </c>
    </row>
    <row r="473" spans="1:4" x14ac:dyDescent="0.25">
      <c r="A473" s="18">
        <f t="shared" si="21"/>
        <v>24</v>
      </c>
      <c r="B473" s="18">
        <f t="shared" si="22"/>
        <v>19</v>
      </c>
      <c r="C473" s="18" t="s">
        <v>295</v>
      </c>
      <c r="D473" s="18">
        <f t="shared" si="23"/>
        <v>37</v>
      </c>
    </row>
    <row r="474" spans="1:4" x14ac:dyDescent="0.25">
      <c r="A474" s="18">
        <f t="shared" si="21"/>
        <v>24</v>
      </c>
      <c r="B474" s="18">
        <f t="shared" si="22"/>
        <v>20</v>
      </c>
      <c r="C474" s="18" t="s">
        <v>314</v>
      </c>
      <c r="D474" s="18">
        <f t="shared" si="23"/>
        <v>36</v>
      </c>
    </row>
    <row r="475" spans="1:4" x14ac:dyDescent="0.25">
      <c r="A475" s="18">
        <f t="shared" si="21"/>
        <v>24</v>
      </c>
      <c r="B475" s="18">
        <f t="shared" si="22"/>
        <v>21</v>
      </c>
      <c r="C475" s="18" t="s">
        <v>173</v>
      </c>
      <c r="D475" s="18">
        <f t="shared" si="23"/>
        <v>34</v>
      </c>
    </row>
    <row r="476" spans="1:4" x14ac:dyDescent="0.25">
      <c r="A476" s="18">
        <f t="shared" si="21"/>
        <v>25</v>
      </c>
      <c r="B476" s="18">
        <f t="shared" si="22"/>
        <v>1</v>
      </c>
      <c r="C476" s="18"/>
      <c r="D476" s="18">
        <f t="shared" si="23"/>
        <v>0</v>
      </c>
    </row>
    <row r="477" spans="1:4" x14ac:dyDescent="0.25">
      <c r="A477" s="18">
        <f t="shared" si="21"/>
        <v>25</v>
      </c>
      <c r="B477" s="18">
        <f t="shared" si="22"/>
        <v>2</v>
      </c>
      <c r="C477" s="18" t="s">
        <v>312</v>
      </c>
      <c r="D477" s="18">
        <f t="shared" si="23"/>
        <v>43</v>
      </c>
    </row>
    <row r="478" spans="1:4" x14ac:dyDescent="0.25">
      <c r="A478" s="18">
        <f t="shared" si="21"/>
        <v>25</v>
      </c>
      <c r="B478" s="18">
        <f t="shared" si="22"/>
        <v>3</v>
      </c>
      <c r="C478" s="18"/>
      <c r="D478" s="18">
        <f t="shared" si="23"/>
        <v>0</v>
      </c>
    </row>
    <row r="479" spans="1:4" x14ac:dyDescent="0.25">
      <c r="A479" s="18">
        <f t="shared" si="21"/>
        <v>25</v>
      </c>
      <c r="B479" s="18">
        <f t="shared" si="22"/>
        <v>4</v>
      </c>
      <c r="C479" s="18" t="s">
        <v>298</v>
      </c>
      <c r="D479" s="18">
        <f t="shared" si="23"/>
        <v>30</v>
      </c>
    </row>
    <row r="480" spans="1:4" x14ac:dyDescent="0.25">
      <c r="A480" s="18">
        <f t="shared" si="21"/>
        <v>25</v>
      </c>
      <c r="B480" s="18">
        <f t="shared" si="22"/>
        <v>5</v>
      </c>
      <c r="C480" s="18" t="s">
        <v>299</v>
      </c>
      <c r="D480" s="18">
        <f t="shared" si="23"/>
        <v>28</v>
      </c>
    </row>
    <row r="481" spans="1:4" x14ac:dyDescent="0.25">
      <c r="A481" s="18">
        <f t="shared" si="21"/>
        <v>25</v>
      </c>
      <c r="B481" s="18">
        <f t="shared" si="22"/>
        <v>6</v>
      </c>
      <c r="C481" s="18"/>
      <c r="D481" s="18">
        <f t="shared" si="23"/>
        <v>0</v>
      </c>
    </row>
    <row r="482" spans="1:4" x14ac:dyDescent="0.25">
      <c r="A482" s="18">
        <f t="shared" si="21"/>
        <v>25</v>
      </c>
      <c r="B482" s="18">
        <f t="shared" si="22"/>
        <v>7</v>
      </c>
      <c r="C482" s="18" t="s">
        <v>279</v>
      </c>
      <c r="D482" s="18">
        <f t="shared" si="23"/>
        <v>36</v>
      </c>
    </row>
    <row r="483" spans="1:4" x14ac:dyDescent="0.25">
      <c r="A483" s="18">
        <f t="shared" si="21"/>
        <v>25</v>
      </c>
      <c r="B483" s="18">
        <f t="shared" si="22"/>
        <v>8</v>
      </c>
      <c r="C483" s="18" t="s">
        <v>280</v>
      </c>
      <c r="D483" s="18">
        <f t="shared" si="23"/>
        <v>37</v>
      </c>
    </row>
    <row r="484" spans="1:4" x14ac:dyDescent="0.25">
      <c r="A484" s="18">
        <f t="shared" si="21"/>
        <v>25</v>
      </c>
      <c r="B484" s="18">
        <f t="shared" si="22"/>
        <v>9</v>
      </c>
      <c r="C484" s="18" t="s">
        <v>300</v>
      </c>
      <c r="D484" s="18">
        <f t="shared" si="23"/>
        <v>37</v>
      </c>
    </row>
    <row r="485" spans="1:4" x14ac:dyDescent="0.25">
      <c r="A485" s="18">
        <f t="shared" si="21"/>
        <v>25</v>
      </c>
      <c r="B485" s="18">
        <f t="shared" si="22"/>
        <v>10</v>
      </c>
      <c r="C485" s="18" t="s">
        <v>301</v>
      </c>
      <c r="D485" s="18">
        <f t="shared" si="23"/>
        <v>37</v>
      </c>
    </row>
    <row r="486" spans="1:4" x14ac:dyDescent="0.25">
      <c r="A486" s="18">
        <f t="shared" si="21"/>
        <v>25</v>
      </c>
      <c r="B486" s="18">
        <f t="shared" si="22"/>
        <v>11</v>
      </c>
      <c r="C486" s="18" t="s">
        <v>302</v>
      </c>
      <c r="D486" s="18">
        <f t="shared" si="23"/>
        <v>37</v>
      </c>
    </row>
    <row r="487" spans="1:4" x14ac:dyDescent="0.25">
      <c r="A487" s="18">
        <f t="shared" si="21"/>
        <v>25</v>
      </c>
      <c r="B487" s="18">
        <f t="shared" si="22"/>
        <v>12</v>
      </c>
      <c r="C487" s="18" t="s">
        <v>303</v>
      </c>
      <c r="D487" s="18">
        <f t="shared" si="23"/>
        <v>37</v>
      </c>
    </row>
    <row r="488" spans="1:4" x14ac:dyDescent="0.25">
      <c r="A488" s="18">
        <f t="shared" si="21"/>
        <v>25</v>
      </c>
      <c r="B488" s="18">
        <f t="shared" si="22"/>
        <v>13</v>
      </c>
      <c r="C488" s="18" t="s">
        <v>304</v>
      </c>
      <c r="D488" s="18">
        <f t="shared" si="23"/>
        <v>37</v>
      </c>
    </row>
    <row r="489" spans="1:4" x14ac:dyDescent="0.25">
      <c r="A489" s="18">
        <f t="shared" si="21"/>
        <v>25</v>
      </c>
      <c r="B489" s="18">
        <f t="shared" si="22"/>
        <v>14</v>
      </c>
      <c r="C489" s="18" t="s">
        <v>305</v>
      </c>
      <c r="D489" s="18">
        <f t="shared" si="23"/>
        <v>37</v>
      </c>
    </row>
    <row r="490" spans="1:4" x14ac:dyDescent="0.25">
      <c r="A490" s="18">
        <f t="shared" si="21"/>
        <v>25</v>
      </c>
      <c r="B490" s="18">
        <f t="shared" si="22"/>
        <v>15</v>
      </c>
      <c r="C490" s="18" t="s">
        <v>306</v>
      </c>
      <c r="D490" s="18">
        <f t="shared" si="23"/>
        <v>37</v>
      </c>
    </row>
    <row r="491" spans="1:4" x14ac:dyDescent="0.25">
      <c r="A491" s="18">
        <f t="shared" si="21"/>
        <v>25</v>
      </c>
      <c r="B491" s="18">
        <f t="shared" si="22"/>
        <v>16</v>
      </c>
      <c r="C491" s="18" t="s">
        <v>307</v>
      </c>
      <c r="D491" s="18">
        <f t="shared" si="23"/>
        <v>37</v>
      </c>
    </row>
    <row r="492" spans="1:4" x14ac:dyDescent="0.25">
      <c r="A492" s="18">
        <f t="shared" si="21"/>
        <v>25</v>
      </c>
      <c r="B492" s="18">
        <f t="shared" si="22"/>
        <v>17</v>
      </c>
      <c r="C492" s="18" t="s">
        <v>308</v>
      </c>
      <c r="D492" s="18">
        <f t="shared" si="23"/>
        <v>37</v>
      </c>
    </row>
    <row r="493" spans="1:4" x14ac:dyDescent="0.25">
      <c r="A493" s="18">
        <f t="shared" si="21"/>
        <v>25</v>
      </c>
      <c r="B493" s="18">
        <f t="shared" si="22"/>
        <v>18</v>
      </c>
      <c r="C493" s="18" t="s">
        <v>309</v>
      </c>
      <c r="D493" s="18">
        <f t="shared" si="23"/>
        <v>37</v>
      </c>
    </row>
    <row r="494" spans="1:4" x14ac:dyDescent="0.25">
      <c r="A494" s="18">
        <f t="shared" si="21"/>
        <v>25</v>
      </c>
      <c r="B494" s="18">
        <f t="shared" si="22"/>
        <v>19</v>
      </c>
      <c r="C494" s="18" t="s">
        <v>310</v>
      </c>
      <c r="D494" s="18">
        <f t="shared" si="23"/>
        <v>37</v>
      </c>
    </row>
    <row r="495" spans="1:4" x14ac:dyDescent="0.25">
      <c r="A495" s="18">
        <f t="shared" si="21"/>
        <v>25</v>
      </c>
      <c r="B495" s="18">
        <f t="shared" si="22"/>
        <v>20</v>
      </c>
      <c r="C495" s="18" t="s">
        <v>294</v>
      </c>
      <c r="D495" s="18">
        <f t="shared" si="23"/>
        <v>37</v>
      </c>
    </row>
    <row r="496" spans="1:4" x14ac:dyDescent="0.25">
      <c r="A496" s="18">
        <f t="shared" si="21"/>
        <v>25</v>
      </c>
      <c r="B496" s="18">
        <f t="shared" si="22"/>
        <v>21</v>
      </c>
      <c r="C496" s="18" t="s">
        <v>282</v>
      </c>
      <c r="D496" s="18">
        <f t="shared" si="23"/>
        <v>37</v>
      </c>
    </row>
    <row r="497" spans="1:4" x14ac:dyDescent="0.25">
      <c r="A497" s="18">
        <f t="shared" si="21"/>
        <v>25</v>
      </c>
      <c r="B497" s="18">
        <f t="shared" si="22"/>
        <v>22</v>
      </c>
      <c r="C497" s="18" t="s">
        <v>283</v>
      </c>
      <c r="D497" s="18">
        <f t="shared" si="23"/>
        <v>37</v>
      </c>
    </row>
    <row r="498" spans="1:4" x14ac:dyDescent="0.25">
      <c r="A498" s="18">
        <f t="shared" si="21"/>
        <v>25</v>
      </c>
      <c r="B498" s="18">
        <f t="shared" si="22"/>
        <v>23</v>
      </c>
      <c r="C498" s="18" t="s">
        <v>315</v>
      </c>
      <c r="D498" s="18">
        <f t="shared" si="23"/>
        <v>36</v>
      </c>
    </row>
    <row r="499" spans="1:4" x14ac:dyDescent="0.25">
      <c r="A499" s="18">
        <f t="shared" si="21"/>
        <v>25</v>
      </c>
      <c r="B499" s="18">
        <f t="shared" si="22"/>
        <v>24</v>
      </c>
      <c r="C499" s="18" t="s">
        <v>173</v>
      </c>
      <c r="D499" s="18">
        <f t="shared" si="23"/>
        <v>34</v>
      </c>
    </row>
    <row r="500" spans="1:4" x14ac:dyDescent="0.25">
      <c r="A500" s="18">
        <f t="shared" si="21"/>
        <v>26</v>
      </c>
      <c r="B500" s="18">
        <f t="shared" si="22"/>
        <v>1</v>
      </c>
      <c r="C500" s="18"/>
      <c r="D500" s="18">
        <f t="shared" si="23"/>
        <v>0</v>
      </c>
    </row>
    <row r="501" spans="1:4" x14ac:dyDescent="0.25">
      <c r="A501" s="18">
        <f t="shared" si="21"/>
        <v>26</v>
      </c>
      <c r="B501" s="18">
        <f t="shared" si="22"/>
        <v>2</v>
      </c>
      <c r="C501" s="18" t="s">
        <v>316</v>
      </c>
      <c r="D501" s="18">
        <f t="shared" si="23"/>
        <v>46</v>
      </c>
    </row>
    <row r="502" spans="1:4" x14ac:dyDescent="0.25">
      <c r="A502" s="18">
        <f t="shared" si="21"/>
        <v>26</v>
      </c>
      <c r="B502" s="18">
        <f t="shared" si="22"/>
        <v>3</v>
      </c>
      <c r="C502" s="18"/>
      <c r="D502" s="18">
        <f t="shared" si="23"/>
        <v>0</v>
      </c>
    </row>
    <row r="503" spans="1:4" x14ac:dyDescent="0.25">
      <c r="A503" s="18">
        <f t="shared" si="21"/>
        <v>26</v>
      </c>
      <c r="B503" s="18">
        <f t="shared" si="22"/>
        <v>4</v>
      </c>
      <c r="C503" s="18" t="s">
        <v>317</v>
      </c>
      <c r="D503" s="18">
        <f t="shared" si="23"/>
        <v>29</v>
      </c>
    </row>
    <row r="504" spans="1:4" x14ac:dyDescent="0.25">
      <c r="A504" s="18">
        <f t="shared" si="21"/>
        <v>26</v>
      </c>
      <c r="B504" s="18">
        <f t="shared" si="22"/>
        <v>5</v>
      </c>
      <c r="C504" s="18" t="s">
        <v>318</v>
      </c>
      <c r="D504" s="18">
        <f t="shared" si="23"/>
        <v>28</v>
      </c>
    </row>
    <row r="505" spans="1:4" x14ac:dyDescent="0.25">
      <c r="A505" s="18">
        <f t="shared" si="21"/>
        <v>26</v>
      </c>
      <c r="B505" s="18">
        <f t="shared" si="22"/>
        <v>6</v>
      </c>
      <c r="C505" s="18"/>
      <c r="D505" s="18">
        <f t="shared" si="23"/>
        <v>0</v>
      </c>
    </row>
    <row r="506" spans="1:4" x14ac:dyDescent="0.25">
      <c r="A506" s="18">
        <f t="shared" si="21"/>
        <v>26</v>
      </c>
      <c r="B506" s="18">
        <f t="shared" si="22"/>
        <v>7</v>
      </c>
      <c r="C506" s="18" t="s">
        <v>279</v>
      </c>
      <c r="D506" s="18">
        <f t="shared" si="23"/>
        <v>36</v>
      </c>
    </row>
    <row r="507" spans="1:4" x14ac:dyDescent="0.25">
      <c r="A507" s="18">
        <f t="shared" si="21"/>
        <v>26</v>
      </c>
      <c r="B507" s="18">
        <f t="shared" si="22"/>
        <v>8</v>
      </c>
      <c r="C507" s="18" t="s">
        <v>280</v>
      </c>
      <c r="D507" s="18">
        <f t="shared" si="23"/>
        <v>37</v>
      </c>
    </row>
    <row r="508" spans="1:4" x14ac:dyDescent="0.25">
      <c r="A508" s="18">
        <f t="shared" si="21"/>
        <v>26</v>
      </c>
      <c r="B508" s="18">
        <f t="shared" si="22"/>
        <v>9</v>
      </c>
      <c r="C508" s="18" t="s">
        <v>319</v>
      </c>
      <c r="D508" s="18">
        <f t="shared" si="23"/>
        <v>37</v>
      </c>
    </row>
    <row r="509" spans="1:4" x14ac:dyDescent="0.25">
      <c r="A509" s="18">
        <f t="shared" si="21"/>
        <v>26</v>
      </c>
      <c r="B509" s="18">
        <f t="shared" si="22"/>
        <v>10</v>
      </c>
      <c r="C509" s="18" t="s">
        <v>289</v>
      </c>
      <c r="D509" s="18">
        <f t="shared" si="23"/>
        <v>37</v>
      </c>
    </row>
    <row r="510" spans="1:4" x14ac:dyDescent="0.25">
      <c r="A510" s="18">
        <f t="shared" si="21"/>
        <v>26</v>
      </c>
      <c r="B510" s="18">
        <f t="shared" si="22"/>
        <v>11</v>
      </c>
      <c r="C510" s="18" t="s">
        <v>288</v>
      </c>
      <c r="D510" s="18">
        <f t="shared" si="23"/>
        <v>37</v>
      </c>
    </row>
    <row r="511" spans="1:4" x14ac:dyDescent="0.25">
      <c r="A511" s="18">
        <f t="shared" si="21"/>
        <v>26</v>
      </c>
      <c r="B511" s="18">
        <f t="shared" si="22"/>
        <v>12</v>
      </c>
      <c r="C511" s="18" t="s">
        <v>287</v>
      </c>
      <c r="D511" s="18">
        <f t="shared" si="23"/>
        <v>37</v>
      </c>
    </row>
    <row r="512" spans="1:4" x14ac:dyDescent="0.25">
      <c r="A512" s="18">
        <f t="shared" si="21"/>
        <v>26</v>
      </c>
      <c r="B512" s="18">
        <f t="shared" si="22"/>
        <v>13</v>
      </c>
      <c r="C512" s="18" t="s">
        <v>286</v>
      </c>
      <c r="D512" s="18">
        <f t="shared" si="23"/>
        <v>37</v>
      </c>
    </row>
    <row r="513" spans="1:4" x14ac:dyDescent="0.25">
      <c r="A513" s="18">
        <f t="shared" si="21"/>
        <v>26</v>
      </c>
      <c r="B513" s="18">
        <f t="shared" si="22"/>
        <v>14</v>
      </c>
      <c r="C513" s="18" t="s">
        <v>285</v>
      </c>
      <c r="D513" s="18">
        <f t="shared" si="23"/>
        <v>37</v>
      </c>
    </row>
    <row r="514" spans="1:4" x14ac:dyDescent="0.25">
      <c r="A514" s="18">
        <f t="shared" si="21"/>
        <v>26</v>
      </c>
      <c r="B514" s="18">
        <f t="shared" si="22"/>
        <v>15</v>
      </c>
      <c r="C514" s="18" t="s">
        <v>284</v>
      </c>
      <c r="D514" s="18">
        <f t="shared" si="23"/>
        <v>37</v>
      </c>
    </row>
    <row r="515" spans="1:4" x14ac:dyDescent="0.25">
      <c r="A515" s="18">
        <f t="shared" ref="A515:A578" si="24">IF(ISNUMBER(A514),IF(B515&lt;B514,A514+1,A514),1)</f>
        <v>26</v>
      </c>
      <c r="B515" s="18">
        <f t="shared" ref="B515:B578" si="25">IF(ISNUMBER(B514),IF(C514="Press ENTER to resume the program.",1,B514+1),1)</f>
        <v>16</v>
      </c>
      <c r="C515" s="18" t="s">
        <v>283</v>
      </c>
      <c r="D515" s="18">
        <f t="shared" ref="D515:D578" si="26">LEN(C515)</f>
        <v>37</v>
      </c>
    </row>
    <row r="516" spans="1:4" x14ac:dyDescent="0.25">
      <c r="A516" s="18">
        <f t="shared" si="24"/>
        <v>26</v>
      </c>
      <c r="B516" s="18">
        <f t="shared" si="25"/>
        <v>17</v>
      </c>
      <c r="C516" s="18" t="s">
        <v>320</v>
      </c>
      <c r="D516" s="18">
        <f t="shared" si="26"/>
        <v>36</v>
      </c>
    </row>
    <row r="517" spans="1:4" x14ac:dyDescent="0.25">
      <c r="A517" s="18">
        <f t="shared" si="24"/>
        <v>26</v>
      </c>
      <c r="B517" s="18">
        <f t="shared" si="25"/>
        <v>18</v>
      </c>
      <c r="C517" s="18" t="s">
        <v>173</v>
      </c>
      <c r="D517" s="18">
        <f t="shared" si="26"/>
        <v>34</v>
      </c>
    </row>
    <row r="518" spans="1:4" x14ac:dyDescent="0.25">
      <c r="A518" s="18">
        <f t="shared" si="24"/>
        <v>27</v>
      </c>
      <c r="B518" s="18">
        <f t="shared" si="25"/>
        <v>1</v>
      </c>
      <c r="C518" s="18"/>
      <c r="D518" s="18">
        <f t="shared" si="26"/>
        <v>0</v>
      </c>
    </row>
    <row r="519" spans="1:4" x14ac:dyDescent="0.25">
      <c r="A519" s="18">
        <f t="shared" si="24"/>
        <v>27</v>
      </c>
      <c r="B519" s="18">
        <f t="shared" si="25"/>
        <v>2</v>
      </c>
      <c r="C519" s="18" t="s">
        <v>316</v>
      </c>
      <c r="D519" s="18">
        <f t="shared" si="26"/>
        <v>46</v>
      </c>
    </row>
    <row r="520" spans="1:4" x14ac:dyDescent="0.25">
      <c r="A520" s="18">
        <f t="shared" si="24"/>
        <v>27</v>
      </c>
      <c r="B520" s="18">
        <f t="shared" si="25"/>
        <v>3</v>
      </c>
      <c r="C520" s="18"/>
      <c r="D520" s="18">
        <f t="shared" si="26"/>
        <v>0</v>
      </c>
    </row>
    <row r="521" spans="1:4" x14ac:dyDescent="0.25">
      <c r="A521" s="18">
        <f t="shared" si="24"/>
        <v>27</v>
      </c>
      <c r="B521" s="18">
        <f t="shared" si="25"/>
        <v>4</v>
      </c>
      <c r="C521" s="18" t="s">
        <v>321</v>
      </c>
      <c r="D521" s="18">
        <f t="shared" si="26"/>
        <v>29</v>
      </c>
    </row>
    <row r="522" spans="1:4" x14ac:dyDescent="0.25">
      <c r="A522" s="18">
        <f t="shared" si="24"/>
        <v>27</v>
      </c>
      <c r="B522" s="18">
        <f t="shared" si="25"/>
        <v>5</v>
      </c>
      <c r="C522" s="18" t="s">
        <v>322</v>
      </c>
      <c r="D522" s="18">
        <f t="shared" si="26"/>
        <v>28</v>
      </c>
    </row>
    <row r="523" spans="1:4" x14ac:dyDescent="0.25">
      <c r="A523" s="18">
        <f t="shared" si="24"/>
        <v>27</v>
      </c>
      <c r="B523" s="18">
        <f t="shared" si="25"/>
        <v>6</v>
      </c>
      <c r="C523" s="18"/>
      <c r="D523" s="18">
        <f t="shared" si="26"/>
        <v>0</v>
      </c>
    </row>
    <row r="524" spans="1:4" x14ac:dyDescent="0.25">
      <c r="A524" s="18">
        <f t="shared" si="24"/>
        <v>27</v>
      </c>
      <c r="B524" s="18">
        <f t="shared" si="25"/>
        <v>7</v>
      </c>
      <c r="C524" s="18" t="s">
        <v>279</v>
      </c>
      <c r="D524" s="18">
        <f t="shared" si="26"/>
        <v>36</v>
      </c>
    </row>
    <row r="525" spans="1:4" x14ac:dyDescent="0.25">
      <c r="A525" s="18">
        <f t="shared" si="24"/>
        <v>27</v>
      </c>
      <c r="B525" s="18">
        <f t="shared" si="25"/>
        <v>8</v>
      </c>
      <c r="C525" s="18" t="s">
        <v>280</v>
      </c>
      <c r="D525" s="18">
        <f t="shared" si="26"/>
        <v>37</v>
      </c>
    </row>
    <row r="526" spans="1:4" x14ac:dyDescent="0.25">
      <c r="A526" s="18">
        <f t="shared" si="24"/>
        <v>27</v>
      </c>
      <c r="B526" s="18">
        <f t="shared" si="25"/>
        <v>9</v>
      </c>
      <c r="C526" s="18" t="s">
        <v>323</v>
      </c>
      <c r="D526" s="18">
        <f t="shared" si="26"/>
        <v>37</v>
      </c>
    </row>
    <row r="527" spans="1:4" x14ac:dyDescent="0.25">
      <c r="A527" s="18">
        <f t="shared" si="24"/>
        <v>27</v>
      </c>
      <c r="B527" s="18">
        <f t="shared" si="25"/>
        <v>10</v>
      </c>
      <c r="C527" s="18" t="s">
        <v>296</v>
      </c>
      <c r="D527" s="18">
        <f t="shared" si="26"/>
        <v>37</v>
      </c>
    </row>
    <row r="528" spans="1:4" x14ac:dyDescent="0.25">
      <c r="A528" s="18">
        <f t="shared" si="24"/>
        <v>27</v>
      </c>
      <c r="B528" s="18">
        <f t="shared" si="25"/>
        <v>11</v>
      </c>
      <c r="C528" s="18" t="s">
        <v>295</v>
      </c>
      <c r="D528" s="18">
        <f t="shared" si="26"/>
        <v>37</v>
      </c>
    </row>
    <row r="529" spans="1:4" x14ac:dyDescent="0.25">
      <c r="A529" s="18">
        <f t="shared" si="24"/>
        <v>27</v>
      </c>
      <c r="B529" s="18">
        <f t="shared" si="25"/>
        <v>12</v>
      </c>
      <c r="C529" s="18" t="s">
        <v>289</v>
      </c>
      <c r="D529" s="18">
        <f t="shared" si="26"/>
        <v>37</v>
      </c>
    </row>
    <row r="530" spans="1:4" x14ac:dyDescent="0.25">
      <c r="A530" s="18">
        <f t="shared" si="24"/>
        <v>27</v>
      </c>
      <c r="B530" s="18">
        <f t="shared" si="25"/>
        <v>13</v>
      </c>
      <c r="C530" s="18" t="s">
        <v>288</v>
      </c>
      <c r="D530" s="18">
        <f t="shared" si="26"/>
        <v>37</v>
      </c>
    </row>
    <row r="531" spans="1:4" x14ac:dyDescent="0.25">
      <c r="A531" s="18">
        <f t="shared" si="24"/>
        <v>27</v>
      </c>
      <c r="B531" s="18">
        <f t="shared" si="25"/>
        <v>14</v>
      </c>
      <c r="C531" s="18" t="s">
        <v>287</v>
      </c>
      <c r="D531" s="18">
        <f t="shared" si="26"/>
        <v>37</v>
      </c>
    </row>
    <row r="532" spans="1:4" x14ac:dyDescent="0.25">
      <c r="A532" s="18">
        <f t="shared" si="24"/>
        <v>27</v>
      </c>
      <c r="B532" s="18">
        <f t="shared" si="25"/>
        <v>15</v>
      </c>
      <c r="C532" s="18" t="s">
        <v>286</v>
      </c>
      <c r="D532" s="18">
        <f t="shared" si="26"/>
        <v>37</v>
      </c>
    </row>
    <row r="533" spans="1:4" x14ac:dyDescent="0.25">
      <c r="A533" s="18">
        <f t="shared" si="24"/>
        <v>27</v>
      </c>
      <c r="B533" s="18">
        <f t="shared" si="25"/>
        <v>16</v>
      </c>
      <c r="C533" s="18" t="s">
        <v>285</v>
      </c>
      <c r="D533" s="18">
        <f t="shared" si="26"/>
        <v>37</v>
      </c>
    </row>
    <row r="534" spans="1:4" x14ac:dyDescent="0.25">
      <c r="A534" s="18">
        <f t="shared" si="24"/>
        <v>27</v>
      </c>
      <c r="B534" s="18">
        <f t="shared" si="25"/>
        <v>17</v>
      </c>
      <c r="C534" s="18" t="s">
        <v>284</v>
      </c>
      <c r="D534" s="18">
        <f t="shared" si="26"/>
        <v>37</v>
      </c>
    </row>
    <row r="535" spans="1:4" x14ac:dyDescent="0.25">
      <c r="A535" s="18">
        <f t="shared" si="24"/>
        <v>27</v>
      </c>
      <c r="B535" s="18">
        <f t="shared" si="25"/>
        <v>18</v>
      </c>
      <c r="C535" s="18" t="s">
        <v>283</v>
      </c>
      <c r="D535" s="18">
        <f t="shared" si="26"/>
        <v>37</v>
      </c>
    </row>
    <row r="536" spans="1:4" x14ac:dyDescent="0.25">
      <c r="A536" s="18">
        <f t="shared" si="24"/>
        <v>27</v>
      </c>
      <c r="B536" s="18">
        <f t="shared" si="25"/>
        <v>19</v>
      </c>
      <c r="C536" s="18" t="s">
        <v>282</v>
      </c>
      <c r="D536" s="18">
        <f t="shared" si="26"/>
        <v>37</v>
      </c>
    </row>
    <row r="537" spans="1:4" x14ac:dyDescent="0.25">
      <c r="A537" s="18">
        <f t="shared" si="24"/>
        <v>27</v>
      </c>
      <c r="B537" s="18">
        <f t="shared" si="25"/>
        <v>20</v>
      </c>
      <c r="C537" s="18" t="s">
        <v>324</v>
      </c>
      <c r="D537" s="18">
        <f t="shared" si="26"/>
        <v>36</v>
      </c>
    </row>
    <row r="538" spans="1:4" x14ac:dyDescent="0.25">
      <c r="A538" s="18">
        <f t="shared" si="24"/>
        <v>27</v>
      </c>
      <c r="B538" s="18">
        <f t="shared" si="25"/>
        <v>21</v>
      </c>
      <c r="C538" s="18" t="s">
        <v>173</v>
      </c>
      <c r="D538" s="18">
        <f t="shared" si="26"/>
        <v>34</v>
      </c>
    </row>
    <row r="539" spans="1:4" x14ac:dyDescent="0.25">
      <c r="A539" s="18">
        <f t="shared" si="24"/>
        <v>28</v>
      </c>
      <c r="B539" s="18">
        <f t="shared" si="25"/>
        <v>1</v>
      </c>
      <c r="C539" s="18"/>
      <c r="D539" s="18">
        <f t="shared" si="26"/>
        <v>0</v>
      </c>
    </row>
    <row r="540" spans="1:4" x14ac:dyDescent="0.25">
      <c r="A540" s="18">
        <f t="shared" si="24"/>
        <v>28</v>
      </c>
      <c r="B540" s="18">
        <f t="shared" si="25"/>
        <v>2</v>
      </c>
      <c r="C540" s="18" t="s">
        <v>316</v>
      </c>
      <c r="D540" s="18">
        <f t="shared" si="26"/>
        <v>46</v>
      </c>
    </row>
    <row r="541" spans="1:4" x14ac:dyDescent="0.25">
      <c r="A541" s="18">
        <f t="shared" si="24"/>
        <v>28</v>
      </c>
      <c r="B541" s="18">
        <f t="shared" si="25"/>
        <v>3</v>
      </c>
      <c r="C541" s="18"/>
      <c r="D541" s="18">
        <f t="shared" si="26"/>
        <v>0</v>
      </c>
    </row>
    <row r="542" spans="1:4" x14ac:dyDescent="0.25">
      <c r="A542" s="18">
        <f t="shared" si="24"/>
        <v>28</v>
      </c>
      <c r="B542" s="18">
        <f t="shared" si="25"/>
        <v>4</v>
      </c>
      <c r="C542" s="18" t="s">
        <v>325</v>
      </c>
      <c r="D542" s="18">
        <f t="shared" si="26"/>
        <v>28</v>
      </c>
    </row>
    <row r="543" spans="1:4" x14ac:dyDescent="0.25">
      <c r="A543" s="18">
        <f t="shared" si="24"/>
        <v>28</v>
      </c>
      <c r="B543" s="18">
        <f t="shared" si="25"/>
        <v>5</v>
      </c>
      <c r="C543" s="18" t="s">
        <v>326</v>
      </c>
      <c r="D543" s="18">
        <f t="shared" si="26"/>
        <v>30</v>
      </c>
    </row>
    <row r="544" spans="1:4" x14ac:dyDescent="0.25">
      <c r="A544" s="18">
        <f t="shared" si="24"/>
        <v>28</v>
      </c>
      <c r="B544" s="18">
        <f t="shared" si="25"/>
        <v>6</v>
      </c>
      <c r="C544" s="18"/>
      <c r="D544" s="18">
        <f t="shared" si="26"/>
        <v>0</v>
      </c>
    </row>
    <row r="545" spans="1:4" x14ac:dyDescent="0.25">
      <c r="A545" s="18">
        <f t="shared" si="24"/>
        <v>28</v>
      </c>
      <c r="B545" s="18">
        <f t="shared" si="25"/>
        <v>7</v>
      </c>
      <c r="C545" s="18" t="s">
        <v>279</v>
      </c>
      <c r="D545" s="18">
        <f t="shared" si="26"/>
        <v>36</v>
      </c>
    </row>
    <row r="546" spans="1:4" x14ac:dyDescent="0.25">
      <c r="A546" s="18">
        <f t="shared" si="24"/>
        <v>28</v>
      </c>
      <c r="B546" s="18">
        <f t="shared" si="25"/>
        <v>8</v>
      </c>
      <c r="C546" s="18" t="s">
        <v>280</v>
      </c>
      <c r="D546" s="18">
        <f t="shared" si="26"/>
        <v>37</v>
      </c>
    </row>
    <row r="547" spans="1:4" x14ac:dyDescent="0.25">
      <c r="A547" s="18">
        <f t="shared" si="24"/>
        <v>28</v>
      </c>
      <c r="B547" s="18">
        <f t="shared" si="25"/>
        <v>9</v>
      </c>
      <c r="C547" s="18" t="s">
        <v>327</v>
      </c>
      <c r="D547" s="18">
        <f t="shared" si="26"/>
        <v>37</v>
      </c>
    </row>
    <row r="548" spans="1:4" x14ac:dyDescent="0.25">
      <c r="A548" s="18">
        <f t="shared" si="24"/>
        <v>28</v>
      </c>
      <c r="B548" s="18">
        <f t="shared" si="25"/>
        <v>10</v>
      </c>
      <c r="C548" s="18" t="s">
        <v>284</v>
      </c>
      <c r="D548" s="18">
        <f t="shared" si="26"/>
        <v>37</v>
      </c>
    </row>
    <row r="549" spans="1:4" x14ac:dyDescent="0.25">
      <c r="A549" s="18">
        <f t="shared" si="24"/>
        <v>28</v>
      </c>
      <c r="B549" s="18">
        <f t="shared" si="25"/>
        <v>11</v>
      </c>
      <c r="C549" s="18" t="s">
        <v>283</v>
      </c>
      <c r="D549" s="18">
        <f t="shared" si="26"/>
        <v>37</v>
      </c>
    </row>
    <row r="550" spans="1:4" x14ac:dyDescent="0.25">
      <c r="A550" s="18">
        <f t="shared" si="24"/>
        <v>28</v>
      </c>
      <c r="B550" s="18">
        <f t="shared" si="25"/>
        <v>12</v>
      </c>
      <c r="C550" s="18" t="s">
        <v>282</v>
      </c>
      <c r="D550" s="18">
        <f t="shared" si="26"/>
        <v>37</v>
      </c>
    </row>
    <row r="551" spans="1:4" x14ac:dyDescent="0.25">
      <c r="A551" s="18">
        <f t="shared" si="24"/>
        <v>28</v>
      </c>
      <c r="B551" s="18">
        <f t="shared" si="25"/>
        <v>13</v>
      </c>
      <c r="C551" s="18" t="s">
        <v>294</v>
      </c>
      <c r="D551" s="18">
        <f t="shared" si="26"/>
        <v>37</v>
      </c>
    </row>
    <row r="552" spans="1:4" x14ac:dyDescent="0.25">
      <c r="A552" s="18">
        <f t="shared" si="24"/>
        <v>28</v>
      </c>
      <c r="B552" s="18">
        <f t="shared" si="25"/>
        <v>14</v>
      </c>
      <c r="C552" s="18" t="s">
        <v>310</v>
      </c>
      <c r="D552" s="18">
        <f t="shared" si="26"/>
        <v>37</v>
      </c>
    </row>
    <row r="553" spans="1:4" x14ac:dyDescent="0.25">
      <c r="A553" s="18">
        <f t="shared" si="24"/>
        <v>28</v>
      </c>
      <c r="B553" s="18">
        <f t="shared" si="25"/>
        <v>15</v>
      </c>
      <c r="C553" s="18" t="s">
        <v>309</v>
      </c>
      <c r="D553" s="18">
        <f t="shared" si="26"/>
        <v>37</v>
      </c>
    </row>
    <row r="554" spans="1:4" x14ac:dyDescent="0.25">
      <c r="A554" s="18">
        <f t="shared" si="24"/>
        <v>28</v>
      </c>
      <c r="B554" s="18">
        <f t="shared" si="25"/>
        <v>16</v>
      </c>
      <c r="C554" s="18" t="s">
        <v>308</v>
      </c>
      <c r="D554" s="18">
        <f t="shared" si="26"/>
        <v>37</v>
      </c>
    </row>
    <row r="555" spans="1:4" x14ac:dyDescent="0.25">
      <c r="A555" s="18">
        <f t="shared" si="24"/>
        <v>28</v>
      </c>
      <c r="B555" s="18">
        <f t="shared" si="25"/>
        <v>17</v>
      </c>
      <c r="C555" s="18" t="s">
        <v>307</v>
      </c>
      <c r="D555" s="18">
        <f t="shared" si="26"/>
        <v>37</v>
      </c>
    </row>
    <row r="556" spans="1:4" x14ac:dyDescent="0.25">
      <c r="A556" s="18">
        <f t="shared" si="24"/>
        <v>28</v>
      </c>
      <c r="B556" s="18">
        <f t="shared" si="25"/>
        <v>18</v>
      </c>
      <c r="C556" s="18" t="s">
        <v>306</v>
      </c>
      <c r="D556" s="18">
        <f t="shared" si="26"/>
        <v>37</v>
      </c>
    </row>
    <row r="557" spans="1:4" x14ac:dyDescent="0.25">
      <c r="A557" s="18">
        <f t="shared" si="24"/>
        <v>28</v>
      </c>
      <c r="B557" s="18">
        <f t="shared" si="25"/>
        <v>19</v>
      </c>
      <c r="C557" s="18" t="s">
        <v>305</v>
      </c>
      <c r="D557" s="18">
        <f t="shared" si="26"/>
        <v>37</v>
      </c>
    </row>
    <row r="558" spans="1:4" x14ac:dyDescent="0.25">
      <c r="A558" s="18">
        <f t="shared" si="24"/>
        <v>28</v>
      </c>
      <c r="B558" s="18">
        <f t="shared" si="25"/>
        <v>20</v>
      </c>
      <c r="C558" s="18" t="s">
        <v>304</v>
      </c>
      <c r="D558" s="18">
        <f t="shared" si="26"/>
        <v>37</v>
      </c>
    </row>
    <row r="559" spans="1:4" x14ac:dyDescent="0.25">
      <c r="A559" s="18">
        <f t="shared" si="24"/>
        <v>28</v>
      </c>
      <c r="B559" s="18">
        <f t="shared" si="25"/>
        <v>21</v>
      </c>
      <c r="C559" s="18" t="s">
        <v>303</v>
      </c>
      <c r="D559" s="18">
        <f t="shared" si="26"/>
        <v>37</v>
      </c>
    </row>
    <row r="560" spans="1:4" x14ac:dyDescent="0.25">
      <c r="A560" s="18">
        <f t="shared" si="24"/>
        <v>28</v>
      </c>
      <c r="B560" s="18">
        <f t="shared" si="25"/>
        <v>22</v>
      </c>
      <c r="C560" s="18" t="s">
        <v>302</v>
      </c>
      <c r="D560" s="18">
        <f t="shared" si="26"/>
        <v>37</v>
      </c>
    </row>
    <row r="561" spans="1:4" x14ac:dyDescent="0.25">
      <c r="A561" s="18">
        <f t="shared" si="24"/>
        <v>28</v>
      </c>
      <c r="B561" s="18">
        <f t="shared" si="25"/>
        <v>23</v>
      </c>
      <c r="C561" s="18" t="s">
        <v>328</v>
      </c>
      <c r="D561" s="18">
        <f t="shared" si="26"/>
        <v>36</v>
      </c>
    </row>
    <row r="562" spans="1:4" x14ac:dyDescent="0.25">
      <c r="A562" s="18">
        <f t="shared" si="24"/>
        <v>28</v>
      </c>
      <c r="B562" s="18">
        <f t="shared" si="25"/>
        <v>24</v>
      </c>
      <c r="C562" s="18" t="s">
        <v>173</v>
      </c>
      <c r="D562" s="18">
        <f t="shared" si="26"/>
        <v>34</v>
      </c>
    </row>
    <row r="563" spans="1:4" x14ac:dyDescent="0.25">
      <c r="A563" s="18">
        <f t="shared" si="24"/>
        <v>29</v>
      </c>
      <c r="B563" s="18">
        <f t="shared" si="25"/>
        <v>1</v>
      </c>
      <c r="C563" s="18"/>
      <c r="D563" s="18">
        <f t="shared" si="26"/>
        <v>0</v>
      </c>
    </row>
    <row r="564" spans="1:4" x14ac:dyDescent="0.25">
      <c r="A564" s="18">
        <f t="shared" si="24"/>
        <v>29</v>
      </c>
      <c r="B564" s="18">
        <f t="shared" si="25"/>
        <v>2</v>
      </c>
      <c r="C564" s="18" t="s">
        <v>329</v>
      </c>
      <c r="D564" s="18">
        <f t="shared" si="26"/>
        <v>58</v>
      </c>
    </row>
    <row r="565" spans="1:4" x14ac:dyDescent="0.25">
      <c r="A565" s="18">
        <f t="shared" si="24"/>
        <v>29</v>
      </c>
      <c r="B565" s="18">
        <f t="shared" si="25"/>
        <v>3</v>
      </c>
      <c r="C565" s="18"/>
      <c r="D565" s="18">
        <f t="shared" si="26"/>
        <v>0</v>
      </c>
    </row>
    <row r="566" spans="1:4" x14ac:dyDescent="0.25">
      <c r="A566" s="18">
        <f t="shared" si="24"/>
        <v>29</v>
      </c>
      <c r="B566" s="18">
        <f t="shared" si="25"/>
        <v>4</v>
      </c>
      <c r="C566" s="18" t="s">
        <v>317</v>
      </c>
      <c r="D566" s="18">
        <f t="shared" si="26"/>
        <v>29</v>
      </c>
    </row>
    <row r="567" spans="1:4" x14ac:dyDescent="0.25">
      <c r="A567" s="18">
        <f t="shared" si="24"/>
        <v>29</v>
      </c>
      <c r="B567" s="18">
        <f t="shared" si="25"/>
        <v>5</v>
      </c>
      <c r="C567" s="18" t="s">
        <v>318</v>
      </c>
      <c r="D567" s="18">
        <f t="shared" si="26"/>
        <v>28</v>
      </c>
    </row>
    <row r="568" spans="1:4" x14ac:dyDescent="0.25">
      <c r="A568" s="18">
        <f t="shared" si="24"/>
        <v>29</v>
      </c>
      <c r="B568" s="18">
        <f t="shared" si="25"/>
        <v>6</v>
      </c>
      <c r="C568" s="18"/>
      <c r="D568" s="18">
        <f t="shared" si="26"/>
        <v>0</v>
      </c>
    </row>
    <row r="569" spans="1:4" x14ac:dyDescent="0.25">
      <c r="A569" s="18">
        <f t="shared" si="24"/>
        <v>29</v>
      </c>
      <c r="B569" s="18">
        <f t="shared" si="25"/>
        <v>7</v>
      </c>
      <c r="C569" s="18" t="s">
        <v>279</v>
      </c>
      <c r="D569" s="18">
        <f t="shared" si="26"/>
        <v>36</v>
      </c>
    </row>
    <row r="570" spans="1:4" x14ac:dyDescent="0.25">
      <c r="A570" s="18">
        <f t="shared" si="24"/>
        <v>29</v>
      </c>
      <c r="B570" s="18">
        <f t="shared" si="25"/>
        <v>8</v>
      </c>
      <c r="C570" s="18" t="s">
        <v>280</v>
      </c>
      <c r="D570" s="18">
        <f t="shared" si="26"/>
        <v>37</v>
      </c>
    </row>
    <row r="571" spans="1:4" x14ac:dyDescent="0.25">
      <c r="A571" s="18">
        <f t="shared" si="24"/>
        <v>29</v>
      </c>
      <c r="B571" s="18">
        <f t="shared" si="25"/>
        <v>9</v>
      </c>
      <c r="C571" s="18" t="s">
        <v>319</v>
      </c>
      <c r="D571" s="18">
        <f t="shared" si="26"/>
        <v>37</v>
      </c>
    </row>
    <row r="572" spans="1:4" x14ac:dyDescent="0.25">
      <c r="A572" s="18">
        <f t="shared" si="24"/>
        <v>29</v>
      </c>
      <c r="B572" s="18">
        <f t="shared" si="25"/>
        <v>10</v>
      </c>
      <c r="C572" s="18" t="s">
        <v>289</v>
      </c>
      <c r="D572" s="18">
        <f t="shared" si="26"/>
        <v>37</v>
      </c>
    </row>
    <row r="573" spans="1:4" x14ac:dyDescent="0.25">
      <c r="A573" s="18">
        <f t="shared" si="24"/>
        <v>29</v>
      </c>
      <c r="B573" s="18">
        <f t="shared" si="25"/>
        <v>11</v>
      </c>
      <c r="C573" s="18" t="s">
        <v>288</v>
      </c>
      <c r="D573" s="18">
        <f t="shared" si="26"/>
        <v>37</v>
      </c>
    </row>
    <row r="574" spans="1:4" x14ac:dyDescent="0.25">
      <c r="A574" s="18">
        <f t="shared" si="24"/>
        <v>29</v>
      </c>
      <c r="B574" s="18">
        <f t="shared" si="25"/>
        <v>12</v>
      </c>
      <c r="C574" s="18" t="s">
        <v>287</v>
      </c>
      <c r="D574" s="18">
        <f t="shared" si="26"/>
        <v>37</v>
      </c>
    </row>
    <row r="575" spans="1:4" x14ac:dyDescent="0.25">
      <c r="A575" s="18">
        <f t="shared" si="24"/>
        <v>29</v>
      </c>
      <c r="B575" s="18">
        <f t="shared" si="25"/>
        <v>13</v>
      </c>
      <c r="C575" s="18" t="s">
        <v>286</v>
      </c>
      <c r="D575" s="18">
        <f t="shared" si="26"/>
        <v>37</v>
      </c>
    </row>
    <row r="576" spans="1:4" x14ac:dyDescent="0.25">
      <c r="A576" s="18">
        <f t="shared" si="24"/>
        <v>29</v>
      </c>
      <c r="B576" s="18">
        <f t="shared" si="25"/>
        <v>14</v>
      </c>
      <c r="C576" s="18" t="s">
        <v>285</v>
      </c>
      <c r="D576" s="18">
        <f t="shared" si="26"/>
        <v>37</v>
      </c>
    </row>
    <row r="577" spans="1:4" x14ac:dyDescent="0.25">
      <c r="A577" s="18">
        <f t="shared" si="24"/>
        <v>29</v>
      </c>
      <c r="B577" s="18">
        <f t="shared" si="25"/>
        <v>15</v>
      </c>
      <c r="C577" s="18" t="s">
        <v>284</v>
      </c>
      <c r="D577" s="18">
        <f t="shared" si="26"/>
        <v>37</v>
      </c>
    </row>
    <row r="578" spans="1:4" x14ac:dyDescent="0.25">
      <c r="A578" s="18">
        <f t="shared" si="24"/>
        <v>29</v>
      </c>
      <c r="B578" s="18">
        <f t="shared" si="25"/>
        <v>16</v>
      </c>
      <c r="C578" s="18" t="s">
        <v>283</v>
      </c>
      <c r="D578" s="18">
        <f t="shared" si="26"/>
        <v>37</v>
      </c>
    </row>
    <row r="579" spans="1:4" x14ac:dyDescent="0.25">
      <c r="A579" s="18">
        <f t="shared" ref="A579:A642" si="27">IF(ISNUMBER(A578),IF(B579&lt;B578,A578+1,A578),1)</f>
        <v>29</v>
      </c>
      <c r="B579" s="18">
        <f t="shared" ref="B579:B642" si="28">IF(ISNUMBER(B578),IF(C578="Press ENTER to resume the program.",1,B578+1),1)</f>
        <v>17</v>
      </c>
      <c r="C579" s="18" t="s">
        <v>282</v>
      </c>
      <c r="D579" s="18">
        <f t="shared" ref="D579:D642" si="29">LEN(C579)</f>
        <v>37</v>
      </c>
    </row>
    <row r="580" spans="1:4" x14ac:dyDescent="0.25">
      <c r="A580" s="18">
        <f t="shared" si="27"/>
        <v>29</v>
      </c>
      <c r="B580" s="18">
        <f t="shared" si="28"/>
        <v>18</v>
      </c>
      <c r="C580" s="18" t="s">
        <v>324</v>
      </c>
      <c r="D580" s="18">
        <f t="shared" si="29"/>
        <v>36</v>
      </c>
    </row>
    <row r="581" spans="1:4" x14ac:dyDescent="0.25">
      <c r="A581" s="18">
        <f t="shared" si="27"/>
        <v>29</v>
      </c>
      <c r="B581" s="18">
        <f t="shared" si="28"/>
        <v>19</v>
      </c>
      <c r="C581" s="18" t="s">
        <v>173</v>
      </c>
      <c r="D581" s="18">
        <f t="shared" si="29"/>
        <v>34</v>
      </c>
    </row>
    <row r="582" spans="1:4" x14ac:dyDescent="0.25">
      <c r="A582" s="18">
        <f t="shared" si="27"/>
        <v>30</v>
      </c>
      <c r="B582" s="18">
        <f t="shared" si="28"/>
        <v>1</v>
      </c>
      <c r="C582" s="18"/>
      <c r="D582" s="18">
        <f t="shared" si="29"/>
        <v>0</v>
      </c>
    </row>
    <row r="583" spans="1:4" x14ac:dyDescent="0.25">
      <c r="A583" s="18">
        <f t="shared" si="27"/>
        <v>30</v>
      </c>
      <c r="B583" s="18">
        <f t="shared" si="28"/>
        <v>2</v>
      </c>
      <c r="C583" s="18" t="s">
        <v>329</v>
      </c>
      <c r="D583" s="18">
        <f t="shared" si="29"/>
        <v>58</v>
      </c>
    </row>
    <row r="584" spans="1:4" x14ac:dyDescent="0.25">
      <c r="A584" s="18">
        <f t="shared" si="27"/>
        <v>30</v>
      </c>
      <c r="B584" s="18">
        <f t="shared" si="28"/>
        <v>3</v>
      </c>
      <c r="C584" s="18"/>
      <c r="D584" s="18">
        <f t="shared" si="29"/>
        <v>0</v>
      </c>
    </row>
    <row r="585" spans="1:4" x14ac:dyDescent="0.25">
      <c r="A585" s="18">
        <f t="shared" si="27"/>
        <v>30</v>
      </c>
      <c r="B585" s="18">
        <f t="shared" si="28"/>
        <v>4</v>
      </c>
      <c r="C585" s="18" t="s">
        <v>321</v>
      </c>
      <c r="D585" s="18">
        <f t="shared" si="29"/>
        <v>29</v>
      </c>
    </row>
    <row r="586" spans="1:4" x14ac:dyDescent="0.25">
      <c r="A586" s="18">
        <f t="shared" si="27"/>
        <v>30</v>
      </c>
      <c r="B586" s="18">
        <f t="shared" si="28"/>
        <v>5</v>
      </c>
      <c r="C586" s="18" t="s">
        <v>322</v>
      </c>
      <c r="D586" s="18">
        <f t="shared" si="29"/>
        <v>28</v>
      </c>
    </row>
    <row r="587" spans="1:4" x14ac:dyDescent="0.25">
      <c r="A587" s="18">
        <f t="shared" si="27"/>
        <v>30</v>
      </c>
      <c r="B587" s="18">
        <f t="shared" si="28"/>
        <v>6</v>
      </c>
      <c r="C587" s="18"/>
      <c r="D587" s="18">
        <f t="shared" si="29"/>
        <v>0</v>
      </c>
    </row>
    <row r="588" spans="1:4" x14ac:dyDescent="0.25">
      <c r="A588" s="18">
        <f t="shared" si="27"/>
        <v>30</v>
      </c>
      <c r="B588" s="18">
        <f t="shared" si="28"/>
        <v>7</v>
      </c>
      <c r="C588" s="18" t="s">
        <v>279</v>
      </c>
      <c r="D588" s="18">
        <f t="shared" si="29"/>
        <v>36</v>
      </c>
    </row>
    <row r="589" spans="1:4" x14ac:dyDescent="0.25">
      <c r="A589" s="18">
        <f t="shared" si="27"/>
        <v>30</v>
      </c>
      <c r="B589" s="18">
        <f t="shared" si="28"/>
        <v>8</v>
      </c>
      <c r="C589" s="18" t="s">
        <v>280</v>
      </c>
      <c r="D589" s="18">
        <f t="shared" si="29"/>
        <v>37</v>
      </c>
    </row>
    <row r="590" spans="1:4" x14ac:dyDescent="0.25">
      <c r="A590" s="18">
        <f t="shared" si="27"/>
        <v>30</v>
      </c>
      <c r="B590" s="18">
        <f t="shared" si="28"/>
        <v>9</v>
      </c>
      <c r="C590" s="18" t="s">
        <v>323</v>
      </c>
      <c r="D590" s="18">
        <f t="shared" si="29"/>
        <v>37</v>
      </c>
    </row>
    <row r="591" spans="1:4" x14ac:dyDescent="0.25">
      <c r="A591" s="18">
        <f t="shared" si="27"/>
        <v>30</v>
      </c>
      <c r="B591" s="18">
        <f t="shared" si="28"/>
        <v>10</v>
      </c>
      <c r="C591" s="18" t="s">
        <v>296</v>
      </c>
      <c r="D591" s="18">
        <f t="shared" si="29"/>
        <v>37</v>
      </c>
    </row>
    <row r="592" spans="1:4" x14ac:dyDescent="0.25">
      <c r="A592" s="18">
        <f t="shared" si="27"/>
        <v>30</v>
      </c>
      <c r="B592" s="18">
        <f t="shared" si="28"/>
        <v>11</v>
      </c>
      <c r="C592" s="18" t="s">
        <v>295</v>
      </c>
      <c r="D592" s="18">
        <f t="shared" si="29"/>
        <v>37</v>
      </c>
    </row>
    <row r="593" spans="1:4" x14ac:dyDescent="0.25">
      <c r="A593" s="18">
        <f t="shared" si="27"/>
        <v>30</v>
      </c>
      <c r="B593" s="18">
        <f t="shared" si="28"/>
        <v>12</v>
      </c>
      <c r="C593" s="18" t="s">
        <v>289</v>
      </c>
      <c r="D593" s="18">
        <f t="shared" si="29"/>
        <v>37</v>
      </c>
    </row>
    <row r="594" spans="1:4" x14ac:dyDescent="0.25">
      <c r="A594" s="18">
        <f t="shared" si="27"/>
        <v>30</v>
      </c>
      <c r="B594" s="18">
        <f t="shared" si="28"/>
        <v>13</v>
      </c>
      <c r="C594" s="18" t="s">
        <v>288</v>
      </c>
      <c r="D594" s="18">
        <f t="shared" si="29"/>
        <v>37</v>
      </c>
    </row>
    <row r="595" spans="1:4" x14ac:dyDescent="0.25">
      <c r="A595" s="18">
        <f t="shared" si="27"/>
        <v>30</v>
      </c>
      <c r="B595" s="18">
        <f t="shared" si="28"/>
        <v>14</v>
      </c>
      <c r="C595" s="18" t="s">
        <v>287</v>
      </c>
      <c r="D595" s="18">
        <f t="shared" si="29"/>
        <v>37</v>
      </c>
    </row>
    <row r="596" spans="1:4" x14ac:dyDescent="0.25">
      <c r="A596" s="18">
        <f t="shared" si="27"/>
        <v>30</v>
      </c>
      <c r="B596" s="18">
        <f t="shared" si="28"/>
        <v>15</v>
      </c>
      <c r="C596" s="18" t="s">
        <v>286</v>
      </c>
      <c r="D596" s="18">
        <f t="shared" si="29"/>
        <v>37</v>
      </c>
    </row>
    <row r="597" spans="1:4" x14ac:dyDescent="0.25">
      <c r="A597" s="18">
        <f t="shared" si="27"/>
        <v>30</v>
      </c>
      <c r="B597" s="18">
        <f t="shared" si="28"/>
        <v>16</v>
      </c>
      <c r="C597" s="18" t="s">
        <v>285</v>
      </c>
      <c r="D597" s="18">
        <f t="shared" si="29"/>
        <v>37</v>
      </c>
    </row>
    <row r="598" spans="1:4" x14ac:dyDescent="0.25">
      <c r="A598" s="18">
        <f t="shared" si="27"/>
        <v>30</v>
      </c>
      <c r="B598" s="18">
        <f t="shared" si="28"/>
        <v>17</v>
      </c>
      <c r="C598" s="18" t="s">
        <v>284</v>
      </c>
      <c r="D598" s="18">
        <f t="shared" si="29"/>
        <v>37</v>
      </c>
    </row>
    <row r="599" spans="1:4" x14ac:dyDescent="0.25">
      <c r="A599" s="18">
        <f t="shared" si="27"/>
        <v>30</v>
      </c>
      <c r="B599" s="18">
        <f t="shared" si="28"/>
        <v>18</v>
      </c>
      <c r="C599" s="18" t="s">
        <v>283</v>
      </c>
      <c r="D599" s="18">
        <f t="shared" si="29"/>
        <v>37</v>
      </c>
    </row>
    <row r="600" spans="1:4" x14ac:dyDescent="0.25">
      <c r="A600" s="18">
        <f t="shared" si="27"/>
        <v>30</v>
      </c>
      <c r="B600" s="18">
        <f t="shared" si="28"/>
        <v>19</v>
      </c>
      <c r="C600" s="18" t="s">
        <v>282</v>
      </c>
      <c r="D600" s="18">
        <f t="shared" si="29"/>
        <v>37</v>
      </c>
    </row>
    <row r="601" spans="1:4" x14ac:dyDescent="0.25">
      <c r="A601" s="18">
        <f t="shared" si="27"/>
        <v>30</v>
      </c>
      <c r="B601" s="18">
        <f t="shared" si="28"/>
        <v>20</v>
      </c>
      <c r="C601" s="18" t="s">
        <v>294</v>
      </c>
      <c r="D601" s="18">
        <f t="shared" si="29"/>
        <v>37</v>
      </c>
    </row>
    <row r="602" spans="1:4" x14ac:dyDescent="0.25">
      <c r="A602" s="18">
        <f t="shared" si="27"/>
        <v>30</v>
      </c>
      <c r="B602" s="18">
        <f t="shared" si="28"/>
        <v>21</v>
      </c>
      <c r="C602" s="18" t="s">
        <v>330</v>
      </c>
      <c r="D602" s="18">
        <f t="shared" si="29"/>
        <v>36</v>
      </c>
    </row>
    <row r="603" spans="1:4" x14ac:dyDescent="0.25">
      <c r="A603" s="18">
        <f t="shared" si="27"/>
        <v>30</v>
      </c>
      <c r="B603" s="18">
        <f t="shared" si="28"/>
        <v>22</v>
      </c>
      <c r="C603" s="18" t="s">
        <v>173</v>
      </c>
      <c r="D603" s="18">
        <f t="shared" si="29"/>
        <v>34</v>
      </c>
    </row>
    <row r="604" spans="1:4" x14ac:dyDescent="0.25">
      <c r="A604" s="18">
        <f t="shared" si="27"/>
        <v>31</v>
      </c>
      <c r="B604" s="18">
        <f t="shared" si="28"/>
        <v>1</v>
      </c>
      <c r="C604" s="18"/>
      <c r="D604" s="18">
        <f t="shared" si="29"/>
        <v>0</v>
      </c>
    </row>
    <row r="605" spans="1:4" x14ac:dyDescent="0.25">
      <c r="A605" s="18">
        <f t="shared" si="27"/>
        <v>31</v>
      </c>
      <c r="B605" s="18">
        <f t="shared" si="28"/>
        <v>2</v>
      </c>
      <c r="C605" s="18" t="s">
        <v>329</v>
      </c>
      <c r="D605" s="18">
        <f t="shared" si="29"/>
        <v>58</v>
      </c>
    </row>
    <row r="606" spans="1:4" x14ac:dyDescent="0.25">
      <c r="A606" s="18">
        <f t="shared" si="27"/>
        <v>31</v>
      </c>
      <c r="B606" s="18">
        <f t="shared" si="28"/>
        <v>3</v>
      </c>
      <c r="C606" s="18"/>
      <c r="D606" s="18">
        <f t="shared" si="29"/>
        <v>0</v>
      </c>
    </row>
    <row r="607" spans="1:4" x14ac:dyDescent="0.25">
      <c r="A607" s="18">
        <f t="shared" si="27"/>
        <v>31</v>
      </c>
      <c r="B607" s="18">
        <f t="shared" si="28"/>
        <v>4</v>
      </c>
      <c r="C607" s="18" t="s">
        <v>325</v>
      </c>
      <c r="D607" s="18">
        <f t="shared" si="29"/>
        <v>28</v>
      </c>
    </row>
    <row r="608" spans="1:4" x14ac:dyDescent="0.25">
      <c r="A608" s="18">
        <f t="shared" si="27"/>
        <v>31</v>
      </c>
      <c r="B608" s="18">
        <f t="shared" si="28"/>
        <v>5</v>
      </c>
      <c r="C608" s="18" t="s">
        <v>326</v>
      </c>
      <c r="D608" s="18">
        <f t="shared" si="29"/>
        <v>30</v>
      </c>
    </row>
    <row r="609" spans="1:4" x14ac:dyDescent="0.25">
      <c r="A609" s="18">
        <f t="shared" si="27"/>
        <v>31</v>
      </c>
      <c r="B609" s="18">
        <f t="shared" si="28"/>
        <v>6</v>
      </c>
      <c r="C609" s="18"/>
      <c r="D609" s="18">
        <f t="shared" si="29"/>
        <v>0</v>
      </c>
    </row>
    <row r="610" spans="1:4" x14ac:dyDescent="0.25">
      <c r="A610" s="18">
        <f t="shared" si="27"/>
        <v>31</v>
      </c>
      <c r="B610" s="18">
        <f t="shared" si="28"/>
        <v>7</v>
      </c>
      <c r="C610" s="18" t="s">
        <v>279</v>
      </c>
      <c r="D610" s="18">
        <f t="shared" si="29"/>
        <v>36</v>
      </c>
    </row>
    <row r="611" spans="1:4" x14ac:dyDescent="0.25">
      <c r="A611" s="18">
        <f t="shared" si="27"/>
        <v>31</v>
      </c>
      <c r="B611" s="18">
        <f t="shared" si="28"/>
        <v>8</v>
      </c>
      <c r="C611" s="18" t="s">
        <v>280</v>
      </c>
      <c r="D611" s="18">
        <f t="shared" si="29"/>
        <v>37</v>
      </c>
    </row>
    <row r="612" spans="1:4" x14ac:dyDescent="0.25">
      <c r="A612" s="18">
        <f t="shared" si="27"/>
        <v>31</v>
      </c>
      <c r="B612" s="18">
        <f t="shared" si="28"/>
        <v>9</v>
      </c>
      <c r="C612" s="18" t="s">
        <v>327</v>
      </c>
      <c r="D612" s="18">
        <f t="shared" si="29"/>
        <v>37</v>
      </c>
    </row>
    <row r="613" spans="1:4" x14ac:dyDescent="0.25">
      <c r="A613" s="18">
        <f t="shared" si="27"/>
        <v>31</v>
      </c>
      <c r="B613" s="18">
        <f t="shared" si="28"/>
        <v>10</v>
      </c>
      <c r="C613" s="18" t="s">
        <v>284</v>
      </c>
      <c r="D613" s="18">
        <f t="shared" si="29"/>
        <v>37</v>
      </c>
    </row>
    <row r="614" spans="1:4" x14ac:dyDescent="0.25">
      <c r="A614" s="18">
        <f t="shared" si="27"/>
        <v>31</v>
      </c>
      <c r="B614" s="18">
        <f t="shared" si="28"/>
        <v>11</v>
      </c>
      <c r="C614" s="18" t="s">
        <v>283</v>
      </c>
      <c r="D614" s="18">
        <f t="shared" si="29"/>
        <v>37</v>
      </c>
    </row>
    <row r="615" spans="1:4" x14ac:dyDescent="0.25">
      <c r="A615" s="18">
        <f t="shared" si="27"/>
        <v>31</v>
      </c>
      <c r="B615" s="18">
        <f t="shared" si="28"/>
        <v>12</v>
      </c>
      <c r="C615" s="18" t="s">
        <v>282</v>
      </c>
      <c r="D615" s="18">
        <f t="shared" si="29"/>
        <v>37</v>
      </c>
    </row>
    <row r="616" spans="1:4" x14ac:dyDescent="0.25">
      <c r="A616" s="18">
        <f t="shared" si="27"/>
        <v>31</v>
      </c>
      <c r="B616" s="18">
        <f t="shared" si="28"/>
        <v>13</v>
      </c>
      <c r="C616" s="18" t="s">
        <v>294</v>
      </c>
      <c r="D616" s="18">
        <f t="shared" si="29"/>
        <v>37</v>
      </c>
    </row>
    <row r="617" spans="1:4" x14ac:dyDescent="0.25">
      <c r="A617" s="18">
        <f t="shared" si="27"/>
        <v>31</v>
      </c>
      <c r="B617" s="18">
        <f t="shared" si="28"/>
        <v>14</v>
      </c>
      <c r="C617" s="18" t="s">
        <v>310</v>
      </c>
      <c r="D617" s="18">
        <f t="shared" si="29"/>
        <v>37</v>
      </c>
    </row>
    <row r="618" spans="1:4" x14ac:dyDescent="0.25">
      <c r="A618" s="18">
        <f t="shared" si="27"/>
        <v>31</v>
      </c>
      <c r="B618" s="18">
        <f t="shared" si="28"/>
        <v>15</v>
      </c>
      <c r="C618" s="18" t="s">
        <v>309</v>
      </c>
      <c r="D618" s="18">
        <f t="shared" si="29"/>
        <v>37</v>
      </c>
    </row>
    <row r="619" spans="1:4" x14ac:dyDescent="0.25">
      <c r="A619" s="18">
        <f t="shared" si="27"/>
        <v>31</v>
      </c>
      <c r="B619" s="18">
        <f t="shared" si="28"/>
        <v>16</v>
      </c>
      <c r="C619" s="18" t="s">
        <v>308</v>
      </c>
      <c r="D619" s="18">
        <f t="shared" si="29"/>
        <v>37</v>
      </c>
    </row>
    <row r="620" spans="1:4" x14ac:dyDescent="0.25">
      <c r="A620" s="18">
        <f t="shared" si="27"/>
        <v>31</v>
      </c>
      <c r="B620" s="18">
        <f t="shared" si="28"/>
        <v>17</v>
      </c>
      <c r="C620" s="18" t="s">
        <v>307</v>
      </c>
      <c r="D620" s="18">
        <f t="shared" si="29"/>
        <v>37</v>
      </c>
    </row>
    <row r="621" spans="1:4" x14ac:dyDescent="0.25">
      <c r="A621" s="18">
        <f t="shared" si="27"/>
        <v>31</v>
      </c>
      <c r="B621" s="18">
        <f t="shared" si="28"/>
        <v>18</v>
      </c>
      <c r="C621" s="18" t="s">
        <v>306</v>
      </c>
      <c r="D621" s="18">
        <f t="shared" si="29"/>
        <v>37</v>
      </c>
    </row>
    <row r="622" spans="1:4" x14ac:dyDescent="0.25">
      <c r="A622" s="18">
        <f t="shared" si="27"/>
        <v>31</v>
      </c>
      <c r="B622" s="18">
        <f t="shared" si="28"/>
        <v>19</v>
      </c>
      <c r="C622" s="18" t="s">
        <v>305</v>
      </c>
      <c r="D622" s="18">
        <f t="shared" si="29"/>
        <v>37</v>
      </c>
    </row>
    <row r="623" spans="1:4" x14ac:dyDescent="0.25">
      <c r="A623" s="18">
        <f t="shared" si="27"/>
        <v>31</v>
      </c>
      <c r="B623" s="18">
        <f t="shared" si="28"/>
        <v>20</v>
      </c>
      <c r="C623" s="18" t="s">
        <v>304</v>
      </c>
      <c r="D623" s="18">
        <f t="shared" si="29"/>
        <v>37</v>
      </c>
    </row>
    <row r="624" spans="1:4" x14ac:dyDescent="0.25">
      <c r="A624" s="18">
        <f t="shared" si="27"/>
        <v>31</v>
      </c>
      <c r="B624" s="18">
        <f t="shared" si="28"/>
        <v>21</v>
      </c>
      <c r="C624" s="18" t="s">
        <v>303</v>
      </c>
      <c r="D624" s="18">
        <f t="shared" si="29"/>
        <v>37</v>
      </c>
    </row>
    <row r="625" spans="1:4" x14ac:dyDescent="0.25">
      <c r="A625" s="18">
        <f t="shared" si="27"/>
        <v>31</v>
      </c>
      <c r="B625" s="18">
        <f t="shared" si="28"/>
        <v>22</v>
      </c>
      <c r="C625" s="18" t="s">
        <v>302</v>
      </c>
      <c r="D625" s="18">
        <f t="shared" si="29"/>
        <v>37</v>
      </c>
    </row>
    <row r="626" spans="1:4" x14ac:dyDescent="0.25">
      <c r="A626" s="18">
        <f t="shared" si="27"/>
        <v>31</v>
      </c>
      <c r="B626" s="18">
        <f t="shared" si="28"/>
        <v>23</v>
      </c>
      <c r="C626" s="18" t="s">
        <v>301</v>
      </c>
      <c r="D626" s="18">
        <f t="shared" si="29"/>
        <v>37</v>
      </c>
    </row>
    <row r="627" spans="1:4" x14ac:dyDescent="0.25">
      <c r="A627" s="18">
        <f t="shared" si="27"/>
        <v>31</v>
      </c>
      <c r="B627" s="18">
        <f t="shared" si="28"/>
        <v>24</v>
      </c>
      <c r="C627" s="18" t="s">
        <v>331</v>
      </c>
      <c r="D627" s="18">
        <f t="shared" si="29"/>
        <v>36</v>
      </c>
    </row>
    <row r="628" spans="1:4" x14ac:dyDescent="0.25">
      <c r="A628" s="18">
        <f t="shared" si="27"/>
        <v>31</v>
      </c>
      <c r="B628" s="18">
        <f t="shared" si="28"/>
        <v>25</v>
      </c>
      <c r="C628" s="18" t="s">
        <v>173</v>
      </c>
      <c r="D628" s="18">
        <f t="shared" si="29"/>
        <v>34</v>
      </c>
    </row>
    <row r="629" spans="1:4" x14ac:dyDescent="0.25">
      <c r="A629" s="18">
        <f t="shared" si="27"/>
        <v>32</v>
      </c>
      <c r="B629" s="18">
        <f t="shared" si="28"/>
        <v>1</v>
      </c>
      <c r="C629" s="18"/>
      <c r="D629" s="18">
        <f t="shared" si="29"/>
        <v>0</v>
      </c>
    </row>
    <row r="630" spans="1:4" x14ac:dyDescent="0.25">
      <c r="A630" s="18">
        <f t="shared" si="27"/>
        <v>32</v>
      </c>
      <c r="B630" s="18">
        <f t="shared" si="28"/>
        <v>2</v>
      </c>
      <c r="C630" s="18" t="s">
        <v>332</v>
      </c>
      <c r="D630" s="18">
        <f t="shared" si="29"/>
        <v>42</v>
      </c>
    </row>
    <row r="631" spans="1:4" x14ac:dyDescent="0.25">
      <c r="A631" s="18">
        <f t="shared" si="27"/>
        <v>32</v>
      </c>
      <c r="B631" s="18">
        <f t="shared" si="28"/>
        <v>3</v>
      </c>
      <c r="C631" s="18"/>
      <c r="D631" s="18">
        <f t="shared" si="29"/>
        <v>0</v>
      </c>
    </row>
    <row r="632" spans="1:4" x14ac:dyDescent="0.25">
      <c r="A632" s="18">
        <f t="shared" si="27"/>
        <v>32</v>
      </c>
      <c r="B632" s="18">
        <f t="shared" si="28"/>
        <v>4</v>
      </c>
      <c r="C632" s="18" t="s">
        <v>277</v>
      </c>
      <c r="D632" s="18">
        <f t="shared" si="29"/>
        <v>28</v>
      </c>
    </row>
    <row r="633" spans="1:4" x14ac:dyDescent="0.25">
      <c r="A633" s="18">
        <f t="shared" si="27"/>
        <v>32</v>
      </c>
      <c r="B633" s="18">
        <f t="shared" si="28"/>
        <v>5</v>
      </c>
      <c r="C633" s="18" t="s">
        <v>278</v>
      </c>
      <c r="D633" s="18">
        <f t="shared" si="29"/>
        <v>29</v>
      </c>
    </row>
    <row r="634" spans="1:4" x14ac:dyDescent="0.25">
      <c r="A634" s="18">
        <f t="shared" si="27"/>
        <v>32</v>
      </c>
      <c r="B634" s="18">
        <f t="shared" si="28"/>
        <v>6</v>
      </c>
      <c r="C634" s="18"/>
      <c r="D634" s="18">
        <f t="shared" si="29"/>
        <v>0</v>
      </c>
    </row>
    <row r="635" spans="1:4" x14ac:dyDescent="0.25">
      <c r="A635" s="18">
        <f t="shared" si="27"/>
        <v>32</v>
      </c>
      <c r="B635" s="18">
        <f t="shared" si="28"/>
        <v>7</v>
      </c>
      <c r="C635" s="18" t="s">
        <v>279</v>
      </c>
      <c r="D635" s="18">
        <f t="shared" si="29"/>
        <v>36</v>
      </c>
    </row>
    <row r="636" spans="1:4" x14ac:dyDescent="0.25">
      <c r="A636" s="18">
        <f t="shared" si="27"/>
        <v>32</v>
      </c>
      <c r="B636" s="18">
        <f t="shared" si="28"/>
        <v>8</v>
      </c>
      <c r="C636" s="18" t="s">
        <v>280</v>
      </c>
      <c r="D636" s="18">
        <f t="shared" si="29"/>
        <v>37</v>
      </c>
    </row>
    <row r="637" spans="1:4" x14ac:dyDescent="0.25">
      <c r="A637" s="18">
        <f t="shared" si="27"/>
        <v>32</v>
      </c>
      <c r="B637" s="18">
        <f t="shared" si="28"/>
        <v>9</v>
      </c>
      <c r="C637" s="18" t="s">
        <v>281</v>
      </c>
      <c r="D637" s="18">
        <f t="shared" si="29"/>
        <v>37</v>
      </c>
    </row>
    <row r="638" spans="1:4" x14ac:dyDescent="0.25">
      <c r="A638" s="18">
        <f t="shared" si="27"/>
        <v>32</v>
      </c>
      <c r="B638" s="18">
        <f t="shared" si="28"/>
        <v>10</v>
      </c>
      <c r="C638" s="18" t="s">
        <v>290</v>
      </c>
      <c r="D638" s="18">
        <f t="shared" si="29"/>
        <v>36</v>
      </c>
    </row>
    <row r="639" spans="1:4" x14ac:dyDescent="0.25">
      <c r="A639" s="18">
        <f t="shared" si="27"/>
        <v>32</v>
      </c>
      <c r="B639" s="18">
        <f t="shared" si="28"/>
        <v>11</v>
      </c>
      <c r="C639" s="18" t="s">
        <v>173</v>
      </c>
      <c r="D639" s="18">
        <f t="shared" si="29"/>
        <v>34</v>
      </c>
    </row>
    <row r="640" spans="1:4" x14ac:dyDescent="0.25">
      <c r="A640" s="18">
        <f t="shared" si="27"/>
        <v>33</v>
      </c>
      <c r="B640" s="18">
        <f t="shared" si="28"/>
        <v>1</v>
      </c>
      <c r="C640" s="18"/>
      <c r="D640" s="18">
        <f t="shared" si="29"/>
        <v>0</v>
      </c>
    </row>
    <row r="641" spans="1:4" x14ac:dyDescent="0.25">
      <c r="A641" s="18">
        <f t="shared" si="27"/>
        <v>33</v>
      </c>
      <c r="B641" s="18">
        <f t="shared" si="28"/>
        <v>2</v>
      </c>
      <c r="C641" s="18" t="s">
        <v>332</v>
      </c>
      <c r="D641" s="18">
        <f t="shared" si="29"/>
        <v>42</v>
      </c>
    </row>
    <row r="642" spans="1:4" x14ac:dyDescent="0.25">
      <c r="A642" s="18">
        <f t="shared" si="27"/>
        <v>33</v>
      </c>
      <c r="B642" s="18">
        <f t="shared" si="28"/>
        <v>3</v>
      </c>
      <c r="C642" s="18"/>
      <c r="D642" s="18">
        <f t="shared" si="29"/>
        <v>0</v>
      </c>
    </row>
    <row r="643" spans="1:4" x14ac:dyDescent="0.25">
      <c r="A643" s="18">
        <f t="shared" ref="A643:A706" si="30">IF(ISNUMBER(A642),IF(B643&lt;B642,A642+1,A642),1)</f>
        <v>33</v>
      </c>
      <c r="B643" s="18">
        <f t="shared" ref="B643:B706" si="31">IF(ISNUMBER(B642),IF(C642="Press ENTER to resume the program.",1,B642+1),1)</f>
        <v>4</v>
      </c>
      <c r="C643" s="18" t="s">
        <v>291</v>
      </c>
      <c r="D643" s="18">
        <f t="shared" ref="D643:D706" si="32">LEN(C643)</f>
        <v>28</v>
      </c>
    </row>
    <row r="644" spans="1:4" x14ac:dyDescent="0.25">
      <c r="A644" s="18">
        <f t="shared" si="30"/>
        <v>33</v>
      </c>
      <c r="B644" s="18">
        <f t="shared" si="31"/>
        <v>5</v>
      </c>
      <c r="C644" s="18" t="s">
        <v>292</v>
      </c>
      <c r="D644" s="18">
        <f t="shared" si="32"/>
        <v>29</v>
      </c>
    </row>
    <row r="645" spans="1:4" x14ac:dyDescent="0.25">
      <c r="A645" s="18">
        <f t="shared" si="30"/>
        <v>33</v>
      </c>
      <c r="B645" s="18">
        <f t="shared" si="31"/>
        <v>6</v>
      </c>
      <c r="C645" s="18"/>
      <c r="D645" s="18">
        <f t="shared" si="32"/>
        <v>0</v>
      </c>
    </row>
    <row r="646" spans="1:4" x14ac:dyDescent="0.25">
      <c r="A646" s="18">
        <f t="shared" si="30"/>
        <v>33</v>
      </c>
      <c r="B646" s="18">
        <f t="shared" si="31"/>
        <v>7</v>
      </c>
      <c r="C646" s="18" t="s">
        <v>279</v>
      </c>
      <c r="D646" s="18">
        <f t="shared" si="32"/>
        <v>36</v>
      </c>
    </row>
    <row r="647" spans="1:4" x14ac:dyDescent="0.25">
      <c r="A647" s="18">
        <f t="shared" si="30"/>
        <v>33</v>
      </c>
      <c r="B647" s="18">
        <f t="shared" si="31"/>
        <v>8</v>
      </c>
      <c r="C647" s="18" t="s">
        <v>280</v>
      </c>
      <c r="D647" s="18">
        <f t="shared" si="32"/>
        <v>37</v>
      </c>
    </row>
    <row r="648" spans="1:4" x14ac:dyDescent="0.25">
      <c r="A648" s="18">
        <f t="shared" si="30"/>
        <v>33</v>
      </c>
      <c r="B648" s="18">
        <f t="shared" si="31"/>
        <v>9</v>
      </c>
      <c r="C648" s="18" t="s">
        <v>293</v>
      </c>
      <c r="D648" s="18">
        <f t="shared" si="32"/>
        <v>37</v>
      </c>
    </row>
    <row r="649" spans="1:4" x14ac:dyDescent="0.25">
      <c r="A649" s="18">
        <f t="shared" si="30"/>
        <v>33</v>
      </c>
      <c r="B649" s="18">
        <f t="shared" si="31"/>
        <v>10</v>
      </c>
      <c r="C649" s="18" t="s">
        <v>297</v>
      </c>
      <c r="D649" s="18">
        <f t="shared" si="32"/>
        <v>36</v>
      </c>
    </row>
    <row r="650" spans="1:4" x14ac:dyDescent="0.25">
      <c r="A650" s="18">
        <f t="shared" si="30"/>
        <v>33</v>
      </c>
      <c r="B650" s="18">
        <f t="shared" si="31"/>
        <v>11</v>
      </c>
      <c r="C650" s="18" t="s">
        <v>173</v>
      </c>
      <c r="D650" s="18">
        <f t="shared" si="32"/>
        <v>34</v>
      </c>
    </row>
    <row r="651" spans="1:4" x14ac:dyDescent="0.25">
      <c r="A651" s="18">
        <f t="shared" si="30"/>
        <v>34</v>
      </c>
      <c r="B651" s="18">
        <f t="shared" si="31"/>
        <v>1</v>
      </c>
      <c r="C651" s="18"/>
      <c r="D651" s="18">
        <f t="shared" si="32"/>
        <v>0</v>
      </c>
    </row>
    <row r="652" spans="1:4" x14ac:dyDescent="0.25">
      <c r="A652" s="18">
        <f t="shared" si="30"/>
        <v>34</v>
      </c>
      <c r="B652" s="18">
        <f t="shared" si="31"/>
        <v>2</v>
      </c>
      <c r="C652" s="18" t="s">
        <v>332</v>
      </c>
      <c r="D652" s="18">
        <f t="shared" si="32"/>
        <v>42</v>
      </c>
    </row>
    <row r="653" spans="1:4" x14ac:dyDescent="0.25">
      <c r="A653" s="18">
        <f t="shared" si="30"/>
        <v>34</v>
      </c>
      <c r="B653" s="18">
        <f t="shared" si="31"/>
        <v>3</v>
      </c>
      <c r="C653" s="18"/>
      <c r="D653" s="18">
        <f t="shared" si="32"/>
        <v>0</v>
      </c>
    </row>
    <row r="654" spans="1:4" x14ac:dyDescent="0.25">
      <c r="A654" s="18">
        <f t="shared" si="30"/>
        <v>34</v>
      </c>
      <c r="B654" s="18">
        <f t="shared" si="31"/>
        <v>4</v>
      </c>
      <c r="C654" s="18" t="s">
        <v>298</v>
      </c>
      <c r="D654" s="18">
        <f t="shared" si="32"/>
        <v>30</v>
      </c>
    </row>
    <row r="655" spans="1:4" x14ac:dyDescent="0.25">
      <c r="A655" s="18">
        <f t="shared" si="30"/>
        <v>34</v>
      </c>
      <c r="B655" s="18">
        <f t="shared" si="31"/>
        <v>5</v>
      </c>
      <c r="C655" s="18" t="s">
        <v>299</v>
      </c>
      <c r="D655" s="18">
        <f t="shared" si="32"/>
        <v>28</v>
      </c>
    </row>
    <row r="656" spans="1:4" x14ac:dyDescent="0.25">
      <c r="A656" s="18">
        <f t="shared" si="30"/>
        <v>34</v>
      </c>
      <c r="B656" s="18">
        <f t="shared" si="31"/>
        <v>6</v>
      </c>
      <c r="C656" s="18"/>
      <c r="D656" s="18">
        <f t="shared" si="32"/>
        <v>0</v>
      </c>
    </row>
    <row r="657" spans="1:4" x14ac:dyDescent="0.25">
      <c r="A657" s="18">
        <f t="shared" si="30"/>
        <v>34</v>
      </c>
      <c r="B657" s="18">
        <f t="shared" si="31"/>
        <v>7</v>
      </c>
      <c r="C657" s="18" t="s">
        <v>279</v>
      </c>
      <c r="D657" s="18">
        <f t="shared" si="32"/>
        <v>36</v>
      </c>
    </row>
    <row r="658" spans="1:4" x14ac:dyDescent="0.25">
      <c r="A658" s="18">
        <f t="shared" si="30"/>
        <v>34</v>
      </c>
      <c r="B658" s="18">
        <f t="shared" si="31"/>
        <v>8</v>
      </c>
      <c r="C658" s="18" t="s">
        <v>280</v>
      </c>
      <c r="D658" s="18">
        <f t="shared" si="32"/>
        <v>37</v>
      </c>
    </row>
    <row r="659" spans="1:4" x14ac:dyDescent="0.25">
      <c r="A659" s="18">
        <f t="shared" si="30"/>
        <v>34</v>
      </c>
      <c r="B659" s="18">
        <f t="shared" si="31"/>
        <v>9</v>
      </c>
      <c r="C659" s="18" t="s">
        <v>300</v>
      </c>
      <c r="D659" s="18">
        <f t="shared" si="32"/>
        <v>37</v>
      </c>
    </row>
    <row r="660" spans="1:4" x14ac:dyDescent="0.25">
      <c r="A660" s="18">
        <f t="shared" si="30"/>
        <v>34</v>
      </c>
      <c r="B660" s="18">
        <f t="shared" si="31"/>
        <v>10</v>
      </c>
      <c r="C660" s="18" t="s">
        <v>311</v>
      </c>
      <c r="D660" s="18">
        <f t="shared" si="32"/>
        <v>36</v>
      </c>
    </row>
    <row r="661" spans="1:4" x14ac:dyDescent="0.25">
      <c r="A661" s="18">
        <f t="shared" si="30"/>
        <v>34</v>
      </c>
      <c r="B661" s="18">
        <f t="shared" si="31"/>
        <v>11</v>
      </c>
      <c r="C661" s="18" t="s">
        <v>173</v>
      </c>
      <c r="D661" s="18">
        <f t="shared" si="32"/>
        <v>34</v>
      </c>
    </row>
    <row r="662" spans="1:4" x14ac:dyDescent="0.25">
      <c r="A662" s="18">
        <f t="shared" si="30"/>
        <v>35</v>
      </c>
      <c r="B662" s="18">
        <f t="shared" si="31"/>
        <v>1</v>
      </c>
      <c r="C662" s="18"/>
      <c r="D662" s="18">
        <f t="shared" si="32"/>
        <v>0</v>
      </c>
    </row>
    <row r="663" spans="1:4" x14ac:dyDescent="0.25">
      <c r="A663" s="18">
        <f t="shared" si="30"/>
        <v>35</v>
      </c>
      <c r="B663" s="18">
        <f t="shared" si="31"/>
        <v>2</v>
      </c>
      <c r="C663" s="18" t="s">
        <v>333</v>
      </c>
      <c r="D663" s="18">
        <f t="shared" si="32"/>
        <v>37</v>
      </c>
    </row>
    <row r="664" spans="1:4" x14ac:dyDescent="0.25">
      <c r="A664" s="18">
        <f t="shared" si="30"/>
        <v>35</v>
      </c>
      <c r="B664" s="18">
        <f t="shared" si="31"/>
        <v>3</v>
      </c>
      <c r="C664" s="18" t="s">
        <v>173</v>
      </c>
      <c r="D664" s="18">
        <f t="shared" si="32"/>
        <v>34</v>
      </c>
    </row>
    <row r="665" spans="1:4" x14ac:dyDescent="0.25">
      <c r="A665" s="18">
        <f t="shared" si="30"/>
        <v>36</v>
      </c>
      <c r="B665" s="18">
        <f t="shared" si="31"/>
        <v>1</v>
      </c>
      <c r="C665" s="18"/>
      <c r="D665" s="18">
        <f t="shared" si="32"/>
        <v>0</v>
      </c>
    </row>
    <row r="666" spans="1:4" x14ac:dyDescent="0.25">
      <c r="A666" s="18">
        <f t="shared" si="30"/>
        <v>36</v>
      </c>
      <c r="B666" s="18">
        <f t="shared" si="31"/>
        <v>2</v>
      </c>
      <c r="C666" s="18" t="s">
        <v>432</v>
      </c>
      <c r="D666" s="18">
        <f t="shared" si="32"/>
        <v>80</v>
      </c>
    </row>
    <row r="667" spans="1:4" x14ac:dyDescent="0.25">
      <c r="A667" s="18">
        <f t="shared" si="30"/>
        <v>36</v>
      </c>
      <c r="B667" s="18">
        <f t="shared" si="31"/>
        <v>3</v>
      </c>
      <c r="C667" s="18">
        <v>42176.509074074071</v>
      </c>
      <c r="D667" s="18">
        <f t="shared" si="32"/>
        <v>16</v>
      </c>
    </row>
    <row r="668" spans="1:4" x14ac:dyDescent="0.25">
      <c r="A668" s="18">
        <f t="shared" si="30"/>
        <v>36</v>
      </c>
      <c r="B668" s="18">
        <f t="shared" si="31"/>
        <v>4</v>
      </c>
      <c r="C668" s="18" t="s">
        <v>432</v>
      </c>
      <c r="D668" s="18">
        <f t="shared" si="32"/>
        <v>80</v>
      </c>
    </row>
    <row r="669" spans="1:4" x14ac:dyDescent="0.25">
      <c r="A669" s="18">
        <f t="shared" si="30"/>
        <v>36</v>
      </c>
      <c r="B669" s="18">
        <f t="shared" si="31"/>
        <v>5</v>
      </c>
      <c r="C669" s="18" t="s">
        <v>433</v>
      </c>
      <c r="D669" s="18">
        <f t="shared" si="32"/>
        <v>48</v>
      </c>
    </row>
    <row r="670" spans="1:4" x14ac:dyDescent="0.25">
      <c r="A670" s="18">
        <f t="shared" si="30"/>
        <v>36</v>
      </c>
      <c r="B670" s="18">
        <f t="shared" si="31"/>
        <v>6</v>
      </c>
      <c r="C670" s="18" t="s">
        <v>434</v>
      </c>
      <c r="D670" s="18">
        <f t="shared" si="32"/>
        <v>53</v>
      </c>
    </row>
    <row r="671" spans="1:4" x14ac:dyDescent="0.25">
      <c r="A671" s="18">
        <f t="shared" si="30"/>
        <v>36</v>
      </c>
      <c r="B671" s="18">
        <f t="shared" si="31"/>
        <v>7</v>
      </c>
      <c r="C671" s="18"/>
      <c r="D671" s="18">
        <f t="shared" si="32"/>
        <v>0</v>
      </c>
    </row>
    <row r="672" spans="1:4" x14ac:dyDescent="0.25">
      <c r="A672" s="18">
        <f t="shared" si="30"/>
        <v>36</v>
      </c>
      <c r="B672" s="18">
        <f t="shared" si="31"/>
        <v>8</v>
      </c>
      <c r="C672" s="18" t="s">
        <v>435</v>
      </c>
      <c r="D672" s="18">
        <f t="shared" si="32"/>
        <v>80</v>
      </c>
    </row>
    <row r="673" spans="1:4" x14ac:dyDescent="0.25">
      <c r="A673" s="18">
        <f t="shared" si="30"/>
        <v>36</v>
      </c>
      <c r="B673" s="18">
        <f t="shared" si="31"/>
        <v>9</v>
      </c>
      <c r="C673" s="18" t="s">
        <v>436</v>
      </c>
      <c r="D673" s="18">
        <f t="shared" si="32"/>
        <v>80</v>
      </c>
    </row>
    <row r="674" spans="1:4" x14ac:dyDescent="0.25">
      <c r="A674" s="18">
        <f t="shared" si="30"/>
        <v>36</v>
      </c>
      <c r="B674" s="18">
        <f t="shared" si="31"/>
        <v>10</v>
      </c>
      <c r="C674" s="18" t="s">
        <v>437</v>
      </c>
      <c r="D674" s="18">
        <f t="shared" si="32"/>
        <v>49</v>
      </c>
    </row>
    <row r="675" spans="1:4" x14ac:dyDescent="0.25">
      <c r="A675" s="18">
        <f t="shared" si="30"/>
        <v>36</v>
      </c>
      <c r="B675" s="18">
        <f t="shared" si="31"/>
        <v>11</v>
      </c>
      <c r="C675" s="18"/>
      <c r="D675" s="18">
        <f t="shared" si="32"/>
        <v>0</v>
      </c>
    </row>
    <row r="676" spans="1:4" x14ac:dyDescent="0.25">
      <c r="A676" s="18">
        <f t="shared" si="30"/>
        <v>36</v>
      </c>
      <c r="B676" s="18">
        <f t="shared" si="31"/>
        <v>12</v>
      </c>
      <c r="C676" s="18" t="s">
        <v>336</v>
      </c>
      <c r="D676" s="18">
        <f t="shared" si="32"/>
        <v>72</v>
      </c>
    </row>
    <row r="677" spans="1:4" x14ac:dyDescent="0.25">
      <c r="A677" s="18">
        <f t="shared" si="30"/>
        <v>36</v>
      </c>
      <c r="B677" s="18">
        <f t="shared" si="31"/>
        <v>13</v>
      </c>
      <c r="C677" s="18"/>
      <c r="D677" s="18">
        <f t="shared" si="32"/>
        <v>0</v>
      </c>
    </row>
    <row r="678" spans="1:4" x14ac:dyDescent="0.25">
      <c r="A678" s="18">
        <f t="shared" si="30"/>
        <v>36</v>
      </c>
      <c r="B678" s="18">
        <f t="shared" si="31"/>
        <v>14</v>
      </c>
      <c r="C678" s="18"/>
      <c r="D678" s="18">
        <f t="shared" si="32"/>
        <v>0</v>
      </c>
    </row>
    <row r="679" spans="1:4" x14ac:dyDescent="0.25">
      <c r="A679" s="18">
        <f t="shared" si="30"/>
        <v>36</v>
      </c>
      <c r="B679" s="18">
        <f t="shared" si="31"/>
        <v>15</v>
      </c>
      <c r="C679" s="18" t="s">
        <v>337</v>
      </c>
      <c r="D679" s="18">
        <f t="shared" si="32"/>
        <v>66</v>
      </c>
    </row>
    <row r="680" spans="1:4" x14ac:dyDescent="0.25">
      <c r="A680" s="18">
        <f t="shared" si="30"/>
        <v>36</v>
      </c>
      <c r="B680" s="18">
        <f t="shared" si="31"/>
        <v>16</v>
      </c>
      <c r="C680" s="18"/>
      <c r="D680" s="18">
        <f t="shared" si="32"/>
        <v>0</v>
      </c>
    </row>
    <row r="681" spans="1:4" x14ac:dyDescent="0.25">
      <c r="A681" s="18">
        <f t="shared" si="30"/>
        <v>36</v>
      </c>
      <c r="B681" s="18">
        <f t="shared" si="31"/>
        <v>17</v>
      </c>
      <c r="C681" s="18"/>
      <c r="D681" s="18">
        <f t="shared" si="32"/>
        <v>0</v>
      </c>
    </row>
    <row r="682" spans="1:4" x14ac:dyDescent="0.25">
      <c r="A682" s="18">
        <f t="shared" si="30"/>
        <v>36</v>
      </c>
      <c r="B682" s="18">
        <f t="shared" si="31"/>
        <v>18</v>
      </c>
      <c r="C682" s="18" t="s">
        <v>438</v>
      </c>
      <c r="D682" s="18">
        <f t="shared" si="32"/>
        <v>79</v>
      </c>
    </row>
    <row r="683" spans="1:4" x14ac:dyDescent="0.25">
      <c r="A683" s="18">
        <f t="shared" si="30"/>
        <v>36</v>
      </c>
      <c r="B683" s="18">
        <f t="shared" si="31"/>
        <v>19</v>
      </c>
      <c r="C683" s="18" t="s">
        <v>439</v>
      </c>
      <c r="D683" s="18">
        <f t="shared" si="32"/>
        <v>10</v>
      </c>
    </row>
    <row r="684" spans="1:4" x14ac:dyDescent="0.25">
      <c r="A684" s="18">
        <f t="shared" si="30"/>
        <v>36</v>
      </c>
      <c r="B684" s="18">
        <f t="shared" si="31"/>
        <v>20</v>
      </c>
      <c r="C684" s="18"/>
      <c r="D684" s="18">
        <f t="shared" si="32"/>
        <v>0</v>
      </c>
    </row>
    <row r="685" spans="1:4" x14ac:dyDescent="0.25">
      <c r="A685" s="18">
        <f t="shared" si="30"/>
        <v>36</v>
      </c>
      <c r="B685" s="18">
        <f t="shared" si="31"/>
        <v>21</v>
      </c>
      <c r="C685" s="18" t="s">
        <v>173</v>
      </c>
      <c r="D685" s="18">
        <f t="shared" si="32"/>
        <v>34</v>
      </c>
    </row>
    <row r="686" spans="1:4" x14ac:dyDescent="0.25">
      <c r="A686" s="18">
        <f t="shared" si="30"/>
        <v>37</v>
      </c>
      <c r="B686" s="18">
        <f t="shared" si="31"/>
        <v>1</v>
      </c>
      <c r="C686" s="18" t="s">
        <v>338</v>
      </c>
      <c r="D686" s="18">
        <f t="shared" si="32"/>
        <v>46</v>
      </c>
    </row>
    <row r="687" spans="1:4" x14ac:dyDescent="0.25">
      <c r="A687" s="18">
        <f t="shared" si="30"/>
        <v>37</v>
      </c>
      <c r="B687" s="18">
        <f t="shared" si="31"/>
        <v>2</v>
      </c>
      <c r="C687" s="18"/>
      <c r="D687" s="18">
        <f t="shared" si="32"/>
        <v>0</v>
      </c>
    </row>
    <row r="688" spans="1:4" x14ac:dyDescent="0.25">
      <c r="A688" s="18">
        <f t="shared" si="30"/>
        <v>37</v>
      </c>
      <c r="B688" s="18">
        <f t="shared" si="31"/>
        <v>3</v>
      </c>
      <c r="C688" s="18" t="s">
        <v>339</v>
      </c>
      <c r="D688" s="18">
        <f t="shared" si="32"/>
        <v>49</v>
      </c>
    </row>
    <row r="689" spans="1:4" x14ac:dyDescent="0.25">
      <c r="A689" s="18">
        <f t="shared" si="30"/>
        <v>37</v>
      </c>
      <c r="B689" s="18">
        <f t="shared" si="31"/>
        <v>4</v>
      </c>
      <c r="C689" s="18" t="s">
        <v>340</v>
      </c>
      <c r="D689" s="18">
        <f t="shared" si="32"/>
        <v>39</v>
      </c>
    </row>
    <row r="690" spans="1:4" x14ac:dyDescent="0.25">
      <c r="A690" s="18">
        <f t="shared" si="30"/>
        <v>37</v>
      </c>
      <c r="B690" s="18">
        <f t="shared" si="31"/>
        <v>5</v>
      </c>
      <c r="C690" s="18" t="s">
        <v>341</v>
      </c>
      <c r="D690" s="18">
        <f t="shared" si="32"/>
        <v>65</v>
      </c>
    </row>
    <row r="691" spans="1:4" x14ac:dyDescent="0.25">
      <c r="A691" s="18">
        <f t="shared" si="30"/>
        <v>37</v>
      </c>
      <c r="B691" s="18">
        <f t="shared" si="31"/>
        <v>6</v>
      </c>
      <c r="C691" s="18" t="s">
        <v>342</v>
      </c>
      <c r="D691" s="18">
        <f t="shared" si="32"/>
        <v>26</v>
      </c>
    </row>
    <row r="692" spans="1:4" x14ac:dyDescent="0.25">
      <c r="A692" s="18">
        <f t="shared" si="30"/>
        <v>37</v>
      </c>
      <c r="B692" s="18">
        <f t="shared" si="31"/>
        <v>7</v>
      </c>
      <c r="C692" s="18" t="s">
        <v>343</v>
      </c>
      <c r="D692" s="18">
        <f t="shared" si="32"/>
        <v>63</v>
      </c>
    </row>
    <row r="693" spans="1:4" x14ac:dyDescent="0.25">
      <c r="A693" s="18">
        <f t="shared" si="30"/>
        <v>37</v>
      </c>
      <c r="B693" s="18">
        <f t="shared" si="31"/>
        <v>8</v>
      </c>
      <c r="C693" s="18"/>
      <c r="D693" s="18">
        <f t="shared" si="32"/>
        <v>0</v>
      </c>
    </row>
    <row r="694" spans="1:4" x14ac:dyDescent="0.25">
      <c r="A694" s="18">
        <f t="shared" si="30"/>
        <v>37</v>
      </c>
      <c r="B694" s="18">
        <f t="shared" si="31"/>
        <v>9</v>
      </c>
      <c r="C694" s="18" t="s">
        <v>344</v>
      </c>
      <c r="D694" s="18">
        <f t="shared" si="32"/>
        <v>38</v>
      </c>
    </row>
    <row r="695" spans="1:4" x14ac:dyDescent="0.25">
      <c r="A695" s="18">
        <f t="shared" si="30"/>
        <v>37</v>
      </c>
      <c r="B695" s="18">
        <f t="shared" si="31"/>
        <v>10</v>
      </c>
      <c r="C695" s="18" t="s">
        <v>345</v>
      </c>
      <c r="D695" s="18">
        <f t="shared" si="32"/>
        <v>63</v>
      </c>
    </row>
    <row r="696" spans="1:4" x14ac:dyDescent="0.25">
      <c r="A696" s="18">
        <f t="shared" si="30"/>
        <v>37</v>
      </c>
      <c r="B696" s="18">
        <f t="shared" si="31"/>
        <v>11</v>
      </c>
      <c r="C696" s="18" t="s">
        <v>346</v>
      </c>
      <c r="D696" s="18">
        <f t="shared" si="32"/>
        <v>26</v>
      </c>
    </row>
    <row r="697" spans="1:4" x14ac:dyDescent="0.25">
      <c r="A697" s="18">
        <f t="shared" si="30"/>
        <v>37</v>
      </c>
      <c r="B697" s="18">
        <f t="shared" si="31"/>
        <v>12</v>
      </c>
      <c r="C697" s="18" t="s">
        <v>347</v>
      </c>
      <c r="D697" s="18">
        <f t="shared" si="32"/>
        <v>40</v>
      </c>
    </row>
    <row r="698" spans="1:4" x14ac:dyDescent="0.25">
      <c r="A698" s="18">
        <f t="shared" si="30"/>
        <v>37</v>
      </c>
      <c r="B698" s="18">
        <f t="shared" si="31"/>
        <v>13</v>
      </c>
      <c r="C698" s="18" t="s">
        <v>348</v>
      </c>
      <c r="D698" s="18">
        <f t="shared" si="32"/>
        <v>49</v>
      </c>
    </row>
    <row r="699" spans="1:4" x14ac:dyDescent="0.25">
      <c r="A699" s="18">
        <f t="shared" si="30"/>
        <v>37</v>
      </c>
      <c r="B699" s="18">
        <f t="shared" si="31"/>
        <v>14</v>
      </c>
      <c r="C699" s="18" t="s">
        <v>349</v>
      </c>
      <c r="D699" s="18">
        <f t="shared" si="32"/>
        <v>26</v>
      </c>
    </row>
    <row r="700" spans="1:4" x14ac:dyDescent="0.25">
      <c r="A700" s="18">
        <f t="shared" si="30"/>
        <v>37</v>
      </c>
      <c r="B700" s="18">
        <f t="shared" si="31"/>
        <v>15</v>
      </c>
      <c r="C700" s="18"/>
      <c r="D700" s="18">
        <f t="shared" si="32"/>
        <v>0</v>
      </c>
    </row>
    <row r="701" spans="1:4" x14ac:dyDescent="0.25">
      <c r="A701" s="18">
        <f t="shared" si="30"/>
        <v>37</v>
      </c>
      <c r="B701" s="18">
        <f t="shared" si="31"/>
        <v>16</v>
      </c>
      <c r="C701" s="18" t="s">
        <v>350</v>
      </c>
      <c r="D701" s="18">
        <f t="shared" si="32"/>
        <v>80</v>
      </c>
    </row>
    <row r="702" spans="1:4" x14ac:dyDescent="0.25">
      <c r="A702" s="18">
        <f t="shared" si="30"/>
        <v>37</v>
      </c>
      <c r="B702" s="18">
        <f t="shared" si="31"/>
        <v>17</v>
      </c>
      <c r="C702" s="18" t="s">
        <v>351</v>
      </c>
      <c r="D702" s="18">
        <f t="shared" si="32"/>
        <v>58</v>
      </c>
    </row>
    <row r="703" spans="1:4" x14ac:dyDescent="0.25">
      <c r="A703" s="18">
        <f t="shared" si="30"/>
        <v>37</v>
      </c>
      <c r="B703" s="18">
        <f t="shared" si="31"/>
        <v>18</v>
      </c>
      <c r="C703" s="18" t="s">
        <v>352</v>
      </c>
      <c r="D703" s="18">
        <f t="shared" si="32"/>
        <v>53</v>
      </c>
    </row>
    <row r="704" spans="1:4" x14ac:dyDescent="0.25">
      <c r="A704" s="18">
        <f t="shared" si="30"/>
        <v>37</v>
      </c>
      <c r="B704" s="18">
        <f t="shared" si="31"/>
        <v>19</v>
      </c>
      <c r="C704" s="18"/>
      <c r="D704" s="18">
        <f t="shared" si="32"/>
        <v>0</v>
      </c>
    </row>
    <row r="705" spans="1:4" x14ac:dyDescent="0.25">
      <c r="A705" s="18">
        <f t="shared" si="30"/>
        <v>37</v>
      </c>
      <c r="B705" s="18">
        <f t="shared" si="31"/>
        <v>20</v>
      </c>
      <c r="C705" s="18" t="s">
        <v>353</v>
      </c>
      <c r="D705" s="18">
        <f t="shared" si="32"/>
        <v>72</v>
      </c>
    </row>
    <row r="706" spans="1:4" x14ac:dyDescent="0.25">
      <c r="A706" s="18">
        <f t="shared" si="30"/>
        <v>37</v>
      </c>
      <c r="B706" s="18">
        <f t="shared" si="31"/>
        <v>21</v>
      </c>
      <c r="C706" s="18" t="s">
        <v>354</v>
      </c>
      <c r="D706" s="18">
        <f t="shared" si="32"/>
        <v>72</v>
      </c>
    </row>
    <row r="707" spans="1:4" x14ac:dyDescent="0.25">
      <c r="A707" s="18">
        <f t="shared" ref="A707:A770" si="33">IF(ISNUMBER(A706),IF(B707&lt;B706,A706+1,A706),1)</f>
        <v>37</v>
      </c>
      <c r="B707" s="18">
        <f t="shared" ref="B707:B770" si="34">IF(ISNUMBER(B706),IF(C706="Press ENTER to resume the program.",1,B706+1),1)</f>
        <v>22</v>
      </c>
      <c r="C707" s="18"/>
      <c r="D707" s="18">
        <f t="shared" ref="D707:D770" si="35">LEN(C707)</f>
        <v>0</v>
      </c>
    </row>
    <row r="708" spans="1:4" x14ac:dyDescent="0.25">
      <c r="A708" s="18">
        <f t="shared" si="33"/>
        <v>37</v>
      </c>
      <c r="B708" s="18">
        <f t="shared" si="34"/>
        <v>23</v>
      </c>
      <c r="C708" s="18" t="s">
        <v>355</v>
      </c>
      <c r="D708" s="18">
        <f t="shared" si="35"/>
        <v>26</v>
      </c>
    </row>
    <row r="709" spans="1:4" x14ac:dyDescent="0.25">
      <c r="A709" s="18">
        <f t="shared" si="33"/>
        <v>37</v>
      </c>
      <c r="B709" s="18">
        <f t="shared" si="34"/>
        <v>24</v>
      </c>
      <c r="C709" s="18"/>
      <c r="D709" s="18">
        <f t="shared" si="35"/>
        <v>0</v>
      </c>
    </row>
    <row r="710" spans="1:4" x14ac:dyDescent="0.25">
      <c r="A710" s="18">
        <f t="shared" si="33"/>
        <v>37</v>
      </c>
      <c r="B710" s="18">
        <f t="shared" si="34"/>
        <v>25</v>
      </c>
      <c r="C710" s="18" t="s">
        <v>173</v>
      </c>
      <c r="D710" s="18">
        <f t="shared" si="35"/>
        <v>34</v>
      </c>
    </row>
    <row r="711" spans="1:4" x14ac:dyDescent="0.25">
      <c r="A711" s="18">
        <f t="shared" si="33"/>
        <v>38</v>
      </c>
      <c r="B711" s="18">
        <f t="shared" si="34"/>
        <v>1</v>
      </c>
      <c r="C711" s="18"/>
      <c r="D711" s="18">
        <f t="shared" si="35"/>
        <v>0</v>
      </c>
    </row>
    <row r="712" spans="1:4" x14ac:dyDescent="0.25">
      <c r="A712" s="18">
        <f t="shared" si="33"/>
        <v>38</v>
      </c>
      <c r="B712" s="18">
        <f t="shared" si="34"/>
        <v>2</v>
      </c>
      <c r="C712" s="18" t="s">
        <v>356</v>
      </c>
      <c r="D712" s="18">
        <f t="shared" si="35"/>
        <v>72</v>
      </c>
    </row>
    <row r="713" spans="1:4" x14ac:dyDescent="0.25">
      <c r="A713" s="18">
        <f t="shared" si="33"/>
        <v>38</v>
      </c>
      <c r="B713" s="18">
        <f t="shared" si="34"/>
        <v>3</v>
      </c>
      <c r="C713" s="18"/>
      <c r="D713" s="18">
        <f t="shared" si="35"/>
        <v>0</v>
      </c>
    </row>
    <row r="714" spans="1:4" x14ac:dyDescent="0.25">
      <c r="A714" s="18">
        <f t="shared" si="33"/>
        <v>38</v>
      </c>
      <c r="B714" s="18">
        <f t="shared" si="34"/>
        <v>4</v>
      </c>
      <c r="C714" s="18" t="s">
        <v>357</v>
      </c>
      <c r="D714" s="18">
        <f t="shared" si="35"/>
        <v>56</v>
      </c>
    </row>
    <row r="715" spans="1:4" x14ac:dyDescent="0.25">
      <c r="A715" s="18">
        <f t="shared" si="33"/>
        <v>38</v>
      </c>
      <c r="B715" s="18">
        <f t="shared" si="34"/>
        <v>5</v>
      </c>
      <c r="C715" s="18" t="s">
        <v>358</v>
      </c>
      <c r="D715" s="18">
        <f t="shared" si="35"/>
        <v>63</v>
      </c>
    </row>
    <row r="716" spans="1:4" x14ac:dyDescent="0.25">
      <c r="A716" s="18">
        <f t="shared" si="33"/>
        <v>38</v>
      </c>
      <c r="B716" s="18">
        <f t="shared" si="34"/>
        <v>6</v>
      </c>
      <c r="C716" s="18"/>
      <c r="D716" s="18">
        <f t="shared" si="35"/>
        <v>0</v>
      </c>
    </row>
    <row r="717" spans="1:4" x14ac:dyDescent="0.25">
      <c r="A717" s="18">
        <f t="shared" si="33"/>
        <v>38</v>
      </c>
      <c r="B717" s="18">
        <f t="shared" si="34"/>
        <v>7</v>
      </c>
      <c r="C717" s="18" t="s">
        <v>357</v>
      </c>
      <c r="D717" s="18">
        <f t="shared" si="35"/>
        <v>56</v>
      </c>
    </row>
    <row r="718" spans="1:4" x14ac:dyDescent="0.25">
      <c r="A718" s="18">
        <f t="shared" si="33"/>
        <v>38</v>
      </c>
      <c r="B718" s="18">
        <f t="shared" si="34"/>
        <v>8</v>
      </c>
      <c r="C718" s="18" t="s">
        <v>359</v>
      </c>
      <c r="D718" s="18">
        <f t="shared" si="35"/>
        <v>80</v>
      </c>
    </row>
    <row r="719" spans="1:4" x14ac:dyDescent="0.25">
      <c r="A719" s="18">
        <f t="shared" si="33"/>
        <v>38</v>
      </c>
      <c r="B719" s="18">
        <f t="shared" si="34"/>
        <v>9</v>
      </c>
      <c r="C719" s="18"/>
      <c r="D719" s="18">
        <f t="shared" si="35"/>
        <v>0</v>
      </c>
    </row>
    <row r="720" spans="1:4" x14ac:dyDescent="0.25">
      <c r="A720" s="18">
        <f t="shared" si="33"/>
        <v>38</v>
      </c>
      <c r="B720" s="18">
        <f t="shared" si="34"/>
        <v>10</v>
      </c>
      <c r="C720" s="18"/>
      <c r="D720" s="18">
        <f t="shared" si="35"/>
        <v>0</v>
      </c>
    </row>
    <row r="721" spans="1:4" x14ac:dyDescent="0.25">
      <c r="A721" s="18">
        <f t="shared" si="33"/>
        <v>38</v>
      </c>
      <c r="B721" s="18">
        <f t="shared" si="34"/>
        <v>11</v>
      </c>
      <c r="C721" s="18" t="s">
        <v>357</v>
      </c>
      <c r="D721" s="18">
        <f t="shared" si="35"/>
        <v>56</v>
      </c>
    </row>
    <row r="722" spans="1:4" x14ac:dyDescent="0.25">
      <c r="A722" s="18">
        <f t="shared" si="33"/>
        <v>38</v>
      </c>
      <c r="B722" s="18">
        <f t="shared" si="34"/>
        <v>12</v>
      </c>
      <c r="C722" s="18" t="s">
        <v>360</v>
      </c>
      <c r="D722" s="18">
        <f t="shared" si="35"/>
        <v>75</v>
      </c>
    </row>
    <row r="723" spans="1:4" x14ac:dyDescent="0.25">
      <c r="A723" s="18">
        <f t="shared" si="33"/>
        <v>38</v>
      </c>
      <c r="B723" s="18">
        <f t="shared" si="34"/>
        <v>13</v>
      </c>
      <c r="C723" s="18"/>
      <c r="D723" s="18">
        <f t="shared" si="35"/>
        <v>0</v>
      </c>
    </row>
    <row r="724" spans="1:4" x14ac:dyDescent="0.25">
      <c r="A724" s="18">
        <f t="shared" si="33"/>
        <v>38</v>
      </c>
      <c r="B724" s="18">
        <f t="shared" si="34"/>
        <v>14</v>
      </c>
      <c r="C724" s="18" t="s">
        <v>361</v>
      </c>
      <c r="D724" s="18">
        <f t="shared" si="35"/>
        <v>62</v>
      </c>
    </row>
    <row r="725" spans="1:4" x14ac:dyDescent="0.25">
      <c r="A725" s="18">
        <f t="shared" si="33"/>
        <v>38</v>
      </c>
      <c r="B725" s="18">
        <f t="shared" si="34"/>
        <v>15</v>
      </c>
      <c r="C725" s="18" t="s">
        <v>362</v>
      </c>
      <c r="D725" s="18">
        <f t="shared" si="35"/>
        <v>62</v>
      </c>
    </row>
    <row r="726" spans="1:4" x14ac:dyDescent="0.25">
      <c r="A726" s="18">
        <f t="shared" si="33"/>
        <v>38</v>
      </c>
      <c r="B726" s="18">
        <f t="shared" si="34"/>
        <v>16</v>
      </c>
      <c r="C726" s="18"/>
      <c r="D726" s="18">
        <f t="shared" si="35"/>
        <v>0</v>
      </c>
    </row>
    <row r="727" spans="1:4" x14ac:dyDescent="0.25">
      <c r="A727" s="18">
        <f t="shared" si="33"/>
        <v>38</v>
      </c>
      <c r="B727" s="18">
        <f t="shared" si="34"/>
        <v>17</v>
      </c>
      <c r="C727" s="18" t="s">
        <v>361</v>
      </c>
      <c r="D727" s="18">
        <f t="shared" si="35"/>
        <v>62</v>
      </c>
    </row>
    <row r="728" spans="1:4" x14ac:dyDescent="0.25">
      <c r="A728" s="18">
        <f t="shared" si="33"/>
        <v>38</v>
      </c>
      <c r="B728" s="18">
        <f t="shared" si="34"/>
        <v>18</v>
      </c>
      <c r="C728" s="18" t="s">
        <v>363</v>
      </c>
      <c r="D728" s="18">
        <f t="shared" si="35"/>
        <v>79</v>
      </c>
    </row>
    <row r="729" spans="1:4" x14ac:dyDescent="0.25">
      <c r="A729" s="18">
        <f t="shared" si="33"/>
        <v>38</v>
      </c>
      <c r="B729" s="18">
        <f t="shared" si="34"/>
        <v>19</v>
      </c>
      <c r="C729" s="18"/>
      <c r="D729" s="18">
        <f t="shared" si="35"/>
        <v>0</v>
      </c>
    </row>
    <row r="730" spans="1:4" x14ac:dyDescent="0.25">
      <c r="A730" s="18">
        <f t="shared" si="33"/>
        <v>38</v>
      </c>
      <c r="B730" s="18">
        <f t="shared" si="34"/>
        <v>20</v>
      </c>
      <c r="C730" s="18" t="s">
        <v>361</v>
      </c>
      <c r="D730" s="18">
        <f t="shared" si="35"/>
        <v>62</v>
      </c>
    </row>
    <row r="731" spans="1:4" x14ac:dyDescent="0.25">
      <c r="A731" s="18">
        <f t="shared" si="33"/>
        <v>38</v>
      </c>
      <c r="B731" s="18">
        <f t="shared" si="34"/>
        <v>21</v>
      </c>
      <c r="C731" s="18" t="s">
        <v>364</v>
      </c>
      <c r="D731" s="18">
        <f t="shared" si="35"/>
        <v>74</v>
      </c>
    </row>
    <row r="732" spans="1:4" x14ac:dyDescent="0.25">
      <c r="A732" s="18">
        <f t="shared" si="33"/>
        <v>38</v>
      </c>
      <c r="B732" s="18">
        <f t="shared" si="34"/>
        <v>22</v>
      </c>
      <c r="C732" s="18"/>
      <c r="D732" s="18">
        <f t="shared" si="35"/>
        <v>0</v>
      </c>
    </row>
    <row r="733" spans="1:4" x14ac:dyDescent="0.25">
      <c r="A733" s="18">
        <f t="shared" si="33"/>
        <v>38</v>
      </c>
      <c r="B733" s="18">
        <f t="shared" si="34"/>
        <v>23</v>
      </c>
      <c r="C733" s="18" t="s">
        <v>173</v>
      </c>
      <c r="D733" s="18">
        <f t="shared" si="35"/>
        <v>34</v>
      </c>
    </row>
    <row r="734" spans="1:4" x14ac:dyDescent="0.25">
      <c r="A734" s="18">
        <f t="shared" si="33"/>
        <v>39</v>
      </c>
      <c r="B734" s="18">
        <f t="shared" si="34"/>
        <v>1</v>
      </c>
      <c r="C734" s="18"/>
      <c r="D734" s="18">
        <f t="shared" si="35"/>
        <v>0</v>
      </c>
    </row>
    <row r="735" spans="1:4" x14ac:dyDescent="0.25">
      <c r="A735" s="18">
        <f t="shared" si="33"/>
        <v>39</v>
      </c>
      <c r="B735" s="18">
        <f t="shared" si="34"/>
        <v>2</v>
      </c>
      <c r="C735" s="18" t="s">
        <v>365</v>
      </c>
      <c r="D735" s="18">
        <f t="shared" si="35"/>
        <v>21</v>
      </c>
    </row>
    <row r="736" spans="1:4" x14ac:dyDescent="0.25">
      <c r="A736" s="18">
        <f t="shared" si="33"/>
        <v>39</v>
      </c>
      <c r="B736" s="18">
        <f t="shared" si="34"/>
        <v>3</v>
      </c>
      <c r="C736" s="18"/>
      <c r="D736" s="18">
        <f t="shared" si="35"/>
        <v>0</v>
      </c>
    </row>
    <row r="737" spans="1:4" x14ac:dyDescent="0.25">
      <c r="A737" s="18">
        <f t="shared" si="33"/>
        <v>39</v>
      </c>
      <c r="B737" s="18">
        <f t="shared" si="34"/>
        <v>4</v>
      </c>
      <c r="C737" s="18" t="s">
        <v>366</v>
      </c>
      <c r="D737" s="18">
        <f t="shared" si="35"/>
        <v>57</v>
      </c>
    </row>
    <row r="738" spans="1:4" x14ac:dyDescent="0.25">
      <c r="A738" s="18">
        <f t="shared" si="33"/>
        <v>39</v>
      </c>
      <c r="B738" s="18">
        <f t="shared" si="34"/>
        <v>5</v>
      </c>
      <c r="C738" s="18" t="s">
        <v>367</v>
      </c>
      <c r="D738" s="18">
        <f t="shared" si="35"/>
        <v>65</v>
      </c>
    </row>
    <row r="739" spans="1:4" x14ac:dyDescent="0.25">
      <c r="A739" s="18">
        <f t="shared" si="33"/>
        <v>39</v>
      </c>
      <c r="B739" s="18">
        <f t="shared" si="34"/>
        <v>6</v>
      </c>
      <c r="C739" s="18" t="s">
        <v>368</v>
      </c>
      <c r="D739" s="18">
        <f t="shared" si="35"/>
        <v>45</v>
      </c>
    </row>
    <row r="740" spans="1:4" x14ac:dyDescent="0.25">
      <c r="A740" s="18">
        <f t="shared" si="33"/>
        <v>39</v>
      </c>
      <c r="B740" s="18">
        <f t="shared" si="34"/>
        <v>7</v>
      </c>
      <c r="C740" s="18" t="s">
        <v>369</v>
      </c>
      <c r="D740" s="18">
        <f t="shared" si="35"/>
        <v>40</v>
      </c>
    </row>
    <row r="741" spans="1:4" x14ac:dyDescent="0.25">
      <c r="A741" s="18">
        <f t="shared" si="33"/>
        <v>39</v>
      </c>
      <c r="B741" s="18">
        <f t="shared" si="34"/>
        <v>8</v>
      </c>
      <c r="C741" s="18"/>
      <c r="D741" s="18">
        <f t="shared" si="35"/>
        <v>0</v>
      </c>
    </row>
    <row r="742" spans="1:4" x14ac:dyDescent="0.25">
      <c r="A742" s="18">
        <f t="shared" si="33"/>
        <v>39</v>
      </c>
      <c r="B742" s="18">
        <f t="shared" si="34"/>
        <v>9</v>
      </c>
      <c r="C742" s="18" t="s">
        <v>370</v>
      </c>
      <c r="D742" s="18">
        <f t="shared" si="35"/>
        <v>18</v>
      </c>
    </row>
    <row r="743" spans="1:4" x14ac:dyDescent="0.25">
      <c r="A743" s="18">
        <f t="shared" si="33"/>
        <v>39</v>
      </c>
      <c r="B743" s="18">
        <f t="shared" si="34"/>
        <v>10</v>
      </c>
      <c r="C743" s="18" t="s">
        <v>371</v>
      </c>
      <c r="D743" s="18">
        <f t="shared" si="35"/>
        <v>80</v>
      </c>
    </row>
    <row r="744" spans="1:4" x14ac:dyDescent="0.25">
      <c r="A744" s="18">
        <f t="shared" si="33"/>
        <v>39</v>
      </c>
      <c r="B744" s="18">
        <f t="shared" si="34"/>
        <v>11</v>
      </c>
      <c r="C744" s="18" t="s">
        <v>372</v>
      </c>
      <c r="D744" s="18">
        <f t="shared" si="35"/>
        <v>80</v>
      </c>
    </row>
    <row r="745" spans="1:4" x14ac:dyDescent="0.25">
      <c r="A745" s="18">
        <f t="shared" si="33"/>
        <v>39</v>
      </c>
      <c r="B745" s="18">
        <f t="shared" si="34"/>
        <v>12</v>
      </c>
      <c r="C745" s="18" t="s">
        <v>373</v>
      </c>
      <c r="D745" s="18">
        <f t="shared" si="35"/>
        <v>20</v>
      </c>
    </row>
    <row r="746" spans="1:4" x14ac:dyDescent="0.25">
      <c r="A746" s="18">
        <f t="shared" si="33"/>
        <v>39</v>
      </c>
      <c r="B746" s="18">
        <f t="shared" si="34"/>
        <v>13</v>
      </c>
      <c r="C746" s="18" t="s">
        <v>374</v>
      </c>
      <c r="D746" s="18">
        <f t="shared" si="35"/>
        <v>18</v>
      </c>
    </row>
    <row r="747" spans="1:4" x14ac:dyDescent="0.25">
      <c r="A747" s="18">
        <f t="shared" si="33"/>
        <v>39</v>
      </c>
      <c r="B747" s="18">
        <f t="shared" si="34"/>
        <v>14</v>
      </c>
      <c r="C747" s="18"/>
      <c r="D747" s="18">
        <f t="shared" si="35"/>
        <v>0</v>
      </c>
    </row>
    <row r="748" spans="1:4" x14ac:dyDescent="0.25">
      <c r="A748" s="18">
        <f t="shared" si="33"/>
        <v>39</v>
      </c>
      <c r="B748" s="18">
        <f t="shared" si="34"/>
        <v>15</v>
      </c>
      <c r="C748" s="18" t="s">
        <v>375</v>
      </c>
      <c r="D748" s="18">
        <f t="shared" si="35"/>
        <v>42</v>
      </c>
    </row>
    <row r="749" spans="1:4" x14ac:dyDescent="0.25">
      <c r="A749" s="18">
        <f t="shared" si="33"/>
        <v>39</v>
      </c>
      <c r="B749" s="18">
        <f t="shared" si="34"/>
        <v>16</v>
      </c>
      <c r="C749" s="18" t="s">
        <v>173</v>
      </c>
      <c r="D749" s="18">
        <f t="shared" si="35"/>
        <v>34</v>
      </c>
    </row>
    <row r="750" spans="1:4" x14ac:dyDescent="0.25">
      <c r="A750" s="18">
        <f t="shared" si="33"/>
        <v>40</v>
      </c>
      <c r="B750" s="18">
        <f t="shared" si="34"/>
        <v>1</v>
      </c>
      <c r="C750" s="18"/>
      <c r="D750" s="18">
        <f t="shared" si="35"/>
        <v>0</v>
      </c>
    </row>
    <row r="751" spans="1:4" x14ac:dyDescent="0.25">
      <c r="A751" s="18">
        <f t="shared" si="33"/>
        <v>40</v>
      </c>
      <c r="B751" s="18">
        <f t="shared" si="34"/>
        <v>2</v>
      </c>
      <c r="C751" s="18" t="s">
        <v>376</v>
      </c>
      <c r="D751" s="18">
        <f t="shared" si="35"/>
        <v>63</v>
      </c>
    </row>
    <row r="752" spans="1:4" x14ac:dyDescent="0.25">
      <c r="A752" s="18">
        <f t="shared" si="33"/>
        <v>40</v>
      </c>
      <c r="B752" s="18">
        <f t="shared" si="34"/>
        <v>3</v>
      </c>
      <c r="C752" s="18"/>
      <c r="D752" s="18">
        <f t="shared" si="35"/>
        <v>0</v>
      </c>
    </row>
    <row r="753" spans="1:4" x14ac:dyDescent="0.25">
      <c r="A753" s="18">
        <f t="shared" si="33"/>
        <v>40</v>
      </c>
      <c r="B753" s="18">
        <f t="shared" si="34"/>
        <v>4</v>
      </c>
      <c r="C753" s="18" t="s">
        <v>357</v>
      </c>
      <c r="D753" s="18">
        <f t="shared" si="35"/>
        <v>56</v>
      </c>
    </row>
    <row r="754" spans="1:4" x14ac:dyDescent="0.25">
      <c r="A754" s="18">
        <f t="shared" si="33"/>
        <v>40</v>
      </c>
      <c r="B754" s="18">
        <f t="shared" si="34"/>
        <v>5</v>
      </c>
      <c r="C754" s="18" t="s">
        <v>377</v>
      </c>
      <c r="D754" s="18">
        <f t="shared" si="35"/>
        <v>59</v>
      </c>
    </row>
    <row r="755" spans="1:4" x14ac:dyDescent="0.25">
      <c r="A755" s="18">
        <f t="shared" si="33"/>
        <v>40</v>
      </c>
      <c r="B755" s="18">
        <f t="shared" si="34"/>
        <v>6</v>
      </c>
      <c r="C755" s="18"/>
      <c r="D755" s="18">
        <f t="shared" si="35"/>
        <v>0</v>
      </c>
    </row>
    <row r="756" spans="1:4" x14ac:dyDescent="0.25">
      <c r="A756" s="18">
        <f t="shared" si="33"/>
        <v>40</v>
      </c>
      <c r="B756" s="18">
        <f t="shared" si="34"/>
        <v>7</v>
      </c>
      <c r="C756" s="18" t="s">
        <v>357</v>
      </c>
      <c r="D756" s="18">
        <f t="shared" si="35"/>
        <v>56</v>
      </c>
    </row>
    <row r="757" spans="1:4" x14ac:dyDescent="0.25">
      <c r="A757" s="18">
        <f t="shared" si="33"/>
        <v>40</v>
      </c>
      <c r="B757" s="18">
        <f t="shared" si="34"/>
        <v>8</v>
      </c>
      <c r="C757" s="18" t="s">
        <v>378</v>
      </c>
      <c r="D757" s="18">
        <f t="shared" si="35"/>
        <v>76</v>
      </c>
    </row>
    <row r="758" spans="1:4" x14ac:dyDescent="0.25">
      <c r="A758" s="18">
        <f t="shared" si="33"/>
        <v>40</v>
      </c>
      <c r="B758" s="18">
        <f t="shared" si="34"/>
        <v>9</v>
      </c>
      <c r="C758" s="18"/>
      <c r="D758" s="18">
        <f t="shared" si="35"/>
        <v>0</v>
      </c>
    </row>
    <row r="759" spans="1:4" x14ac:dyDescent="0.25">
      <c r="A759" s="18">
        <f t="shared" si="33"/>
        <v>40</v>
      </c>
      <c r="B759" s="18">
        <f t="shared" si="34"/>
        <v>10</v>
      </c>
      <c r="C759" s="18" t="s">
        <v>357</v>
      </c>
      <c r="D759" s="18">
        <f t="shared" si="35"/>
        <v>56</v>
      </c>
    </row>
    <row r="760" spans="1:4" x14ac:dyDescent="0.25">
      <c r="A760" s="18">
        <f t="shared" si="33"/>
        <v>40</v>
      </c>
      <c r="B760" s="18">
        <f t="shared" si="34"/>
        <v>11</v>
      </c>
      <c r="C760" s="18" t="s">
        <v>379</v>
      </c>
      <c r="D760" s="18">
        <f t="shared" si="35"/>
        <v>71</v>
      </c>
    </row>
    <row r="761" spans="1:4" x14ac:dyDescent="0.25">
      <c r="A761" s="18">
        <f t="shared" si="33"/>
        <v>40</v>
      </c>
      <c r="B761" s="18">
        <f t="shared" si="34"/>
        <v>12</v>
      </c>
      <c r="C761" s="18"/>
      <c r="D761" s="18">
        <f t="shared" si="35"/>
        <v>0</v>
      </c>
    </row>
    <row r="762" spans="1:4" x14ac:dyDescent="0.25">
      <c r="A762" s="18">
        <f t="shared" si="33"/>
        <v>40</v>
      </c>
      <c r="B762" s="18">
        <f t="shared" si="34"/>
        <v>13</v>
      </c>
      <c r="C762" s="18" t="s">
        <v>361</v>
      </c>
      <c r="D762" s="18">
        <f t="shared" si="35"/>
        <v>62</v>
      </c>
    </row>
    <row r="763" spans="1:4" x14ac:dyDescent="0.25">
      <c r="A763" s="18">
        <f t="shared" si="33"/>
        <v>40</v>
      </c>
      <c r="B763" s="18">
        <f t="shared" si="34"/>
        <v>14</v>
      </c>
      <c r="C763" s="18" t="s">
        <v>380</v>
      </c>
      <c r="D763" s="18">
        <f t="shared" si="35"/>
        <v>68</v>
      </c>
    </row>
    <row r="764" spans="1:4" x14ac:dyDescent="0.25">
      <c r="A764" s="18">
        <f t="shared" si="33"/>
        <v>40</v>
      </c>
      <c r="B764" s="18">
        <f t="shared" si="34"/>
        <v>15</v>
      </c>
      <c r="C764" s="18"/>
      <c r="D764" s="18">
        <f t="shared" si="35"/>
        <v>0</v>
      </c>
    </row>
    <row r="765" spans="1:4" x14ac:dyDescent="0.25">
      <c r="A765" s="18">
        <f t="shared" si="33"/>
        <v>40</v>
      </c>
      <c r="B765" s="18">
        <f t="shared" si="34"/>
        <v>16</v>
      </c>
      <c r="C765" s="18" t="s">
        <v>361</v>
      </c>
      <c r="D765" s="18">
        <f t="shared" si="35"/>
        <v>62</v>
      </c>
    </row>
    <row r="766" spans="1:4" x14ac:dyDescent="0.25">
      <c r="A766" s="18">
        <f t="shared" si="33"/>
        <v>40</v>
      </c>
      <c r="B766" s="18">
        <f t="shared" si="34"/>
        <v>17</v>
      </c>
      <c r="C766" s="18" t="s">
        <v>381</v>
      </c>
      <c r="D766" s="18">
        <f t="shared" si="35"/>
        <v>80</v>
      </c>
    </row>
    <row r="767" spans="1:4" x14ac:dyDescent="0.25">
      <c r="A767" s="18">
        <f t="shared" si="33"/>
        <v>40</v>
      </c>
      <c r="B767" s="18">
        <f t="shared" si="34"/>
        <v>18</v>
      </c>
      <c r="C767" s="18" t="s">
        <v>382</v>
      </c>
      <c r="D767" s="18">
        <f t="shared" si="35"/>
        <v>5</v>
      </c>
    </row>
    <row r="768" spans="1:4" x14ac:dyDescent="0.25">
      <c r="A768" s="18">
        <f t="shared" si="33"/>
        <v>40</v>
      </c>
      <c r="B768" s="18">
        <f t="shared" si="34"/>
        <v>19</v>
      </c>
      <c r="C768" s="18"/>
      <c r="D768" s="18">
        <f t="shared" si="35"/>
        <v>0</v>
      </c>
    </row>
    <row r="769" spans="1:4" x14ac:dyDescent="0.25">
      <c r="A769" s="18">
        <f t="shared" si="33"/>
        <v>40</v>
      </c>
      <c r="B769" s="18">
        <f t="shared" si="34"/>
        <v>20</v>
      </c>
      <c r="C769" s="18" t="s">
        <v>361</v>
      </c>
      <c r="D769" s="18">
        <f t="shared" si="35"/>
        <v>62</v>
      </c>
    </row>
    <row r="770" spans="1:4" x14ac:dyDescent="0.25">
      <c r="A770" s="18">
        <f t="shared" si="33"/>
        <v>40</v>
      </c>
      <c r="B770" s="18">
        <f t="shared" si="34"/>
        <v>21</v>
      </c>
      <c r="C770" s="18" t="s">
        <v>383</v>
      </c>
      <c r="D770" s="18">
        <f t="shared" si="35"/>
        <v>80</v>
      </c>
    </row>
    <row r="771" spans="1:4" x14ac:dyDescent="0.25">
      <c r="A771" s="18">
        <f t="shared" ref="A771:A834" si="36">IF(ISNUMBER(A770),IF(B771&lt;B770,A770+1,A770),1)</f>
        <v>40</v>
      </c>
      <c r="B771" s="18">
        <f t="shared" ref="B771:B834" si="37">IF(ISNUMBER(B770),IF(C770="Press ENTER to resume the program.",1,B770+1),1)</f>
        <v>22</v>
      </c>
      <c r="C771" s="18"/>
      <c r="D771" s="18">
        <f t="shared" ref="D771:D834" si="38">LEN(C771)</f>
        <v>0</v>
      </c>
    </row>
    <row r="772" spans="1:4" x14ac:dyDescent="0.25">
      <c r="A772" s="18">
        <f t="shared" si="36"/>
        <v>40</v>
      </c>
      <c r="B772" s="18">
        <f t="shared" si="37"/>
        <v>23</v>
      </c>
      <c r="C772" s="18"/>
      <c r="D772" s="18">
        <f t="shared" si="38"/>
        <v>0</v>
      </c>
    </row>
    <row r="773" spans="1:4" x14ac:dyDescent="0.25">
      <c r="A773" s="18">
        <f t="shared" si="36"/>
        <v>40</v>
      </c>
      <c r="B773" s="18">
        <f t="shared" si="37"/>
        <v>24</v>
      </c>
      <c r="C773" s="18" t="s">
        <v>173</v>
      </c>
      <c r="D773" s="18">
        <f t="shared" si="38"/>
        <v>34</v>
      </c>
    </row>
    <row r="774" spans="1:4" x14ac:dyDescent="0.25">
      <c r="A774" s="18">
        <f t="shared" si="36"/>
        <v>41</v>
      </c>
      <c r="B774" s="18">
        <f t="shared" si="37"/>
        <v>1</v>
      </c>
      <c r="C774" s="18"/>
      <c r="D774" s="18">
        <f t="shared" si="38"/>
        <v>0</v>
      </c>
    </row>
    <row r="775" spans="1:4" x14ac:dyDescent="0.25">
      <c r="A775" s="18">
        <f t="shared" si="36"/>
        <v>41</v>
      </c>
      <c r="B775" s="18">
        <f t="shared" si="37"/>
        <v>2</v>
      </c>
      <c r="C775" s="18" t="s">
        <v>384</v>
      </c>
      <c r="D775" s="18">
        <f t="shared" si="38"/>
        <v>21</v>
      </c>
    </row>
    <row r="776" spans="1:4" x14ac:dyDescent="0.25">
      <c r="A776" s="18">
        <f t="shared" si="36"/>
        <v>41</v>
      </c>
      <c r="B776" s="18">
        <f t="shared" si="37"/>
        <v>3</v>
      </c>
      <c r="C776" s="18"/>
      <c r="D776" s="18">
        <f t="shared" si="38"/>
        <v>0</v>
      </c>
    </row>
    <row r="777" spans="1:4" x14ac:dyDescent="0.25">
      <c r="A777" s="18">
        <f t="shared" si="36"/>
        <v>41</v>
      </c>
      <c r="B777" s="18">
        <f t="shared" si="37"/>
        <v>4</v>
      </c>
      <c r="C777" s="18" t="s">
        <v>366</v>
      </c>
      <c r="D777" s="18">
        <f t="shared" si="38"/>
        <v>57</v>
      </c>
    </row>
    <row r="778" spans="1:4" x14ac:dyDescent="0.25">
      <c r="A778" s="18">
        <f t="shared" si="36"/>
        <v>41</v>
      </c>
      <c r="B778" s="18">
        <f t="shared" si="37"/>
        <v>5</v>
      </c>
      <c r="C778" s="18" t="s">
        <v>385</v>
      </c>
      <c r="D778" s="18">
        <f t="shared" si="38"/>
        <v>65</v>
      </c>
    </row>
    <row r="779" spans="1:4" x14ac:dyDescent="0.25">
      <c r="A779" s="18">
        <f t="shared" si="36"/>
        <v>41</v>
      </c>
      <c r="B779" s="18">
        <f t="shared" si="37"/>
        <v>6</v>
      </c>
      <c r="C779" s="18" t="s">
        <v>368</v>
      </c>
      <c r="D779" s="18">
        <f t="shared" si="38"/>
        <v>45</v>
      </c>
    </row>
    <row r="780" spans="1:4" x14ac:dyDescent="0.25">
      <c r="A780" s="18">
        <f t="shared" si="36"/>
        <v>41</v>
      </c>
      <c r="B780" s="18">
        <f t="shared" si="37"/>
        <v>7</v>
      </c>
      <c r="C780" s="18" t="s">
        <v>369</v>
      </c>
      <c r="D780" s="18">
        <f t="shared" si="38"/>
        <v>40</v>
      </c>
    </row>
    <row r="781" spans="1:4" x14ac:dyDescent="0.25">
      <c r="A781" s="18">
        <f t="shared" si="36"/>
        <v>41</v>
      </c>
      <c r="B781" s="18">
        <f t="shared" si="37"/>
        <v>8</v>
      </c>
      <c r="C781" s="18"/>
      <c r="D781" s="18">
        <f t="shared" si="38"/>
        <v>0</v>
      </c>
    </row>
    <row r="782" spans="1:4" x14ac:dyDescent="0.25">
      <c r="A782" s="18">
        <f t="shared" si="36"/>
        <v>41</v>
      </c>
      <c r="B782" s="18">
        <f t="shared" si="37"/>
        <v>9</v>
      </c>
      <c r="C782" s="18" t="s">
        <v>370</v>
      </c>
      <c r="D782" s="18">
        <f t="shared" si="38"/>
        <v>18</v>
      </c>
    </row>
    <row r="783" spans="1:4" x14ac:dyDescent="0.25">
      <c r="A783" s="18">
        <f t="shared" si="36"/>
        <v>41</v>
      </c>
      <c r="B783" s="18">
        <f t="shared" si="37"/>
        <v>10</v>
      </c>
      <c r="C783" s="18" t="s">
        <v>371</v>
      </c>
      <c r="D783" s="18">
        <f t="shared" si="38"/>
        <v>80</v>
      </c>
    </row>
    <row r="784" spans="1:4" x14ac:dyDescent="0.25">
      <c r="A784" s="18">
        <f t="shared" si="36"/>
        <v>41</v>
      </c>
      <c r="B784" s="18">
        <f t="shared" si="37"/>
        <v>11</v>
      </c>
      <c r="C784" s="18" t="s">
        <v>372</v>
      </c>
      <c r="D784" s="18">
        <f t="shared" si="38"/>
        <v>80</v>
      </c>
    </row>
    <row r="785" spans="1:4" x14ac:dyDescent="0.25">
      <c r="A785" s="18">
        <f t="shared" si="36"/>
        <v>41</v>
      </c>
      <c r="B785" s="18">
        <f t="shared" si="37"/>
        <v>12</v>
      </c>
      <c r="C785" s="18" t="s">
        <v>386</v>
      </c>
      <c r="D785" s="18">
        <f t="shared" si="38"/>
        <v>20</v>
      </c>
    </row>
    <row r="786" spans="1:4" x14ac:dyDescent="0.25">
      <c r="A786" s="18">
        <f t="shared" si="36"/>
        <v>41</v>
      </c>
      <c r="B786" s="18">
        <f t="shared" si="37"/>
        <v>13</v>
      </c>
      <c r="C786" s="18" t="s">
        <v>374</v>
      </c>
      <c r="D786" s="18">
        <f t="shared" si="38"/>
        <v>18</v>
      </c>
    </row>
    <row r="787" spans="1:4" x14ac:dyDescent="0.25">
      <c r="A787" s="18">
        <f t="shared" si="36"/>
        <v>41</v>
      </c>
      <c r="B787" s="18">
        <f t="shared" si="37"/>
        <v>14</v>
      </c>
      <c r="C787" s="18"/>
      <c r="D787" s="18">
        <f t="shared" si="38"/>
        <v>0</v>
      </c>
    </row>
    <row r="788" spans="1:4" x14ac:dyDescent="0.25">
      <c r="A788" s="18">
        <f t="shared" si="36"/>
        <v>41</v>
      </c>
      <c r="B788" s="18">
        <f t="shared" si="37"/>
        <v>15</v>
      </c>
      <c r="C788" s="18" t="s">
        <v>375</v>
      </c>
      <c r="D788" s="18">
        <f t="shared" si="38"/>
        <v>42</v>
      </c>
    </row>
    <row r="789" spans="1:4" x14ac:dyDescent="0.25">
      <c r="A789" s="18">
        <f t="shared" si="36"/>
        <v>41</v>
      </c>
      <c r="B789" s="18">
        <f t="shared" si="37"/>
        <v>16</v>
      </c>
      <c r="C789" s="18" t="s">
        <v>173</v>
      </c>
      <c r="D789" s="18">
        <f t="shared" si="38"/>
        <v>34</v>
      </c>
    </row>
    <row r="790" spans="1:4" x14ac:dyDescent="0.25">
      <c r="A790" s="18">
        <f t="shared" si="36"/>
        <v>42</v>
      </c>
      <c r="B790" s="18">
        <f t="shared" si="37"/>
        <v>1</v>
      </c>
      <c r="C790" s="18"/>
      <c r="D790" s="18">
        <f t="shared" si="38"/>
        <v>0</v>
      </c>
    </row>
    <row r="791" spans="1:4" x14ac:dyDescent="0.25">
      <c r="A791" s="18">
        <f t="shared" si="36"/>
        <v>42</v>
      </c>
      <c r="B791" s="18">
        <f t="shared" si="37"/>
        <v>2</v>
      </c>
      <c r="C791" s="18"/>
      <c r="D791" s="18">
        <f t="shared" si="38"/>
        <v>0</v>
      </c>
    </row>
    <row r="792" spans="1:4" x14ac:dyDescent="0.25">
      <c r="A792" s="18">
        <f t="shared" si="36"/>
        <v>42</v>
      </c>
      <c r="B792" s="18">
        <f t="shared" si="37"/>
        <v>3</v>
      </c>
      <c r="C792" s="18" t="s">
        <v>189</v>
      </c>
      <c r="D792" s="18">
        <f t="shared" si="38"/>
        <v>38</v>
      </c>
    </row>
    <row r="793" spans="1:4" x14ac:dyDescent="0.25">
      <c r="A793" s="18">
        <f t="shared" si="36"/>
        <v>42</v>
      </c>
      <c r="B793" s="18">
        <f t="shared" si="37"/>
        <v>4</v>
      </c>
      <c r="C793" s="18"/>
      <c r="D793" s="18">
        <f t="shared" si="38"/>
        <v>0</v>
      </c>
    </row>
    <row r="794" spans="1:4" x14ac:dyDescent="0.25">
      <c r="A794" s="18">
        <f t="shared" si="36"/>
        <v>42</v>
      </c>
      <c r="B794" s="18">
        <f t="shared" si="37"/>
        <v>5</v>
      </c>
      <c r="C794" s="18" t="s">
        <v>190</v>
      </c>
      <c r="D794" s="18">
        <f t="shared" si="38"/>
        <v>55</v>
      </c>
    </row>
    <row r="795" spans="1:4" x14ac:dyDescent="0.25">
      <c r="A795" s="18">
        <f t="shared" si="36"/>
        <v>42</v>
      </c>
      <c r="B795" s="18">
        <f t="shared" si="37"/>
        <v>6</v>
      </c>
      <c r="C795" s="18" t="s">
        <v>191</v>
      </c>
      <c r="D795" s="18">
        <f t="shared" si="38"/>
        <v>55</v>
      </c>
    </row>
    <row r="796" spans="1:4" x14ac:dyDescent="0.25">
      <c r="A796" s="18">
        <f t="shared" si="36"/>
        <v>42</v>
      </c>
      <c r="B796" s="18">
        <f t="shared" si="37"/>
        <v>7</v>
      </c>
      <c r="C796" s="18" t="s">
        <v>192</v>
      </c>
      <c r="D796" s="18">
        <f t="shared" si="38"/>
        <v>56</v>
      </c>
    </row>
    <row r="797" spans="1:4" x14ac:dyDescent="0.25">
      <c r="A797" s="18">
        <f t="shared" si="36"/>
        <v>42</v>
      </c>
      <c r="B797" s="18">
        <f t="shared" si="37"/>
        <v>8</v>
      </c>
      <c r="C797" s="18" t="s">
        <v>193</v>
      </c>
      <c r="D797" s="18">
        <f t="shared" si="38"/>
        <v>56</v>
      </c>
    </row>
    <row r="798" spans="1:4" x14ac:dyDescent="0.25">
      <c r="A798" s="18">
        <f t="shared" si="36"/>
        <v>42</v>
      </c>
      <c r="B798" s="18">
        <f t="shared" si="37"/>
        <v>9</v>
      </c>
      <c r="C798" s="18" t="s">
        <v>194</v>
      </c>
      <c r="D798" s="18">
        <f t="shared" si="38"/>
        <v>55</v>
      </c>
    </row>
    <row r="799" spans="1:4" x14ac:dyDescent="0.25">
      <c r="A799" s="18">
        <f t="shared" si="36"/>
        <v>42</v>
      </c>
      <c r="B799" s="18">
        <f t="shared" si="37"/>
        <v>10</v>
      </c>
      <c r="C799" s="18" t="s">
        <v>195</v>
      </c>
      <c r="D799" s="18">
        <f t="shared" si="38"/>
        <v>55</v>
      </c>
    </row>
    <row r="800" spans="1:4" x14ac:dyDescent="0.25">
      <c r="A800" s="18">
        <f t="shared" si="36"/>
        <v>42</v>
      </c>
      <c r="B800" s="18">
        <f t="shared" si="37"/>
        <v>11</v>
      </c>
      <c r="C800" s="18" t="s">
        <v>196</v>
      </c>
      <c r="D800" s="18">
        <f t="shared" si="38"/>
        <v>55</v>
      </c>
    </row>
    <row r="801" spans="1:4" x14ac:dyDescent="0.25">
      <c r="A801" s="18">
        <f t="shared" si="36"/>
        <v>42</v>
      </c>
      <c r="B801" s="18">
        <f t="shared" si="37"/>
        <v>12</v>
      </c>
      <c r="C801" s="18"/>
      <c r="D801" s="18">
        <f t="shared" si="38"/>
        <v>0</v>
      </c>
    </row>
    <row r="802" spans="1:4" x14ac:dyDescent="0.25">
      <c r="A802" s="18">
        <f t="shared" si="36"/>
        <v>42</v>
      </c>
      <c r="B802" s="18">
        <f t="shared" si="37"/>
        <v>13</v>
      </c>
      <c r="C802" s="18" t="s">
        <v>197</v>
      </c>
      <c r="D802" s="18">
        <f t="shared" si="38"/>
        <v>78</v>
      </c>
    </row>
    <row r="803" spans="1:4" x14ac:dyDescent="0.25">
      <c r="A803" s="18">
        <f t="shared" si="36"/>
        <v>42</v>
      </c>
      <c r="B803" s="18">
        <f t="shared" si="37"/>
        <v>14</v>
      </c>
      <c r="C803" s="18" t="s">
        <v>198</v>
      </c>
      <c r="D803" s="18">
        <f t="shared" si="38"/>
        <v>78</v>
      </c>
    </row>
    <row r="804" spans="1:4" x14ac:dyDescent="0.25">
      <c r="A804" s="18">
        <f t="shared" si="36"/>
        <v>42</v>
      </c>
      <c r="B804" s="18">
        <f t="shared" si="37"/>
        <v>15</v>
      </c>
      <c r="C804" s="18"/>
      <c r="D804" s="18">
        <f t="shared" si="38"/>
        <v>0</v>
      </c>
    </row>
    <row r="805" spans="1:4" x14ac:dyDescent="0.25">
      <c r="A805" s="18">
        <f t="shared" si="36"/>
        <v>42</v>
      </c>
      <c r="B805" s="18">
        <f t="shared" si="37"/>
        <v>16</v>
      </c>
      <c r="C805" s="18" t="s">
        <v>199</v>
      </c>
      <c r="D805" s="18">
        <f t="shared" si="38"/>
        <v>37</v>
      </c>
    </row>
    <row r="806" spans="1:4" x14ac:dyDescent="0.25">
      <c r="A806" s="18">
        <f t="shared" si="36"/>
        <v>42</v>
      </c>
      <c r="B806" s="18">
        <f t="shared" si="37"/>
        <v>17</v>
      </c>
      <c r="C806" s="18" t="s">
        <v>173</v>
      </c>
      <c r="D806" s="18">
        <f t="shared" si="38"/>
        <v>34</v>
      </c>
    </row>
    <row r="807" spans="1:4" x14ac:dyDescent="0.25">
      <c r="A807" s="18">
        <f t="shared" si="36"/>
        <v>43</v>
      </c>
      <c r="B807" s="18">
        <f t="shared" si="37"/>
        <v>1</v>
      </c>
      <c r="C807" s="18"/>
      <c r="D807" s="18">
        <f t="shared" si="38"/>
        <v>0</v>
      </c>
    </row>
    <row r="808" spans="1:4" x14ac:dyDescent="0.25">
      <c r="A808" s="18">
        <f t="shared" si="36"/>
        <v>43</v>
      </c>
      <c r="B808" s="18">
        <f t="shared" si="37"/>
        <v>2</v>
      </c>
      <c r="C808" s="18" t="s">
        <v>200</v>
      </c>
      <c r="D808" s="18">
        <f t="shared" si="38"/>
        <v>40</v>
      </c>
    </row>
    <row r="809" spans="1:4" x14ac:dyDescent="0.25">
      <c r="A809" s="18">
        <f t="shared" si="36"/>
        <v>43</v>
      </c>
      <c r="B809" s="18">
        <f t="shared" si="37"/>
        <v>3</v>
      </c>
      <c r="C809" s="18"/>
      <c r="D809" s="18">
        <f t="shared" si="38"/>
        <v>0</v>
      </c>
    </row>
    <row r="810" spans="1:4" x14ac:dyDescent="0.25">
      <c r="A810" s="18">
        <f t="shared" si="36"/>
        <v>43</v>
      </c>
      <c r="B810" s="18">
        <f t="shared" si="37"/>
        <v>4</v>
      </c>
      <c r="C810" s="18" t="s">
        <v>201</v>
      </c>
      <c r="D810" s="18">
        <f t="shared" si="38"/>
        <v>51</v>
      </c>
    </row>
    <row r="811" spans="1:4" x14ac:dyDescent="0.25">
      <c r="A811" s="18">
        <f t="shared" si="36"/>
        <v>43</v>
      </c>
      <c r="B811" s="18">
        <f t="shared" si="37"/>
        <v>5</v>
      </c>
      <c r="C811" s="18" t="s">
        <v>202</v>
      </c>
      <c r="D811" s="18">
        <f t="shared" si="38"/>
        <v>51</v>
      </c>
    </row>
    <row r="812" spans="1:4" x14ac:dyDescent="0.25">
      <c r="A812" s="18">
        <f t="shared" si="36"/>
        <v>43</v>
      </c>
      <c r="B812" s="18">
        <f t="shared" si="37"/>
        <v>6</v>
      </c>
      <c r="C812" s="18" t="s">
        <v>203</v>
      </c>
      <c r="D812" s="18">
        <f t="shared" si="38"/>
        <v>51</v>
      </c>
    </row>
    <row r="813" spans="1:4" x14ac:dyDescent="0.25">
      <c r="A813" s="18">
        <f t="shared" si="36"/>
        <v>43</v>
      </c>
      <c r="B813" s="18">
        <f t="shared" si="37"/>
        <v>7</v>
      </c>
      <c r="C813" s="18"/>
      <c r="D813" s="18">
        <f t="shared" si="38"/>
        <v>0</v>
      </c>
    </row>
    <row r="814" spans="1:4" x14ac:dyDescent="0.25">
      <c r="A814" s="18">
        <f t="shared" si="36"/>
        <v>43</v>
      </c>
      <c r="B814" s="18">
        <f t="shared" si="37"/>
        <v>8</v>
      </c>
      <c r="C814" s="18" t="s">
        <v>204</v>
      </c>
      <c r="D814" s="18">
        <f t="shared" si="38"/>
        <v>75</v>
      </c>
    </row>
    <row r="815" spans="1:4" x14ac:dyDescent="0.25">
      <c r="A815" s="18">
        <f t="shared" si="36"/>
        <v>43</v>
      </c>
      <c r="B815" s="18">
        <f t="shared" si="37"/>
        <v>9</v>
      </c>
      <c r="C815" s="18"/>
      <c r="D815" s="18">
        <f t="shared" si="38"/>
        <v>0</v>
      </c>
    </row>
    <row r="816" spans="1:4" x14ac:dyDescent="0.25">
      <c r="A816" s="18">
        <f t="shared" si="36"/>
        <v>43</v>
      </c>
      <c r="B816" s="18">
        <f t="shared" si="37"/>
        <v>10</v>
      </c>
      <c r="C816" s="18" t="s">
        <v>205</v>
      </c>
      <c r="D816" s="18">
        <f t="shared" si="38"/>
        <v>37</v>
      </c>
    </row>
    <row r="817" spans="1:4" x14ac:dyDescent="0.25">
      <c r="A817" s="18">
        <f t="shared" si="36"/>
        <v>43</v>
      </c>
      <c r="B817" s="18">
        <f t="shared" si="37"/>
        <v>11</v>
      </c>
      <c r="C817" s="18" t="s">
        <v>173</v>
      </c>
      <c r="D817" s="18">
        <f t="shared" si="38"/>
        <v>34</v>
      </c>
    </row>
    <row r="818" spans="1:4" x14ac:dyDescent="0.25">
      <c r="A818" s="18">
        <f t="shared" si="36"/>
        <v>44</v>
      </c>
      <c r="B818" s="18">
        <f t="shared" si="37"/>
        <v>1</v>
      </c>
      <c r="C818" s="18"/>
      <c r="D818" s="18">
        <f t="shared" si="38"/>
        <v>0</v>
      </c>
    </row>
    <row r="819" spans="1:4" x14ac:dyDescent="0.25">
      <c r="A819" s="18">
        <f t="shared" si="36"/>
        <v>44</v>
      </c>
      <c r="B819" s="18">
        <f t="shared" si="37"/>
        <v>2</v>
      </c>
      <c r="C819" s="18" t="s">
        <v>208</v>
      </c>
      <c r="D819" s="18">
        <f t="shared" si="38"/>
        <v>43</v>
      </c>
    </row>
    <row r="820" spans="1:4" x14ac:dyDescent="0.25">
      <c r="A820" s="18">
        <f t="shared" si="36"/>
        <v>44</v>
      </c>
      <c r="B820" s="18">
        <f t="shared" si="37"/>
        <v>3</v>
      </c>
      <c r="C820" s="18"/>
      <c r="D820" s="18">
        <f t="shared" si="38"/>
        <v>0</v>
      </c>
    </row>
    <row r="821" spans="1:4" x14ac:dyDescent="0.25">
      <c r="A821" s="18">
        <f t="shared" si="36"/>
        <v>44</v>
      </c>
      <c r="B821" s="18">
        <f t="shared" si="37"/>
        <v>4</v>
      </c>
      <c r="C821" s="18" t="s">
        <v>209</v>
      </c>
      <c r="D821" s="18">
        <f t="shared" si="38"/>
        <v>40</v>
      </c>
    </row>
    <row r="822" spans="1:4" x14ac:dyDescent="0.25">
      <c r="A822" s="18">
        <f t="shared" si="36"/>
        <v>44</v>
      </c>
      <c r="B822" s="18">
        <f t="shared" si="37"/>
        <v>5</v>
      </c>
      <c r="C822" s="18"/>
      <c r="D822" s="18">
        <f t="shared" si="38"/>
        <v>0</v>
      </c>
    </row>
    <row r="823" spans="1:4" x14ac:dyDescent="0.25">
      <c r="A823" s="18">
        <f t="shared" si="36"/>
        <v>44</v>
      </c>
      <c r="B823" s="18">
        <f t="shared" si="37"/>
        <v>6</v>
      </c>
      <c r="C823" s="18" t="s">
        <v>210</v>
      </c>
      <c r="D823" s="18">
        <f t="shared" si="38"/>
        <v>80</v>
      </c>
    </row>
    <row r="824" spans="1:4" x14ac:dyDescent="0.25">
      <c r="A824" s="18">
        <f t="shared" si="36"/>
        <v>44</v>
      </c>
      <c r="B824" s="18">
        <f t="shared" si="37"/>
        <v>7</v>
      </c>
      <c r="C824" s="18" t="s">
        <v>211</v>
      </c>
      <c r="D824" s="18">
        <f t="shared" si="38"/>
        <v>8</v>
      </c>
    </row>
    <row r="825" spans="1:4" x14ac:dyDescent="0.25">
      <c r="A825" s="18">
        <f t="shared" si="36"/>
        <v>44</v>
      </c>
      <c r="B825" s="18">
        <f t="shared" si="37"/>
        <v>8</v>
      </c>
      <c r="C825" s="18" t="s">
        <v>212</v>
      </c>
      <c r="D825" s="18">
        <f t="shared" si="38"/>
        <v>80</v>
      </c>
    </row>
    <row r="826" spans="1:4" x14ac:dyDescent="0.25">
      <c r="A826" s="18">
        <f t="shared" si="36"/>
        <v>44</v>
      </c>
      <c r="B826" s="18">
        <f t="shared" si="37"/>
        <v>9</v>
      </c>
      <c r="C826" s="18" t="s">
        <v>213</v>
      </c>
      <c r="D826" s="18">
        <f t="shared" si="38"/>
        <v>9</v>
      </c>
    </row>
    <row r="827" spans="1:4" x14ac:dyDescent="0.25">
      <c r="A827" s="18">
        <f t="shared" si="36"/>
        <v>44</v>
      </c>
      <c r="B827" s="18">
        <f t="shared" si="37"/>
        <v>10</v>
      </c>
      <c r="C827" s="18" t="s">
        <v>214</v>
      </c>
      <c r="D827" s="18">
        <f t="shared" si="38"/>
        <v>80</v>
      </c>
    </row>
    <row r="828" spans="1:4" x14ac:dyDescent="0.25">
      <c r="A828" s="18">
        <f t="shared" si="36"/>
        <v>44</v>
      </c>
      <c r="B828" s="18">
        <f t="shared" si="37"/>
        <v>11</v>
      </c>
      <c r="C828" s="18" t="s">
        <v>213</v>
      </c>
      <c r="D828" s="18">
        <f t="shared" si="38"/>
        <v>9</v>
      </c>
    </row>
    <row r="829" spans="1:4" x14ac:dyDescent="0.25">
      <c r="A829" s="18">
        <f t="shared" si="36"/>
        <v>44</v>
      </c>
      <c r="B829" s="18">
        <f t="shared" si="37"/>
        <v>12</v>
      </c>
      <c r="C829" s="18" t="s">
        <v>215</v>
      </c>
      <c r="D829" s="18">
        <f t="shared" si="38"/>
        <v>80</v>
      </c>
    </row>
    <row r="830" spans="1:4" x14ac:dyDescent="0.25">
      <c r="A830" s="18">
        <f t="shared" si="36"/>
        <v>44</v>
      </c>
      <c r="B830" s="18">
        <f t="shared" si="37"/>
        <v>13</v>
      </c>
      <c r="C830" s="18" t="s">
        <v>216</v>
      </c>
      <c r="D830" s="18">
        <f t="shared" si="38"/>
        <v>13</v>
      </c>
    </row>
    <row r="831" spans="1:4" x14ac:dyDescent="0.25">
      <c r="A831" s="18">
        <f t="shared" si="36"/>
        <v>44</v>
      </c>
      <c r="B831" s="18">
        <f t="shared" si="37"/>
        <v>14</v>
      </c>
      <c r="C831" s="18"/>
      <c r="D831" s="18">
        <f t="shared" si="38"/>
        <v>0</v>
      </c>
    </row>
    <row r="832" spans="1:4" x14ac:dyDescent="0.25">
      <c r="A832" s="18">
        <f t="shared" si="36"/>
        <v>44</v>
      </c>
      <c r="B832" s="18">
        <f t="shared" si="37"/>
        <v>15</v>
      </c>
      <c r="C832" s="18" t="s">
        <v>217</v>
      </c>
      <c r="D832" s="18">
        <f t="shared" si="38"/>
        <v>80</v>
      </c>
    </row>
    <row r="833" spans="1:4" x14ac:dyDescent="0.25">
      <c r="A833" s="18">
        <f t="shared" si="36"/>
        <v>44</v>
      </c>
      <c r="B833" s="18">
        <f t="shared" si="37"/>
        <v>16</v>
      </c>
      <c r="C833" s="18" t="s">
        <v>218</v>
      </c>
      <c r="D833" s="18">
        <f t="shared" si="38"/>
        <v>11</v>
      </c>
    </row>
    <row r="834" spans="1:4" x14ac:dyDescent="0.25">
      <c r="A834" s="18">
        <f t="shared" si="36"/>
        <v>44</v>
      </c>
      <c r="B834" s="18">
        <f t="shared" si="37"/>
        <v>17</v>
      </c>
      <c r="C834" s="18" t="s">
        <v>217</v>
      </c>
      <c r="D834" s="18">
        <f t="shared" si="38"/>
        <v>80</v>
      </c>
    </row>
    <row r="835" spans="1:4" x14ac:dyDescent="0.25">
      <c r="A835" s="18">
        <f t="shared" ref="A835:A898" si="39">IF(ISNUMBER(A834),IF(B835&lt;B834,A834+1,A834),1)</f>
        <v>44</v>
      </c>
      <c r="B835" s="18">
        <f t="shared" ref="B835:B898" si="40">IF(ISNUMBER(B834),IF(C834="Press ENTER to resume the program.",1,B834+1),1)</f>
        <v>18</v>
      </c>
      <c r="C835" s="18" t="s">
        <v>218</v>
      </c>
      <c r="D835" s="18">
        <f t="shared" ref="D835:D898" si="41">LEN(C835)</f>
        <v>11</v>
      </c>
    </row>
    <row r="836" spans="1:4" x14ac:dyDescent="0.25">
      <c r="A836" s="18">
        <f t="shared" si="39"/>
        <v>44</v>
      </c>
      <c r="B836" s="18">
        <f t="shared" si="40"/>
        <v>19</v>
      </c>
      <c r="C836" s="18" t="s">
        <v>219</v>
      </c>
      <c r="D836" s="18">
        <f t="shared" si="41"/>
        <v>80</v>
      </c>
    </row>
    <row r="837" spans="1:4" x14ac:dyDescent="0.25">
      <c r="A837" s="18">
        <f t="shared" si="39"/>
        <v>44</v>
      </c>
      <c r="B837" s="18">
        <f t="shared" si="40"/>
        <v>20</v>
      </c>
      <c r="C837" s="18" t="s">
        <v>220</v>
      </c>
      <c r="D837" s="18">
        <f t="shared" si="41"/>
        <v>11</v>
      </c>
    </row>
    <row r="838" spans="1:4" x14ac:dyDescent="0.25">
      <c r="A838" s="18">
        <f t="shared" si="39"/>
        <v>44</v>
      </c>
      <c r="B838" s="18">
        <f t="shared" si="40"/>
        <v>21</v>
      </c>
      <c r="C838" s="18" t="s">
        <v>221</v>
      </c>
      <c r="D838" s="18">
        <f t="shared" si="41"/>
        <v>80</v>
      </c>
    </row>
    <row r="839" spans="1:4" x14ac:dyDescent="0.25">
      <c r="A839" s="18">
        <f t="shared" si="39"/>
        <v>44</v>
      </c>
      <c r="B839" s="18">
        <f t="shared" si="40"/>
        <v>22</v>
      </c>
      <c r="C839" s="18" t="s">
        <v>222</v>
      </c>
      <c r="D839" s="18">
        <f t="shared" si="41"/>
        <v>11</v>
      </c>
    </row>
    <row r="840" spans="1:4" x14ac:dyDescent="0.25">
      <c r="A840" s="18">
        <f t="shared" si="39"/>
        <v>44</v>
      </c>
      <c r="B840" s="18">
        <f t="shared" si="40"/>
        <v>23</v>
      </c>
      <c r="C840" s="18"/>
      <c r="D840" s="18">
        <f t="shared" si="41"/>
        <v>0</v>
      </c>
    </row>
    <row r="841" spans="1:4" x14ac:dyDescent="0.25">
      <c r="A841" s="18">
        <f t="shared" si="39"/>
        <v>44</v>
      </c>
      <c r="B841" s="18">
        <f t="shared" si="40"/>
        <v>24</v>
      </c>
      <c r="C841" s="18" t="s">
        <v>173</v>
      </c>
      <c r="D841" s="18">
        <f t="shared" si="41"/>
        <v>34</v>
      </c>
    </row>
    <row r="842" spans="1:4" x14ac:dyDescent="0.25">
      <c r="A842" s="18">
        <f t="shared" si="39"/>
        <v>45</v>
      </c>
      <c r="B842" s="18">
        <f t="shared" si="40"/>
        <v>1</v>
      </c>
      <c r="C842" s="18"/>
      <c r="D842" s="18">
        <f t="shared" si="41"/>
        <v>0</v>
      </c>
    </row>
    <row r="843" spans="1:4" x14ac:dyDescent="0.25">
      <c r="A843" s="18">
        <f t="shared" si="39"/>
        <v>45</v>
      </c>
      <c r="B843" s="18">
        <f t="shared" si="40"/>
        <v>2</v>
      </c>
      <c r="C843" s="18" t="s">
        <v>387</v>
      </c>
      <c r="D843" s="18">
        <f t="shared" si="41"/>
        <v>45</v>
      </c>
    </row>
    <row r="844" spans="1:4" x14ac:dyDescent="0.25">
      <c r="A844" s="18">
        <f t="shared" si="39"/>
        <v>45</v>
      </c>
      <c r="B844" s="18">
        <f t="shared" si="40"/>
        <v>3</v>
      </c>
      <c r="C844" s="18"/>
      <c r="D844" s="18">
        <f t="shared" si="41"/>
        <v>0</v>
      </c>
    </row>
    <row r="845" spans="1:4" x14ac:dyDescent="0.25">
      <c r="A845" s="18">
        <f t="shared" si="39"/>
        <v>45</v>
      </c>
      <c r="B845" s="18">
        <f t="shared" si="40"/>
        <v>4</v>
      </c>
      <c r="C845" s="18" t="s">
        <v>223</v>
      </c>
      <c r="D845" s="18">
        <f t="shared" si="41"/>
        <v>80</v>
      </c>
    </row>
    <row r="846" spans="1:4" x14ac:dyDescent="0.25">
      <c r="A846" s="18">
        <f t="shared" si="39"/>
        <v>45</v>
      </c>
      <c r="B846" s="18">
        <f t="shared" si="40"/>
        <v>5</v>
      </c>
      <c r="C846" s="18" t="s">
        <v>224</v>
      </c>
      <c r="D846" s="18">
        <f t="shared" si="41"/>
        <v>13</v>
      </c>
    </row>
    <row r="847" spans="1:4" x14ac:dyDescent="0.25">
      <c r="A847" s="18">
        <f t="shared" si="39"/>
        <v>45</v>
      </c>
      <c r="B847" s="18">
        <f t="shared" si="40"/>
        <v>6</v>
      </c>
      <c r="C847" s="18" t="s">
        <v>225</v>
      </c>
      <c r="D847" s="18">
        <f t="shared" si="41"/>
        <v>80</v>
      </c>
    </row>
    <row r="848" spans="1:4" x14ac:dyDescent="0.25">
      <c r="A848" s="18">
        <f t="shared" si="39"/>
        <v>45</v>
      </c>
      <c r="B848" s="18">
        <f t="shared" si="40"/>
        <v>7</v>
      </c>
      <c r="C848" s="18" t="s">
        <v>226</v>
      </c>
      <c r="D848" s="18">
        <f t="shared" si="41"/>
        <v>11</v>
      </c>
    </row>
    <row r="849" spans="1:4" x14ac:dyDescent="0.25">
      <c r="A849" s="18">
        <f t="shared" si="39"/>
        <v>45</v>
      </c>
      <c r="B849" s="18">
        <f t="shared" si="40"/>
        <v>8</v>
      </c>
      <c r="C849" s="18" t="s">
        <v>227</v>
      </c>
      <c r="D849" s="18">
        <f t="shared" si="41"/>
        <v>80</v>
      </c>
    </row>
    <row r="850" spans="1:4" x14ac:dyDescent="0.25">
      <c r="A850" s="18">
        <f t="shared" si="39"/>
        <v>45</v>
      </c>
      <c r="B850" s="18">
        <f t="shared" si="40"/>
        <v>9</v>
      </c>
      <c r="C850" s="18" t="s">
        <v>228</v>
      </c>
      <c r="D850" s="18">
        <f t="shared" si="41"/>
        <v>14</v>
      </c>
    </row>
    <row r="851" spans="1:4" x14ac:dyDescent="0.25">
      <c r="A851" s="18">
        <f t="shared" si="39"/>
        <v>45</v>
      </c>
      <c r="B851" s="18">
        <f t="shared" si="40"/>
        <v>10</v>
      </c>
      <c r="C851" s="18" t="s">
        <v>229</v>
      </c>
      <c r="D851" s="18">
        <f t="shared" si="41"/>
        <v>80</v>
      </c>
    </row>
    <row r="852" spans="1:4" x14ac:dyDescent="0.25">
      <c r="A852" s="18">
        <f t="shared" si="39"/>
        <v>45</v>
      </c>
      <c r="B852" s="18">
        <f t="shared" si="40"/>
        <v>11</v>
      </c>
      <c r="C852" s="18" t="s">
        <v>230</v>
      </c>
      <c r="D852" s="18">
        <f t="shared" si="41"/>
        <v>15</v>
      </c>
    </row>
    <row r="853" spans="1:4" x14ac:dyDescent="0.25">
      <c r="A853" s="18">
        <f t="shared" si="39"/>
        <v>45</v>
      </c>
      <c r="B853" s="18">
        <f t="shared" si="40"/>
        <v>12</v>
      </c>
      <c r="C853" s="18"/>
      <c r="D853" s="18">
        <f t="shared" si="41"/>
        <v>0</v>
      </c>
    </row>
    <row r="854" spans="1:4" x14ac:dyDescent="0.25">
      <c r="A854" s="18">
        <f t="shared" si="39"/>
        <v>45</v>
      </c>
      <c r="B854" s="18">
        <f t="shared" si="40"/>
        <v>13</v>
      </c>
      <c r="C854" s="18" t="s">
        <v>388</v>
      </c>
      <c r="D854" s="18">
        <f t="shared" si="41"/>
        <v>46</v>
      </c>
    </row>
    <row r="855" spans="1:4" x14ac:dyDescent="0.25">
      <c r="A855" s="18">
        <f t="shared" si="39"/>
        <v>45</v>
      </c>
      <c r="B855" s="18">
        <f t="shared" si="40"/>
        <v>14</v>
      </c>
      <c r="C855" s="18"/>
      <c r="D855" s="18">
        <f t="shared" si="41"/>
        <v>0</v>
      </c>
    </row>
    <row r="856" spans="1:4" x14ac:dyDescent="0.25">
      <c r="A856" s="18">
        <f t="shared" si="39"/>
        <v>45</v>
      </c>
      <c r="B856" s="18">
        <f t="shared" si="40"/>
        <v>15</v>
      </c>
      <c r="C856" s="18" t="s">
        <v>389</v>
      </c>
      <c r="D856" s="18">
        <f t="shared" si="41"/>
        <v>80</v>
      </c>
    </row>
    <row r="857" spans="1:4" x14ac:dyDescent="0.25">
      <c r="A857" s="18">
        <f t="shared" si="39"/>
        <v>45</v>
      </c>
      <c r="B857" s="18">
        <f t="shared" si="40"/>
        <v>16</v>
      </c>
      <c r="C857" s="18" t="s">
        <v>390</v>
      </c>
      <c r="D857" s="18">
        <f t="shared" si="41"/>
        <v>11</v>
      </c>
    </row>
    <row r="858" spans="1:4" x14ac:dyDescent="0.25">
      <c r="A858" s="18">
        <f t="shared" si="39"/>
        <v>45</v>
      </c>
      <c r="B858" s="18">
        <f t="shared" si="40"/>
        <v>17</v>
      </c>
      <c r="C858" s="18" t="s">
        <v>391</v>
      </c>
      <c r="D858" s="18">
        <f t="shared" si="41"/>
        <v>80</v>
      </c>
    </row>
    <row r="859" spans="1:4" x14ac:dyDescent="0.25">
      <c r="A859" s="18">
        <f t="shared" si="39"/>
        <v>45</v>
      </c>
      <c r="B859" s="18">
        <f t="shared" si="40"/>
        <v>18</v>
      </c>
      <c r="C859" s="18" t="s">
        <v>392</v>
      </c>
      <c r="D859" s="18">
        <f t="shared" si="41"/>
        <v>12</v>
      </c>
    </row>
    <row r="860" spans="1:4" x14ac:dyDescent="0.25">
      <c r="A860" s="18">
        <f t="shared" si="39"/>
        <v>45</v>
      </c>
      <c r="B860" s="18">
        <f t="shared" si="40"/>
        <v>19</v>
      </c>
      <c r="C860" s="18" t="s">
        <v>173</v>
      </c>
      <c r="D860" s="18">
        <f t="shared" si="41"/>
        <v>34</v>
      </c>
    </row>
    <row r="861" spans="1:4" x14ac:dyDescent="0.25">
      <c r="A861" s="18">
        <f t="shared" si="39"/>
        <v>46</v>
      </c>
      <c r="B861" s="18">
        <f t="shared" si="40"/>
        <v>1</v>
      </c>
      <c r="C861" s="18"/>
      <c r="D861" s="18">
        <f t="shared" si="41"/>
        <v>0</v>
      </c>
    </row>
    <row r="862" spans="1:4" x14ac:dyDescent="0.25">
      <c r="A862" s="18">
        <f t="shared" si="39"/>
        <v>46</v>
      </c>
      <c r="B862" s="18">
        <f t="shared" si="40"/>
        <v>2</v>
      </c>
      <c r="C862" s="18" t="s">
        <v>440</v>
      </c>
      <c r="D862" s="18">
        <f t="shared" si="41"/>
        <v>59</v>
      </c>
    </row>
    <row r="863" spans="1:4" x14ac:dyDescent="0.25">
      <c r="A863" s="18">
        <f t="shared" si="39"/>
        <v>46</v>
      </c>
      <c r="B863" s="18">
        <f t="shared" si="40"/>
        <v>3</v>
      </c>
      <c r="C863" s="18"/>
      <c r="D863" s="18">
        <f t="shared" si="41"/>
        <v>0</v>
      </c>
    </row>
    <row r="864" spans="1:4" x14ac:dyDescent="0.25">
      <c r="A864" s="18">
        <f t="shared" si="39"/>
        <v>46</v>
      </c>
      <c r="B864" s="18">
        <f t="shared" si="40"/>
        <v>4</v>
      </c>
      <c r="C864" s="18" t="s">
        <v>394</v>
      </c>
      <c r="D864" s="18">
        <f t="shared" si="41"/>
        <v>80</v>
      </c>
    </row>
    <row r="865" spans="1:4" x14ac:dyDescent="0.25">
      <c r="A865" s="18">
        <f t="shared" si="39"/>
        <v>46</v>
      </c>
      <c r="B865" s="18">
        <f t="shared" si="40"/>
        <v>5</v>
      </c>
      <c r="C865" s="18" t="s">
        <v>395</v>
      </c>
      <c r="D865" s="18">
        <f t="shared" si="41"/>
        <v>26</v>
      </c>
    </row>
    <row r="866" spans="1:4" x14ac:dyDescent="0.25">
      <c r="A866" s="18">
        <f t="shared" si="39"/>
        <v>46</v>
      </c>
      <c r="B866" s="18">
        <f t="shared" si="40"/>
        <v>6</v>
      </c>
      <c r="C866" s="18" t="s">
        <v>396</v>
      </c>
      <c r="D866" s="18">
        <f t="shared" si="41"/>
        <v>80</v>
      </c>
    </row>
    <row r="867" spans="1:4" x14ac:dyDescent="0.25">
      <c r="A867" s="18">
        <f t="shared" si="39"/>
        <v>46</v>
      </c>
      <c r="B867" s="18">
        <f t="shared" si="40"/>
        <v>7</v>
      </c>
      <c r="C867" s="18" t="s">
        <v>441</v>
      </c>
      <c r="D867" s="18">
        <f t="shared" si="41"/>
        <v>47</v>
      </c>
    </row>
    <row r="868" spans="1:4" x14ac:dyDescent="0.25">
      <c r="A868" s="18">
        <f t="shared" si="39"/>
        <v>46</v>
      </c>
      <c r="B868" s="18">
        <f t="shared" si="40"/>
        <v>8</v>
      </c>
      <c r="C868" s="18" t="s">
        <v>398</v>
      </c>
      <c r="D868" s="18">
        <f t="shared" si="41"/>
        <v>80</v>
      </c>
    </row>
    <row r="869" spans="1:4" x14ac:dyDescent="0.25">
      <c r="A869" s="18">
        <f t="shared" si="39"/>
        <v>46</v>
      </c>
      <c r="B869" s="18">
        <f t="shared" si="40"/>
        <v>9</v>
      </c>
      <c r="C869" s="18" t="s">
        <v>442</v>
      </c>
      <c r="D869" s="18">
        <f t="shared" si="41"/>
        <v>22</v>
      </c>
    </row>
    <row r="870" spans="1:4" x14ac:dyDescent="0.25">
      <c r="A870" s="18">
        <f t="shared" si="39"/>
        <v>46</v>
      </c>
      <c r="B870" s="18">
        <f t="shared" si="40"/>
        <v>10</v>
      </c>
      <c r="C870" s="18"/>
      <c r="D870" s="18">
        <f t="shared" si="41"/>
        <v>0</v>
      </c>
    </row>
    <row r="871" spans="1:4" x14ac:dyDescent="0.25">
      <c r="A871" s="18">
        <f t="shared" si="39"/>
        <v>46</v>
      </c>
      <c r="B871" s="18">
        <f t="shared" si="40"/>
        <v>11</v>
      </c>
      <c r="C871" s="18" t="s">
        <v>400</v>
      </c>
      <c r="D871" s="18">
        <f t="shared" si="41"/>
        <v>80</v>
      </c>
    </row>
    <row r="872" spans="1:4" x14ac:dyDescent="0.25">
      <c r="A872" s="18">
        <f t="shared" si="39"/>
        <v>46</v>
      </c>
      <c r="B872" s="18">
        <f t="shared" si="40"/>
        <v>12</v>
      </c>
      <c r="C872" s="18">
        <v>1</v>
      </c>
      <c r="D872" s="18">
        <f t="shared" si="41"/>
        <v>1</v>
      </c>
    </row>
    <row r="873" spans="1:4" x14ac:dyDescent="0.25">
      <c r="A873" s="18">
        <f t="shared" si="39"/>
        <v>46</v>
      </c>
      <c r="B873" s="18">
        <f t="shared" si="40"/>
        <v>13</v>
      </c>
      <c r="C873" s="18" t="s">
        <v>401</v>
      </c>
      <c r="D873" s="18">
        <f t="shared" si="41"/>
        <v>80</v>
      </c>
    </row>
    <row r="874" spans="1:4" x14ac:dyDescent="0.25">
      <c r="A874" s="18">
        <f t="shared" si="39"/>
        <v>46</v>
      </c>
      <c r="B874" s="18">
        <f t="shared" si="40"/>
        <v>14</v>
      </c>
      <c r="C874" s="18" t="s">
        <v>443</v>
      </c>
      <c r="D874" s="18">
        <f t="shared" si="41"/>
        <v>10</v>
      </c>
    </row>
    <row r="875" spans="1:4" x14ac:dyDescent="0.25">
      <c r="A875" s="18">
        <f t="shared" si="39"/>
        <v>46</v>
      </c>
      <c r="B875" s="18">
        <f t="shared" si="40"/>
        <v>15</v>
      </c>
      <c r="C875" s="18" t="s">
        <v>444</v>
      </c>
      <c r="D875" s="18">
        <f t="shared" si="41"/>
        <v>79</v>
      </c>
    </row>
    <row r="876" spans="1:4" x14ac:dyDescent="0.25">
      <c r="A876" s="18">
        <f t="shared" si="39"/>
        <v>46</v>
      </c>
      <c r="B876" s="18">
        <f t="shared" si="40"/>
        <v>16</v>
      </c>
      <c r="C876" s="18"/>
      <c r="D876" s="18">
        <f t="shared" si="41"/>
        <v>0</v>
      </c>
    </row>
    <row r="877" spans="1:4" x14ac:dyDescent="0.25">
      <c r="A877" s="18">
        <f t="shared" si="39"/>
        <v>46</v>
      </c>
      <c r="B877" s="18">
        <f t="shared" si="40"/>
        <v>17</v>
      </c>
      <c r="C877" s="18" t="s">
        <v>404</v>
      </c>
      <c r="D877" s="18">
        <f t="shared" si="41"/>
        <v>37</v>
      </c>
    </row>
    <row r="878" spans="1:4" x14ac:dyDescent="0.25">
      <c r="A878" s="18">
        <f t="shared" si="39"/>
        <v>46</v>
      </c>
      <c r="B878" s="18">
        <f t="shared" si="40"/>
        <v>18</v>
      </c>
      <c r="C878" s="18" t="s">
        <v>173</v>
      </c>
      <c r="D878" s="18">
        <f t="shared" si="41"/>
        <v>34</v>
      </c>
    </row>
    <row r="879" spans="1:4" x14ac:dyDescent="0.25">
      <c r="A879" s="18">
        <f t="shared" si="39"/>
        <v>47</v>
      </c>
      <c r="B879" s="18">
        <f t="shared" si="40"/>
        <v>1</v>
      </c>
      <c r="C879" s="18"/>
      <c r="D879" s="18">
        <f t="shared" si="41"/>
        <v>0</v>
      </c>
    </row>
    <row r="880" spans="1:4" x14ac:dyDescent="0.25">
      <c r="A880" s="18">
        <f t="shared" si="39"/>
        <v>47</v>
      </c>
      <c r="B880" s="18">
        <f t="shared" si="40"/>
        <v>2</v>
      </c>
      <c r="C880" s="18" t="s">
        <v>405</v>
      </c>
      <c r="D880" s="18">
        <f t="shared" si="41"/>
        <v>40</v>
      </c>
    </row>
    <row r="881" spans="1:4" x14ac:dyDescent="0.25">
      <c r="A881" s="18">
        <f t="shared" si="39"/>
        <v>47</v>
      </c>
      <c r="B881" s="18">
        <f t="shared" si="40"/>
        <v>3</v>
      </c>
      <c r="C881" s="18"/>
      <c r="D881" s="18">
        <f t="shared" si="41"/>
        <v>0</v>
      </c>
    </row>
    <row r="882" spans="1:4" x14ac:dyDescent="0.25">
      <c r="A882" s="18">
        <f t="shared" si="39"/>
        <v>47</v>
      </c>
      <c r="B882" s="18">
        <f t="shared" si="40"/>
        <v>4</v>
      </c>
      <c r="C882" s="18" t="s">
        <v>406</v>
      </c>
      <c r="D882" s="18">
        <f t="shared" si="41"/>
        <v>69</v>
      </c>
    </row>
    <row r="883" spans="1:4" x14ac:dyDescent="0.25">
      <c r="A883" s="18">
        <f t="shared" si="39"/>
        <v>47</v>
      </c>
      <c r="B883" s="18">
        <f t="shared" si="40"/>
        <v>5</v>
      </c>
      <c r="C883" s="18" t="s">
        <v>407</v>
      </c>
      <c r="D883" s="18">
        <f t="shared" si="41"/>
        <v>68</v>
      </c>
    </row>
    <row r="884" spans="1:4" x14ac:dyDescent="0.25">
      <c r="A884" s="18">
        <f t="shared" si="39"/>
        <v>47</v>
      </c>
      <c r="B884" s="18">
        <f t="shared" si="40"/>
        <v>6</v>
      </c>
      <c r="C884" s="18"/>
      <c r="D884" s="18">
        <f t="shared" si="41"/>
        <v>0</v>
      </c>
    </row>
    <row r="885" spans="1:4" x14ac:dyDescent="0.25">
      <c r="A885" s="18">
        <f t="shared" si="39"/>
        <v>47</v>
      </c>
      <c r="B885" s="18">
        <f t="shared" si="40"/>
        <v>7</v>
      </c>
      <c r="C885" s="18" t="s">
        <v>408</v>
      </c>
      <c r="D885" s="18">
        <f t="shared" si="41"/>
        <v>68</v>
      </c>
    </row>
    <row r="886" spans="1:4" x14ac:dyDescent="0.25">
      <c r="A886" s="18">
        <f t="shared" si="39"/>
        <v>47</v>
      </c>
      <c r="B886" s="18">
        <f t="shared" si="40"/>
        <v>8</v>
      </c>
      <c r="C886" s="18" t="s">
        <v>409</v>
      </c>
      <c r="D886" s="18">
        <f t="shared" si="41"/>
        <v>69</v>
      </c>
    </row>
    <row r="887" spans="1:4" x14ac:dyDescent="0.25">
      <c r="A887" s="18">
        <f t="shared" si="39"/>
        <v>47</v>
      </c>
      <c r="B887" s="18">
        <f t="shared" si="40"/>
        <v>9</v>
      </c>
      <c r="C887" s="18"/>
      <c r="D887" s="18">
        <f t="shared" si="41"/>
        <v>0</v>
      </c>
    </row>
    <row r="888" spans="1:4" x14ac:dyDescent="0.25">
      <c r="A888" s="18">
        <f t="shared" si="39"/>
        <v>47</v>
      </c>
      <c r="B888" s="18">
        <f t="shared" si="40"/>
        <v>10</v>
      </c>
      <c r="C888" s="18" t="s">
        <v>410</v>
      </c>
      <c r="D888" s="18">
        <f t="shared" si="41"/>
        <v>68</v>
      </c>
    </row>
    <row r="889" spans="1:4" x14ac:dyDescent="0.25">
      <c r="A889" s="18">
        <f t="shared" si="39"/>
        <v>47</v>
      </c>
      <c r="B889" s="18">
        <f t="shared" si="40"/>
        <v>11</v>
      </c>
      <c r="C889" s="18" t="s">
        <v>411</v>
      </c>
      <c r="D889" s="18">
        <f t="shared" si="41"/>
        <v>69</v>
      </c>
    </row>
    <row r="890" spans="1:4" x14ac:dyDescent="0.25">
      <c r="A890" s="18">
        <f t="shared" si="39"/>
        <v>47</v>
      </c>
      <c r="B890" s="18">
        <f t="shared" si="40"/>
        <v>12</v>
      </c>
      <c r="C890" s="18"/>
      <c r="D890" s="18">
        <f t="shared" si="41"/>
        <v>0</v>
      </c>
    </row>
    <row r="891" spans="1:4" x14ac:dyDescent="0.25">
      <c r="A891" s="18">
        <f t="shared" si="39"/>
        <v>47</v>
      </c>
      <c r="B891" s="18">
        <f t="shared" si="40"/>
        <v>13</v>
      </c>
      <c r="C891" s="18" t="s">
        <v>412</v>
      </c>
      <c r="D891" s="18">
        <f t="shared" si="41"/>
        <v>37</v>
      </c>
    </row>
    <row r="892" spans="1:4" x14ac:dyDescent="0.25">
      <c r="A892" s="18">
        <f t="shared" si="39"/>
        <v>47</v>
      </c>
      <c r="B892" s="18">
        <f t="shared" si="40"/>
        <v>14</v>
      </c>
      <c r="C892" s="18" t="s">
        <v>173</v>
      </c>
      <c r="D892" s="18">
        <f t="shared" si="41"/>
        <v>34</v>
      </c>
    </row>
    <row r="893" spans="1:4" x14ac:dyDescent="0.25">
      <c r="A893" s="18">
        <f t="shared" si="39"/>
        <v>48</v>
      </c>
      <c r="B893" s="18">
        <f t="shared" si="40"/>
        <v>1</v>
      </c>
      <c r="C893" s="18"/>
      <c r="D893" s="18">
        <f t="shared" si="41"/>
        <v>0</v>
      </c>
    </row>
    <row r="894" spans="1:4" x14ac:dyDescent="0.25">
      <c r="A894" s="18">
        <f t="shared" si="39"/>
        <v>48</v>
      </c>
      <c r="B894" s="18">
        <f t="shared" si="40"/>
        <v>2</v>
      </c>
      <c r="C894" s="18" t="s">
        <v>413</v>
      </c>
      <c r="D894" s="18">
        <f t="shared" si="41"/>
        <v>37</v>
      </c>
    </row>
    <row r="895" spans="1:4" x14ac:dyDescent="0.25">
      <c r="A895" s="18">
        <f t="shared" si="39"/>
        <v>48</v>
      </c>
      <c r="B895" s="18">
        <f t="shared" si="40"/>
        <v>3</v>
      </c>
      <c r="C895" s="18"/>
      <c r="D895" s="18">
        <f t="shared" si="41"/>
        <v>0</v>
      </c>
    </row>
    <row r="896" spans="1:4" x14ac:dyDescent="0.25">
      <c r="A896" s="18">
        <f t="shared" si="39"/>
        <v>48</v>
      </c>
      <c r="B896" s="18">
        <f t="shared" si="40"/>
        <v>4</v>
      </c>
      <c r="C896" s="18" t="s">
        <v>414</v>
      </c>
      <c r="D896" s="18">
        <f t="shared" si="41"/>
        <v>58</v>
      </c>
    </row>
    <row r="897" spans="1:4" x14ac:dyDescent="0.25">
      <c r="A897" s="18">
        <f t="shared" si="39"/>
        <v>48</v>
      </c>
      <c r="B897" s="18">
        <f t="shared" si="40"/>
        <v>5</v>
      </c>
      <c r="C897" s="18" t="s">
        <v>415</v>
      </c>
      <c r="D897" s="18">
        <f t="shared" si="41"/>
        <v>59</v>
      </c>
    </row>
    <row r="898" spans="1:4" x14ac:dyDescent="0.25">
      <c r="A898" s="18">
        <f t="shared" si="39"/>
        <v>48</v>
      </c>
      <c r="B898" s="18">
        <f t="shared" si="40"/>
        <v>6</v>
      </c>
      <c r="C898" s="18" t="s">
        <v>416</v>
      </c>
      <c r="D898" s="18">
        <f t="shared" si="41"/>
        <v>58</v>
      </c>
    </row>
    <row r="899" spans="1:4" x14ac:dyDescent="0.25">
      <c r="A899" s="18">
        <f t="shared" ref="A899:A962" si="42">IF(ISNUMBER(A898),IF(B899&lt;B898,A898+1,A898),1)</f>
        <v>48</v>
      </c>
      <c r="B899" s="18">
        <f t="shared" ref="B899:B962" si="43">IF(ISNUMBER(B898),IF(C898="Press ENTER to resume the program.",1,B898+1),1)</f>
        <v>7</v>
      </c>
      <c r="C899" s="18" t="s">
        <v>417</v>
      </c>
      <c r="D899" s="18">
        <f t="shared" ref="D899:D962" si="44">LEN(C899)</f>
        <v>59</v>
      </c>
    </row>
    <row r="900" spans="1:4" x14ac:dyDescent="0.25">
      <c r="A900" s="18">
        <f t="shared" si="42"/>
        <v>48</v>
      </c>
      <c r="B900" s="18">
        <f t="shared" si="43"/>
        <v>8</v>
      </c>
      <c r="C900" s="18" t="s">
        <v>418</v>
      </c>
      <c r="D900" s="18">
        <f t="shared" si="44"/>
        <v>58</v>
      </c>
    </row>
    <row r="901" spans="1:4" x14ac:dyDescent="0.25">
      <c r="A901" s="18">
        <f t="shared" si="42"/>
        <v>48</v>
      </c>
      <c r="B901" s="18">
        <f t="shared" si="43"/>
        <v>9</v>
      </c>
      <c r="C901" s="18" t="s">
        <v>419</v>
      </c>
      <c r="D901" s="18">
        <f t="shared" si="44"/>
        <v>58</v>
      </c>
    </row>
    <row r="902" spans="1:4" x14ac:dyDescent="0.25">
      <c r="A902" s="18">
        <f t="shared" si="42"/>
        <v>48</v>
      </c>
      <c r="B902" s="18">
        <f t="shared" si="43"/>
        <v>10</v>
      </c>
      <c r="C902" s="18" t="s">
        <v>420</v>
      </c>
      <c r="D902" s="18">
        <f t="shared" si="44"/>
        <v>58</v>
      </c>
    </row>
    <row r="903" spans="1:4" x14ac:dyDescent="0.25">
      <c r="A903" s="18">
        <f t="shared" si="42"/>
        <v>48</v>
      </c>
      <c r="B903" s="18">
        <f t="shared" si="43"/>
        <v>11</v>
      </c>
      <c r="C903" s="18"/>
      <c r="D903" s="18">
        <f t="shared" si="44"/>
        <v>0</v>
      </c>
    </row>
    <row r="904" spans="1:4" x14ac:dyDescent="0.25">
      <c r="A904" s="18">
        <f t="shared" si="42"/>
        <v>48</v>
      </c>
      <c r="B904" s="18">
        <f t="shared" si="43"/>
        <v>12</v>
      </c>
      <c r="C904" s="18" t="s">
        <v>421</v>
      </c>
      <c r="D904" s="18">
        <f t="shared" si="44"/>
        <v>79</v>
      </c>
    </row>
    <row r="905" spans="1:4" x14ac:dyDescent="0.25">
      <c r="A905" s="18">
        <f t="shared" si="42"/>
        <v>48</v>
      </c>
      <c r="B905" s="18">
        <f t="shared" si="43"/>
        <v>13</v>
      </c>
      <c r="C905" s="18" t="s">
        <v>422</v>
      </c>
      <c r="D905" s="18">
        <f t="shared" si="44"/>
        <v>18</v>
      </c>
    </row>
    <row r="906" spans="1:4" x14ac:dyDescent="0.25">
      <c r="A906" s="18">
        <f t="shared" si="42"/>
        <v>48</v>
      </c>
      <c r="B906" s="18">
        <f t="shared" si="43"/>
        <v>14</v>
      </c>
      <c r="C906" s="18"/>
      <c r="D906" s="18">
        <f t="shared" si="44"/>
        <v>0</v>
      </c>
    </row>
    <row r="907" spans="1:4" x14ac:dyDescent="0.25">
      <c r="A907" s="18">
        <f t="shared" si="42"/>
        <v>48</v>
      </c>
      <c r="B907" s="18">
        <f t="shared" si="43"/>
        <v>15</v>
      </c>
      <c r="C907" s="18" t="s">
        <v>423</v>
      </c>
      <c r="D907" s="18">
        <f t="shared" si="44"/>
        <v>58</v>
      </c>
    </row>
    <row r="908" spans="1:4" x14ac:dyDescent="0.25">
      <c r="A908" s="18">
        <f t="shared" si="42"/>
        <v>48</v>
      </c>
      <c r="B908" s="18">
        <f t="shared" si="43"/>
        <v>16</v>
      </c>
      <c r="C908" s="18" t="s">
        <v>424</v>
      </c>
      <c r="D908" s="18">
        <f t="shared" si="44"/>
        <v>58</v>
      </c>
    </row>
    <row r="909" spans="1:4" x14ac:dyDescent="0.25">
      <c r="A909" s="18">
        <f t="shared" si="42"/>
        <v>48</v>
      </c>
      <c r="B909" s="18">
        <f t="shared" si="43"/>
        <v>17</v>
      </c>
      <c r="C909" s="18" t="s">
        <v>425</v>
      </c>
      <c r="D909" s="18">
        <f t="shared" si="44"/>
        <v>71</v>
      </c>
    </row>
    <row r="910" spans="1:4" x14ac:dyDescent="0.25">
      <c r="A910" s="18">
        <f t="shared" si="42"/>
        <v>48</v>
      </c>
      <c r="B910" s="18">
        <f t="shared" si="43"/>
        <v>18</v>
      </c>
      <c r="C910" s="18" t="s">
        <v>426</v>
      </c>
      <c r="D910" s="18">
        <f t="shared" si="44"/>
        <v>73</v>
      </c>
    </row>
    <row r="911" spans="1:4" x14ac:dyDescent="0.25">
      <c r="A911" s="18">
        <f t="shared" si="42"/>
        <v>48</v>
      </c>
      <c r="B911" s="18">
        <f t="shared" si="43"/>
        <v>19</v>
      </c>
      <c r="C911" s="18" t="s">
        <v>427</v>
      </c>
      <c r="D911" s="18">
        <f t="shared" si="44"/>
        <v>58</v>
      </c>
    </row>
    <row r="912" spans="1:4" x14ac:dyDescent="0.25">
      <c r="A912" s="18">
        <f t="shared" si="42"/>
        <v>48</v>
      </c>
      <c r="B912" s="18">
        <f t="shared" si="43"/>
        <v>20</v>
      </c>
      <c r="C912" s="18" t="s">
        <v>428</v>
      </c>
      <c r="D912" s="18">
        <f t="shared" si="44"/>
        <v>60</v>
      </c>
    </row>
    <row r="913" spans="1:4" x14ac:dyDescent="0.25">
      <c r="A913" s="18">
        <f t="shared" si="42"/>
        <v>48</v>
      </c>
      <c r="B913" s="18">
        <f t="shared" si="43"/>
        <v>21</v>
      </c>
      <c r="C913" s="18" t="s">
        <v>429</v>
      </c>
      <c r="D913" s="18">
        <f t="shared" si="44"/>
        <v>58</v>
      </c>
    </row>
    <row r="914" spans="1:4" x14ac:dyDescent="0.25">
      <c r="A914" s="18">
        <f t="shared" si="42"/>
        <v>48</v>
      </c>
      <c r="B914" s="18">
        <f t="shared" si="43"/>
        <v>22</v>
      </c>
      <c r="C914" s="18" t="s">
        <v>430</v>
      </c>
      <c r="D914" s="18">
        <f t="shared" si="44"/>
        <v>60</v>
      </c>
    </row>
    <row r="915" spans="1:4" x14ac:dyDescent="0.25">
      <c r="A915" s="18">
        <f t="shared" si="42"/>
        <v>48</v>
      </c>
      <c r="B915" s="18">
        <f t="shared" si="43"/>
        <v>23</v>
      </c>
      <c r="C915" s="18"/>
      <c r="D915" s="18">
        <f t="shared" si="44"/>
        <v>0</v>
      </c>
    </row>
    <row r="916" spans="1:4" x14ac:dyDescent="0.25">
      <c r="A916" s="18">
        <f t="shared" si="42"/>
        <v>48</v>
      </c>
      <c r="B916" s="18">
        <f t="shared" si="43"/>
        <v>24</v>
      </c>
      <c r="C916" s="18" t="s">
        <v>431</v>
      </c>
      <c r="D916" s="18">
        <f t="shared" si="44"/>
        <v>37</v>
      </c>
    </row>
    <row r="917" spans="1:4" x14ac:dyDescent="0.25">
      <c r="A917" s="18">
        <f t="shared" si="42"/>
        <v>48</v>
      </c>
      <c r="B917" s="18">
        <f t="shared" si="43"/>
        <v>25</v>
      </c>
      <c r="C917" s="18" t="s">
        <v>173</v>
      </c>
      <c r="D917" s="18">
        <f t="shared" si="44"/>
        <v>34</v>
      </c>
    </row>
    <row r="918" spans="1:4" x14ac:dyDescent="0.25">
      <c r="A918" s="18">
        <f t="shared" si="42"/>
        <v>49</v>
      </c>
      <c r="B918" s="18">
        <f t="shared" si="43"/>
        <v>1</v>
      </c>
      <c r="C918" s="18"/>
      <c r="D918" s="18">
        <f t="shared" si="44"/>
        <v>0</v>
      </c>
    </row>
    <row r="919" spans="1:4" x14ac:dyDescent="0.25">
      <c r="A919" s="18">
        <f t="shared" si="42"/>
        <v>49</v>
      </c>
      <c r="B919" s="18">
        <f t="shared" si="43"/>
        <v>2</v>
      </c>
      <c r="C919" s="18" t="s">
        <v>166</v>
      </c>
      <c r="D919" s="18">
        <f t="shared" si="44"/>
        <v>42</v>
      </c>
    </row>
    <row r="920" spans="1:4" x14ac:dyDescent="0.25">
      <c r="A920" s="18">
        <f t="shared" si="42"/>
        <v>49</v>
      </c>
      <c r="B920" s="18">
        <f t="shared" si="43"/>
        <v>3</v>
      </c>
      <c r="C920" s="18"/>
      <c r="D920" s="18">
        <f t="shared" si="44"/>
        <v>0</v>
      </c>
    </row>
    <row r="921" spans="1:4" x14ac:dyDescent="0.25">
      <c r="A921" s="18">
        <f t="shared" si="42"/>
        <v>49</v>
      </c>
      <c r="B921" s="18">
        <f t="shared" si="43"/>
        <v>4</v>
      </c>
      <c r="C921" s="18" t="s">
        <v>167</v>
      </c>
      <c r="D921" s="18">
        <f t="shared" si="44"/>
        <v>62</v>
      </c>
    </row>
    <row r="922" spans="1:4" x14ac:dyDescent="0.25">
      <c r="A922" s="18">
        <f t="shared" si="42"/>
        <v>49</v>
      </c>
      <c r="B922" s="18">
        <f t="shared" si="43"/>
        <v>5</v>
      </c>
      <c r="C922" s="18" t="s">
        <v>168</v>
      </c>
      <c r="D922" s="18">
        <f t="shared" si="44"/>
        <v>62</v>
      </c>
    </row>
    <row r="923" spans="1:4" x14ac:dyDescent="0.25">
      <c r="A923" s="18">
        <f t="shared" si="42"/>
        <v>49</v>
      </c>
      <c r="B923" s="18">
        <f t="shared" si="43"/>
        <v>6</v>
      </c>
      <c r="C923" s="18" t="s">
        <v>169</v>
      </c>
      <c r="D923" s="18">
        <f t="shared" si="44"/>
        <v>64</v>
      </c>
    </row>
    <row r="924" spans="1:4" x14ac:dyDescent="0.25">
      <c r="A924" s="18">
        <f t="shared" si="42"/>
        <v>49</v>
      </c>
      <c r="B924" s="18">
        <f t="shared" si="43"/>
        <v>7</v>
      </c>
      <c r="C924" s="18" t="s">
        <v>170</v>
      </c>
      <c r="D924" s="18">
        <f t="shared" si="44"/>
        <v>62</v>
      </c>
    </row>
    <row r="925" spans="1:4" x14ac:dyDescent="0.25">
      <c r="A925" s="18">
        <f t="shared" si="42"/>
        <v>49</v>
      </c>
      <c r="B925" s="18">
        <f t="shared" si="43"/>
        <v>8</v>
      </c>
      <c r="C925" s="18" t="s">
        <v>171</v>
      </c>
      <c r="D925" s="18">
        <f t="shared" si="44"/>
        <v>62</v>
      </c>
    </row>
    <row r="926" spans="1:4" x14ac:dyDescent="0.25">
      <c r="A926" s="18">
        <f t="shared" si="42"/>
        <v>49</v>
      </c>
      <c r="B926" s="18">
        <f t="shared" si="43"/>
        <v>9</v>
      </c>
      <c r="C926" s="18"/>
      <c r="D926" s="18">
        <f t="shared" si="44"/>
        <v>0</v>
      </c>
    </row>
    <row r="927" spans="1:4" x14ac:dyDescent="0.25">
      <c r="A927" s="18">
        <f t="shared" si="42"/>
        <v>49</v>
      </c>
      <c r="B927" s="18">
        <f t="shared" si="43"/>
        <v>10</v>
      </c>
      <c r="C927" s="18" t="s">
        <v>172</v>
      </c>
      <c r="D927" s="18">
        <f t="shared" si="44"/>
        <v>37</v>
      </c>
    </row>
    <row r="928" spans="1:4" x14ac:dyDescent="0.25">
      <c r="A928" s="18">
        <f t="shared" si="42"/>
        <v>49</v>
      </c>
      <c r="B928" s="18">
        <f t="shared" si="43"/>
        <v>11</v>
      </c>
      <c r="C928" s="18"/>
      <c r="D928" s="18">
        <f t="shared" si="44"/>
        <v>0</v>
      </c>
    </row>
    <row r="929" spans="1:4" x14ac:dyDescent="0.25">
      <c r="A929" s="18">
        <f t="shared" si="42"/>
        <v>49</v>
      </c>
      <c r="B929" s="18">
        <f t="shared" si="43"/>
        <v>12</v>
      </c>
      <c r="C929" s="18" t="s">
        <v>174</v>
      </c>
      <c r="D929" s="18">
        <f t="shared" si="44"/>
        <v>46</v>
      </c>
    </row>
    <row r="930" spans="1:4" x14ac:dyDescent="0.25">
      <c r="A930" s="18">
        <f t="shared" si="42"/>
        <v>49</v>
      </c>
      <c r="B930" s="18">
        <f t="shared" si="43"/>
        <v>13</v>
      </c>
      <c r="C930" s="18"/>
      <c r="D930" s="18">
        <f t="shared" si="44"/>
        <v>0</v>
      </c>
    </row>
    <row r="931" spans="1:4" x14ac:dyDescent="0.25">
      <c r="A931" s="18">
        <f t="shared" si="42"/>
        <v>49</v>
      </c>
      <c r="B931" s="18">
        <f t="shared" si="43"/>
        <v>14</v>
      </c>
      <c r="C931" s="18" t="s">
        <v>175</v>
      </c>
      <c r="D931" s="18">
        <f t="shared" si="44"/>
        <v>79</v>
      </c>
    </row>
    <row r="932" spans="1:4" x14ac:dyDescent="0.25">
      <c r="A932" s="18">
        <f t="shared" si="42"/>
        <v>49</v>
      </c>
      <c r="B932" s="18">
        <f t="shared" si="43"/>
        <v>15</v>
      </c>
      <c r="C932" s="18" t="s">
        <v>176</v>
      </c>
      <c r="D932" s="18">
        <f t="shared" si="44"/>
        <v>79</v>
      </c>
    </row>
    <row r="933" spans="1:4" x14ac:dyDescent="0.25">
      <c r="A933" s="18">
        <f t="shared" si="42"/>
        <v>49</v>
      </c>
      <c r="B933" s="18">
        <f t="shared" si="43"/>
        <v>16</v>
      </c>
      <c r="C933" s="18" t="s">
        <v>177</v>
      </c>
      <c r="D933" s="18">
        <f t="shared" si="44"/>
        <v>79</v>
      </c>
    </row>
    <row r="934" spans="1:4" x14ac:dyDescent="0.25">
      <c r="A934" s="18">
        <f t="shared" si="42"/>
        <v>49</v>
      </c>
      <c r="B934" s="18">
        <f t="shared" si="43"/>
        <v>17</v>
      </c>
      <c r="C934" s="18" t="s">
        <v>178</v>
      </c>
      <c r="D934" s="18">
        <f t="shared" si="44"/>
        <v>79</v>
      </c>
    </row>
    <row r="935" spans="1:4" x14ac:dyDescent="0.25">
      <c r="A935" s="18">
        <f t="shared" si="42"/>
        <v>49</v>
      </c>
      <c r="B935" s="18">
        <f t="shared" si="43"/>
        <v>18</v>
      </c>
      <c r="C935" s="18" t="s">
        <v>179</v>
      </c>
      <c r="D935" s="18">
        <f t="shared" si="44"/>
        <v>79</v>
      </c>
    </row>
    <row r="936" spans="1:4" x14ac:dyDescent="0.25">
      <c r="A936" s="18">
        <f t="shared" si="42"/>
        <v>49</v>
      </c>
      <c r="B936" s="18">
        <f t="shared" si="43"/>
        <v>19</v>
      </c>
      <c r="C936" s="18" t="s">
        <v>180</v>
      </c>
      <c r="D936" s="18">
        <f t="shared" si="44"/>
        <v>79</v>
      </c>
    </row>
    <row r="937" spans="1:4" x14ac:dyDescent="0.25">
      <c r="A937" s="18">
        <f t="shared" si="42"/>
        <v>49</v>
      </c>
      <c r="B937" s="18">
        <f t="shared" si="43"/>
        <v>20</v>
      </c>
      <c r="C937" s="18" t="s">
        <v>181</v>
      </c>
      <c r="D937" s="18">
        <f t="shared" si="44"/>
        <v>80</v>
      </c>
    </row>
    <row r="938" spans="1:4" x14ac:dyDescent="0.25">
      <c r="A938" s="18">
        <f t="shared" si="42"/>
        <v>49</v>
      </c>
      <c r="B938" s="18">
        <f t="shared" si="43"/>
        <v>21</v>
      </c>
      <c r="C938" s="18"/>
      <c r="D938" s="18">
        <f t="shared" si="44"/>
        <v>0</v>
      </c>
    </row>
    <row r="939" spans="1:4" x14ac:dyDescent="0.25">
      <c r="A939" s="18">
        <f t="shared" si="42"/>
        <v>49</v>
      </c>
      <c r="B939" s="18">
        <f t="shared" si="43"/>
        <v>22</v>
      </c>
      <c r="C939" s="18"/>
      <c r="D939" s="18">
        <f t="shared" si="44"/>
        <v>0</v>
      </c>
    </row>
    <row r="940" spans="1:4" x14ac:dyDescent="0.25">
      <c r="A940" s="18">
        <f t="shared" si="42"/>
        <v>49</v>
      </c>
      <c r="B940" s="18">
        <f t="shared" si="43"/>
        <v>23</v>
      </c>
      <c r="C940" s="18" t="s">
        <v>182</v>
      </c>
      <c r="D940" s="18">
        <f t="shared" si="44"/>
        <v>37</v>
      </c>
    </row>
    <row r="941" spans="1:4" x14ac:dyDescent="0.25">
      <c r="A941" s="18">
        <f t="shared" si="42"/>
        <v>49</v>
      </c>
      <c r="B941" s="18">
        <f t="shared" si="43"/>
        <v>24</v>
      </c>
      <c r="C941" s="18" t="s">
        <v>173</v>
      </c>
      <c r="D941" s="18">
        <f t="shared" si="44"/>
        <v>34</v>
      </c>
    </row>
    <row r="942" spans="1:4" x14ac:dyDescent="0.25">
      <c r="A942" s="18">
        <f t="shared" si="42"/>
        <v>50</v>
      </c>
      <c r="B942" s="18">
        <f t="shared" si="43"/>
        <v>1</v>
      </c>
      <c r="C942" s="18"/>
      <c r="D942" s="18">
        <f t="shared" si="44"/>
        <v>0</v>
      </c>
    </row>
    <row r="943" spans="1:4" x14ac:dyDescent="0.25">
      <c r="A943" s="18">
        <f t="shared" si="42"/>
        <v>50</v>
      </c>
      <c r="B943" s="18">
        <f t="shared" si="43"/>
        <v>2</v>
      </c>
      <c r="C943" s="18" t="s">
        <v>232</v>
      </c>
      <c r="D943" s="18">
        <f t="shared" si="44"/>
        <v>33</v>
      </c>
    </row>
    <row r="944" spans="1:4" x14ac:dyDescent="0.25">
      <c r="A944" s="18">
        <f t="shared" si="42"/>
        <v>50</v>
      </c>
      <c r="B944" s="18">
        <f t="shared" si="43"/>
        <v>3</v>
      </c>
      <c r="C944" s="18"/>
      <c r="D944" s="18">
        <f t="shared" si="44"/>
        <v>0</v>
      </c>
    </row>
    <row r="945" spans="1:4" x14ac:dyDescent="0.25">
      <c r="A945" s="18">
        <f t="shared" si="42"/>
        <v>50</v>
      </c>
      <c r="B945" s="18">
        <f t="shared" si="43"/>
        <v>4</v>
      </c>
      <c r="C945" s="18" t="s">
        <v>233</v>
      </c>
      <c r="D945" s="18">
        <f t="shared" si="44"/>
        <v>80</v>
      </c>
    </row>
    <row r="946" spans="1:4" x14ac:dyDescent="0.25">
      <c r="A946" s="18">
        <f t="shared" si="42"/>
        <v>50</v>
      </c>
      <c r="B946" s="18">
        <f t="shared" si="43"/>
        <v>5</v>
      </c>
      <c r="C946" s="18" t="s">
        <v>234</v>
      </c>
      <c r="D946" s="18">
        <f t="shared" si="44"/>
        <v>22</v>
      </c>
    </row>
    <row r="947" spans="1:4" x14ac:dyDescent="0.25">
      <c r="A947" s="18">
        <f t="shared" si="42"/>
        <v>50</v>
      </c>
      <c r="B947" s="18">
        <f t="shared" si="43"/>
        <v>6</v>
      </c>
      <c r="C947" s="18" t="s">
        <v>233</v>
      </c>
      <c r="D947" s="18">
        <f t="shared" si="44"/>
        <v>80</v>
      </c>
    </row>
    <row r="948" spans="1:4" x14ac:dyDescent="0.25">
      <c r="A948" s="18">
        <f t="shared" si="42"/>
        <v>50</v>
      </c>
      <c r="B948" s="18">
        <f t="shared" si="43"/>
        <v>7</v>
      </c>
      <c r="C948" s="18" t="s">
        <v>235</v>
      </c>
      <c r="D948" s="18">
        <f t="shared" si="44"/>
        <v>23</v>
      </c>
    </row>
    <row r="949" spans="1:4" x14ac:dyDescent="0.25">
      <c r="A949" s="18">
        <f t="shared" si="42"/>
        <v>50</v>
      </c>
      <c r="B949" s="18">
        <f t="shared" si="43"/>
        <v>8</v>
      </c>
      <c r="C949" s="18" t="s">
        <v>236</v>
      </c>
      <c r="D949" s="18">
        <f t="shared" si="44"/>
        <v>80</v>
      </c>
    </row>
    <row r="950" spans="1:4" x14ac:dyDescent="0.25">
      <c r="A950" s="18">
        <f t="shared" si="42"/>
        <v>50</v>
      </c>
      <c r="B950" s="18">
        <f t="shared" si="43"/>
        <v>9</v>
      </c>
      <c r="C950" s="18" t="s">
        <v>234</v>
      </c>
      <c r="D950" s="18">
        <f t="shared" si="44"/>
        <v>22</v>
      </c>
    </row>
    <row r="951" spans="1:4" x14ac:dyDescent="0.25">
      <c r="A951" s="18">
        <f t="shared" si="42"/>
        <v>50</v>
      </c>
      <c r="B951" s="18">
        <f t="shared" si="43"/>
        <v>10</v>
      </c>
      <c r="C951" s="18" t="s">
        <v>237</v>
      </c>
      <c r="D951" s="18">
        <f t="shared" si="44"/>
        <v>80</v>
      </c>
    </row>
    <row r="952" spans="1:4" x14ac:dyDescent="0.25">
      <c r="A952" s="18">
        <f t="shared" si="42"/>
        <v>50</v>
      </c>
      <c r="B952" s="18">
        <f t="shared" si="43"/>
        <v>11</v>
      </c>
      <c r="C952" s="18" t="s">
        <v>235</v>
      </c>
      <c r="D952" s="18">
        <f t="shared" si="44"/>
        <v>23</v>
      </c>
    </row>
    <row r="953" spans="1:4" x14ac:dyDescent="0.25">
      <c r="A953" s="18">
        <f t="shared" si="42"/>
        <v>50</v>
      </c>
      <c r="B953" s="18">
        <f t="shared" si="43"/>
        <v>12</v>
      </c>
      <c r="C953" s="18"/>
      <c r="D953" s="18">
        <f t="shared" si="44"/>
        <v>0</v>
      </c>
    </row>
    <row r="954" spans="1:4" x14ac:dyDescent="0.25">
      <c r="A954" s="18">
        <f t="shared" si="42"/>
        <v>50</v>
      </c>
      <c r="B954" s="18">
        <f t="shared" si="43"/>
        <v>13</v>
      </c>
      <c r="C954" s="18" t="s">
        <v>173</v>
      </c>
      <c r="D954" s="18">
        <f t="shared" si="44"/>
        <v>34</v>
      </c>
    </row>
    <row r="955" spans="1:4" x14ac:dyDescent="0.25">
      <c r="A955" s="18">
        <f t="shared" si="42"/>
        <v>51</v>
      </c>
      <c r="B955" s="18">
        <f t="shared" si="43"/>
        <v>1</v>
      </c>
      <c r="C955" s="18"/>
      <c r="D955" s="18">
        <f t="shared" si="44"/>
        <v>0</v>
      </c>
    </row>
    <row r="956" spans="1:4" x14ac:dyDescent="0.25">
      <c r="A956" s="18">
        <f t="shared" si="42"/>
        <v>51</v>
      </c>
      <c r="B956" s="18">
        <f t="shared" si="43"/>
        <v>2</v>
      </c>
      <c r="C956" s="18" t="s">
        <v>238</v>
      </c>
      <c r="D956" s="18">
        <f t="shared" si="44"/>
        <v>80</v>
      </c>
    </row>
    <row r="957" spans="1:4" x14ac:dyDescent="0.25">
      <c r="A957" s="18">
        <f t="shared" si="42"/>
        <v>51</v>
      </c>
      <c r="B957" s="18">
        <f t="shared" si="43"/>
        <v>3</v>
      </c>
      <c r="C957" s="18" t="s">
        <v>239</v>
      </c>
      <c r="D957" s="18">
        <f t="shared" si="44"/>
        <v>34</v>
      </c>
    </row>
    <row r="958" spans="1:4" x14ac:dyDescent="0.25">
      <c r="A958" s="18">
        <f t="shared" si="42"/>
        <v>51</v>
      </c>
      <c r="B958" s="18">
        <f t="shared" si="43"/>
        <v>4</v>
      </c>
      <c r="C958" s="18" t="s">
        <v>240</v>
      </c>
      <c r="D958" s="18">
        <f t="shared" si="44"/>
        <v>71</v>
      </c>
    </row>
    <row r="959" spans="1:4" x14ac:dyDescent="0.25">
      <c r="A959" s="18">
        <f t="shared" si="42"/>
        <v>51</v>
      </c>
      <c r="B959" s="18">
        <f t="shared" si="43"/>
        <v>5</v>
      </c>
      <c r="C959" s="18" t="s">
        <v>241</v>
      </c>
      <c r="D959" s="18">
        <f t="shared" si="44"/>
        <v>70</v>
      </c>
    </row>
    <row r="960" spans="1:4" x14ac:dyDescent="0.25">
      <c r="A960" s="18">
        <f t="shared" si="42"/>
        <v>51</v>
      </c>
      <c r="B960" s="18">
        <f t="shared" si="43"/>
        <v>6</v>
      </c>
      <c r="C960" s="18" t="s">
        <v>242</v>
      </c>
      <c r="D960" s="18">
        <f t="shared" si="44"/>
        <v>63</v>
      </c>
    </row>
    <row r="961" spans="1:4" x14ac:dyDescent="0.25">
      <c r="A961" s="18">
        <f t="shared" si="42"/>
        <v>51</v>
      </c>
      <c r="B961" s="18">
        <f t="shared" si="43"/>
        <v>7</v>
      </c>
      <c r="C961" s="18"/>
      <c r="D961" s="18">
        <f t="shared" si="44"/>
        <v>0</v>
      </c>
    </row>
    <row r="962" spans="1:4" x14ac:dyDescent="0.25">
      <c r="A962" s="18">
        <f t="shared" si="42"/>
        <v>51</v>
      </c>
      <c r="B962" s="18">
        <f t="shared" si="43"/>
        <v>8</v>
      </c>
      <c r="C962" s="18" t="s">
        <v>238</v>
      </c>
      <c r="D962" s="18">
        <f t="shared" si="44"/>
        <v>80</v>
      </c>
    </row>
    <row r="963" spans="1:4" x14ac:dyDescent="0.25">
      <c r="A963" s="18">
        <f t="shared" ref="A963:A1026" si="45">IF(ISNUMBER(A962),IF(B963&lt;B962,A962+1,A962),1)</f>
        <v>51</v>
      </c>
      <c r="B963" s="18">
        <f t="shared" ref="B963:B1026" si="46">IF(ISNUMBER(B962),IF(C962="Press ENTER to resume the program.",1,B962+1),1)</f>
        <v>9</v>
      </c>
      <c r="C963" s="18" t="s">
        <v>243</v>
      </c>
      <c r="D963" s="18">
        <f t="shared" ref="D963:D1026" si="47">LEN(C963)</f>
        <v>26</v>
      </c>
    </row>
    <row r="964" spans="1:4" x14ac:dyDescent="0.25">
      <c r="A964" s="18">
        <f t="shared" si="45"/>
        <v>51</v>
      </c>
      <c r="B964" s="18">
        <f t="shared" si="46"/>
        <v>10</v>
      </c>
      <c r="C964" s="18" t="s">
        <v>244</v>
      </c>
      <c r="D964" s="18">
        <f t="shared" si="47"/>
        <v>68</v>
      </c>
    </row>
    <row r="965" spans="1:4" x14ac:dyDescent="0.25">
      <c r="A965" s="18">
        <f t="shared" si="45"/>
        <v>51</v>
      </c>
      <c r="B965" s="18">
        <f t="shared" si="46"/>
        <v>11</v>
      </c>
      <c r="C965" s="18" t="s">
        <v>241</v>
      </c>
      <c r="D965" s="18">
        <f t="shared" si="47"/>
        <v>70</v>
      </c>
    </row>
    <row r="966" spans="1:4" x14ac:dyDescent="0.25">
      <c r="A966" s="18">
        <f t="shared" si="45"/>
        <v>51</v>
      </c>
      <c r="B966" s="18">
        <f t="shared" si="46"/>
        <v>12</v>
      </c>
      <c r="C966" s="18" t="s">
        <v>245</v>
      </c>
      <c r="D966" s="18">
        <f t="shared" si="47"/>
        <v>62</v>
      </c>
    </row>
    <row r="967" spans="1:4" x14ac:dyDescent="0.25">
      <c r="A967" s="18">
        <f t="shared" si="45"/>
        <v>51</v>
      </c>
      <c r="B967" s="18">
        <f t="shared" si="46"/>
        <v>13</v>
      </c>
      <c r="C967" s="18"/>
      <c r="D967" s="18">
        <f t="shared" si="47"/>
        <v>0</v>
      </c>
    </row>
    <row r="968" spans="1:4" x14ac:dyDescent="0.25">
      <c r="A968" s="18">
        <f t="shared" si="45"/>
        <v>51</v>
      </c>
      <c r="B968" s="18">
        <f t="shared" si="46"/>
        <v>14</v>
      </c>
      <c r="C968" s="18" t="s">
        <v>246</v>
      </c>
      <c r="D968" s="18">
        <f t="shared" si="47"/>
        <v>80</v>
      </c>
    </row>
    <row r="969" spans="1:4" x14ac:dyDescent="0.25">
      <c r="A969" s="18">
        <f t="shared" si="45"/>
        <v>51</v>
      </c>
      <c r="B969" s="18">
        <f t="shared" si="46"/>
        <v>15</v>
      </c>
      <c r="C969" s="18" t="s">
        <v>247</v>
      </c>
      <c r="D969" s="18">
        <f t="shared" si="47"/>
        <v>72</v>
      </c>
    </row>
    <row r="970" spans="1:4" x14ac:dyDescent="0.25">
      <c r="A970" s="18">
        <f t="shared" si="45"/>
        <v>51</v>
      </c>
      <c r="B970" s="18">
        <f t="shared" si="46"/>
        <v>16</v>
      </c>
      <c r="C970" s="18" t="s">
        <v>248</v>
      </c>
      <c r="D970" s="18">
        <f t="shared" si="47"/>
        <v>65</v>
      </c>
    </row>
    <row r="971" spans="1:4" x14ac:dyDescent="0.25">
      <c r="A971" s="18">
        <f t="shared" si="45"/>
        <v>51</v>
      </c>
      <c r="B971" s="18">
        <f t="shared" si="46"/>
        <v>17</v>
      </c>
      <c r="C971" s="18" t="s">
        <v>249</v>
      </c>
      <c r="D971" s="18">
        <f t="shared" si="47"/>
        <v>74</v>
      </c>
    </row>
    <row r="972" spans="1:4" x14ac:dyDescent="0.25">
      <c r="A972" s="18">
        <f t="shared" si="45"/>
        <v>51</v>
      </c>
      <c r="B972" s="18">
        <f t="shared" si="46"/>
        <v>18</v>
      </c>
      <c r="C972" s="18" t="s">
        <v>250</v>
      </c>
      <c r="D972" s="18">
        <f t="shared" si="47"/>
        <v>80</v>
      </c>
    </row>
    <row r="973" spans="1:4" x14ac:dyDescent="0.25">
      <c r="A973" s="18">
        <f t="shared" si="45"/>
        <v>51</v>
      </c>
      <c r="B973" s="18">
        <f t="shared" si="46"/>
        <v>19</v>
      </c>
      <c r="C973" s="18" t="s">
        <v>251</v>
      </c>
      <c r="D973" s="18">
        <f t="shared" si="47"/>
        <v>30</v>
      </c>
    </row>
    <row r="974" spans="1:4" x14ac:dyDescent="0.25">
      <c r="A974" s="18">
        <f t="shared" si="45"/>
        <v>51</v>
      </c>
      <c r="B974" s="18">
        <f t="shared" si="46"/>
        <v>20</v>
      </c>
      <c r="C974" s="18"/>
      <c r="D974" s="18">
        <f t="shared" si="47"/>
        <v>0</v>
      </c>
    </row>
    <row r="975" spans="1:4" x14ac:dyDescent="0.25">
      <c r="A975" s="18">
        <f t="shared" si="45"/>
        <v>51</v>
      </c>
      <c r="B975" s="18">
        <f t="shared" si="46"/>
        <v>21</v>
      </c>
      <c r="C975" s="18" t="s">
        <v>173</v>
      </c>
      <c r="D975" s="18">
        <f t="shared" si="47"/>
        <v>34</v>
      </c>
    </row>
    <row r="976" spans="1:4" x14ac:dyDescent="0.25">
      <c r="A976" s="18">
        <f t="shared" si="45"/>
        <v>52</v>
      </c>
      <c r="B976" s="18">
        <f t="shared" si="46"/>
        <v>1</v>
      </c>
      <c r="C976" s="18"/>
      <c r="D976" s="18">
        <f t="shared" si="47"/>
        <v>0</v>
      </c>
    </row>
    <row r="977" spans="1:4" x14ac:dyDescent="0.25">
      <c r="A977" s="18">
        <f t="shared" si="45"/>
        <v>52</v>
      </c>
      <c r="B977" s="18">
        <f t="shared" si="46"/>
        <v>2</v>
      </c>
      <c r="C977" s="18" t="s">
        <v>252</v>
      </c>
      <c r="D977" s="18">
        <f t="shared" si="47"/>
        <v>80</v>
      </c>
    </row>
    <row r="978" spans="1:4" x14ac:dyDescent="0.25">
      <c r="A978" s="18">
        <f t="shared" si="45"/>
        <v>52</v>
      </c>
      <c r="B978" s="18">
        <f t="shared" si="46"/>
        <v>3</v>
      </c>
      <c r="C978" s="18" t="s">
        <v>253</v>
      </c>
      <c r="D978" s="18">
        <f t="shared" si="47"/>
        <v>48</v>
      </c>
    </row>
    <row r="979" spans="1:4" x14ac:dyDescent="0.25">
      <c r="A979" s="18">
        <f t="shared" si="45"/>
        <v>52</v>
      </c>
      <c r="B979" s="18">
        <f t="shared" si="46"/>
        <v>4</v>
      </c>
      <c r="C979" s="18" t="s">
        <v>254</v>
      </c>
      <c r="D979" s="18">
        <f t="shared" si="47"/>
        <v>78</v>
      </c>
    </row>
    <row r="980" spans="1:4" x14ac:dyDescent="0.25">
      <c r="A980" s="18">
        <f t="shared" si="45"/>
        <v>52</v>
      </c>
      <c r="B980" s="18">
        <f t="shared" si="46"/>
        <v>5</v>
      </c>
      <c r="C980" s="18" t="s">
        <v>255</v>
      </c>
      <c r="D980" s="18">
        <f t="shared" si="47"/>
        <v>73</v>
      </c>
    </row>
    <row r="981" spans="1:4" x14ac:dyDescent="0.25">
      <c r="A981" s="18">
        <f t="shared" si="45"/>
        <v>52</v>
      </c>
      <c r="B981" s="18">
        <f t="shared" si="46"/>
        <v>6</v>
      </c>
      <c r="C981" s="18" t="s">
        <v>256</v>
      </c>
      <c r="D981" s="18">
        <f t="shared" si="47"/>
        <v>80</v>
      </c>
    </row>
    <row r="982" spans="1:4" x14ac:dyDescent="0.25">
      <c r="A982" s="18">
        <f t="shared" si="45"/>
        <v>52</v>
      </c>
      <c r="B982" s="18">
        <f t="shared" si="46"/>
        <v>7</v>
      </c>
      <c r="C982" s="18" t="s">
        <v>257</v>
      </c>
      <c r="D982" s="18">
        <f t="shared" si="47"/>
        <v>6</v>
      </c>
    </row>
    <row r="983" spans="1:4" x14ac:dyDescent="0.25">
      <c r="A983" s="18">
        <f t="shared" si="45"/>
        <v>52</v>
      </c>
      <c r="B983" s="18">
        <f t="shared" si="46"/>
        <v>8</v>
      </c>
      <c r="C983" s="18"/>
      <c r="D983" s="18">
        <f t="shared" si="47"/>
        <v>0</v>
      </c>
    </row>
    <row r="984" spans="1:4" x14ac:dyDescent="0.25">
      <c r="A984" s="18">
        <f t="shared" si="45"/>
        <v>52</v>
      </c>
      <c r="B984" s="18">
        <f t="shared" si="46"/>
        <v>9</v>
      </c>
      <c r="C984" s="18" t="s">
        <v>258</v>
      </c>
      <c r="D984" s="18">
        <f t="shared" si="47"/>
        <v>28</v>
      </c>
    </row>
    <row r="985" spans="1:4" x14ac:dyDescent="0.25">
      <c r="A985" s="18">
        <f t="shared" si="45"/>
        <v>52</v>
      </c>
      <c r="B985" s="18">
        <f t="shared" si="46"/>
        <v>10</v>
      </c>
      <c r="C985" s="18" t="s">
        <v>259</v>
      </c>
      <c r="D985" s="18">
        <f t="shared" si="47"/>
        <v>32</v>
      </c>
    </row>
    <row r="986" spans="1:4" x14ac:dyDescent="0.25">
      <c r="A986" s="18">
        <f t="shared" si="45"/>
        <v>52</v>
      </c>
      <c r="B986" s="18">
        <f t="shared" si="46"/>
        <v>11</v>
      </c>
      <c r="C986" s="18"/>
      <c r="D986" s="18">
        <f t="shared" si="47"/>
        <v>0</v>
      </c>
    </row>
    <row r="987" spans="1:4" x14ac:dyDescent="0.25">
      <c r="A987" s="18">
        <f t="shared" si="45"/>
        <v>52</v>
      </c>
      <c r="B987" s="18">
        <f t="shared" si="46"/>
        <v>12</v>
      </c>
      <c r="C987" s="18" t="s">
        <v>252</v>
      </c>
      <c r="D987" s="18">
        <f t="shared" si="47"/>
        <v>80</v>
      </c>
    </row>
    <row r="988" spans="1:4" x14ac:dyDescent="0.25">
      <c r="A988" s="18">
        <f t="shared" si="45"/>
        <v>52</v>
      </c>
      <c r="B988" s="18">
        <f t="shared" si="46"/>
        <v>13</v>
      </c>
      <c r="C988" s="18" t="s">
        <v>253</v>
      </c>
      <c r="D988" s="18">
        <f t="shared" si="47"/>
        <v>48</v>
      </c>
    </row>
    <row r="989" spans="1:4" x14ac:dyDescent="0.25">
      <c r="A989" s="18">
        <f t="shared" si="45"/>
        <v>52</v>
      </c>
      <c r="B989" s="18">
        <f t="shared" si="46"/>
        <v>14</v>
      </c>
      <c r="C989" s="18" t="s">
        <v>260</v>
      </c>
      <c r="D989" s="18">
        <f t="shared" si="47"/>
        <v>73</v>
      </c>
    </row>
    <row r="990" spans="1:4" x14ac:dyDescent="0.25">
      <c r="A990" s="18">
        <f t="shared" si="45"/>
        <v>52</v>
      </c>
      <c r="B990" s="18">
        <f t="shared" si="46"/>
        <v>15</v>
      </c>
      <c r="C990" s="18" t="s">
        <v>255</v>
      </c>
      <c r="D990" s="18">
        <f t="shared" si="47"/>
        <v>73</v>
      </c>
    </row>
    <row r="991" spans="1:4" x14ac:dyDescent="0.25">
      <c r="A991" s="18">
        <f t="shared" si="45"/>
        <v>52</v>
      </c>
      <c r="B991" s="18">
        <f t="shared" si="46"/>
        <v>16</v>
      </c>
      <c r="C991" s="18" t="s">
        <v>261</v>
      </c>
      <c r="D991" s="18">
        <f t="shared" si="47"/>
        <v>73</v>
      </c>
    </row>
    <row r="992" spans="1:4" x14ac:dyDescent="0.25">
      <c r="A992" s="18">
        <f t="shared" si="45"/>
        <v>52</v>
      </c>
      <c r="B992" s="18">
        <f t="shared" si="46"/>
        <v>17</v>
      </c>
      <c r="C992" s="18"/>
      <c r="D992" s="18">
        <f t="shared" si="47"/>
        <v>0</v>
      </c>
    </row>
    <row r="993" spans="1:4" x14ac:dyDescent="0.25">
      <c r="A993" s="18">
        <f t="shared" si="45"/>
        <v>52</v>
      </c>
      <c r="B993" s="18">
        <f t="shared" si="46"/>
        <v>18</v>
      </c>
      <c r="C993" s="18" t="s">
        <v>252</v>
      </c>
      <c r="D993" s="18">
        <f t="shared" si="47"/>
        <v>80</v>
      </c>
    </row>
    <row r="994" spans="1:4" x14ac:dyDescent="0.25">
      <c r="A994" s="18">
        <f t="shared" si="45"/>
        <v>52</v>
      </c>
      <c r="B994" s="18">
        <f t="shared" si="46"/>
        <v>19</v>
      </c>
      <c r="C994" s="18" t="s">
        <v>253</v>
      </c>
      <c r="D994" s="18">
        <f t="shared" si="47"/>
        <v>48</v>
      </c>
    </row>
    <row r="995" spans="1:4" x14ac:dyDescent="0.25">
      <c r="A995" s="18">
        <f t="shared" si="45"/>
        <v>52</v>
      </c>
      <c r="B995" s="18">
        <f t="shared" si="46"/>
        <v>20</v>
      </c>
      <c r="C995" s="18" t="s">
        <v>262</v>
      </c>
      <c r="D995" s="18">
        <f t="shared" si="47"/>
        <v>74</v>
      </c>
    </row>
    <row r="996" spans="1:4" x14ac:dyDescent="0.25">
      <c r="A996" s="18">
        <f t="shared" si="45"/>
        <v>52</v>
      </c>
      <c r="B996" s="18">
        <f t="shared" si="46"/>
        <v>21</v>
      </c>
      <c r="C996" s="18" t="s">
        <v>255</v>
      </c>
      <c r="D996" s="18">
        <f t="shared" si="47"/>
        <v>73</v>
      </c>
    </row>
    <row r="997" spans="1:4" x14ac:dyDescent="0.25">
      <c r="A997" s="18">
        <f t="shared" si="45"/>
        <v>52</v>
      </c>
      <c r="B997" s="18">
        <f t="shared" si="46"/>
        <v>22</v>
      </c>
      <c r="C997" s="18" t="s">
        <v>261</v>
      </c>
      <c r="D997" s="18">
        <f t="shared" si="47"/>
        <v>73</v>
      </c>
    </row>
    <row r="998" spans="1:4" x14ac:dyDescent="0.25">
      <c r="A998" s="18">
        <f t="shared" si="45"/>
        <v>52</v>
      </c>
      <c r="B998" s="18">
        <f t="shared" si="46"/>
        <v>23</v>
      </c>
      <c r="C998" s="18"/>
      <c r="D998" s="18">
        <f t="shared" si="47"/>
        <v>0</v>
      </c>
    </row>
    <row r="999" spans="1:4" x14ac:dyDescent="0.25">
      <c r="A999" s="18">
        <f t="shared" si="45"/>
        <v>52</v>
      </c>
      <c r="B999" s="18">
        <f t="shared" si="46"/>
        <v>24</v>
      </c>
      <c r="C999" s="18" t="s">
        <v>173</v>
      </c>
      <c r="D999" s="18">
        <f t="shared" si="47"/>
        <v>34</v>
      </c>
    </row>
    <row r="1000" spans="1:4" x14ac:dyDescent="0.25">
      <c r="A1000" s="18">
        <f t="shared" si="45"/>
        <v>53</v>
      </c>
      <c r="B1000" s="18">
        <f t="shared" si="46"/>
        <v>1</v>
      </c>
      <c r="C1000" s="18"/>
      <c r="D1000" s="18">
        <f t="shared" si="47"/>
        <v>0</v>
      </c>
    </row>
    <row r="1001" spans="1:4" x14ac:dyDescent="0.25">
      <c r="A1001" s="18">
        <f t="shared" si="45"/>
        <v>53</v>
      </c>
      <c r="B1001" s="18">
        <f t="shared" si="46"/>
        <v>2</v>
      </c>
      <c r="C1001" s="18" t="s">
        <v>252</v>
      </c>
      <c r="D1001" s="18">
        <f t="shared" si="47"/>
        <v>80</v>
      </c>
    </row>
    <row r="1002" spans="1:4" x14ac:dyDescent="0.25">
      <c r="A1002" s="18">
        <f t="shared" si="45"/>
        <v>53</v>
      </c>
      <c r="B1002" s="18">
        <f t="shared" si="46"/>
        <v>3</v>
      </c>
      <c r="C1002" s="18" t="s">
        <v>263</v>
      </c>
      <c r="D1002" s="18">
        <f t="shared" si="47"/>
        <v>57</v>
      </c>
    </row>
    <row r="1003" spans="1:4" x14ac:dyDescent="0.25">
      <c r="A1003" s="18">
        <f t="shared" si="45"/>
        <v>53</v>
      </c>
      <c r="B1003" s="18">
        <f t="shared" si="46"/>
        <v>4</v>
      </c>
      <c r="C1003" s="18" t="s">
        <v>264</v>
      </c>
      <c r="D1003" s="18">
        <f t="shared" si="47"/>
        <v>78</v>
      </c>
    </row>
    <row r="1004" spans="1:4" x14ac:dyDescent="0.25">
      <c r="A1004" s="18">
        <f t="shared" si="45"/>
        <v>53</v>
      </c>
      <c r="B1004" s="18">
        <f t="shared" si="46"/>
        <v>5</v>
      </c>
      <c r="C1004" s="18" t="s">
        <v>265</v>
      </c>
      <c r="D1004" s="18">
        <f t="shared" si="47"/>
        <v>70</v>
      </c>
    </row>
    <row r="1005" spans="1:4" x14ac:dyDescent="0.25">
      <c r="A1005" s="18">
        <f t="shared" si="45"/>
        <v>53</v>
      </c>
      <c r="B1005" s="18">
        <f t="shared" si="46"/>
        <v>6</v>
      </c>
      <c r="C1005" s="18" t="s">
        <v>266</v>
      </c>
      <c r="D1005" s="18">
        <f t="shared" si="47"/>
        <v>79</v>
      </c>
    </row>
    <row r="1006" spans="1:4" x14ac:dyDescent="0.25">
      <c r="A1006" s="18">
        <f t="shared" si="45"/>
        <v>53</v>
      </c>
      <c r="B1006" s="18">
        <f t="shared" si="46"/>
        <v>7</v>
      </c>
      <c r="C1006" s="18"/>
      <c r="D1006" s="18">
        <f t="shared" si="47"/>
        <v>0</v>
      </c>
    </row>
    <row r="1007" spans="1:4" x14ac:dyDescent="0.25">
      <c r="A1007" s="18">
        <f t="shared" si="45"/>
        <v>53</v>
      </c>
      <c r="B1007" s="18">
        <f t="shared" si="46"/>
        <v>8</v>
      </c>
      <c r="C1007" s="18" t="s">
        <v>252</v>
      </c>
      <c r="D1007" s="18">
        <f t="shared" si="47"/>
        <v>80</v>
      </c>
    </row>
    <row r="1008" spans="1:4" x14ac:dyDescent="0.25">
      <c r="A1008" s="18">
        <f t="shared" si="45"/>
        <v>53</v>
      </c>
      <c r="B1008" s="18">
        <f t="shared" si="46"/>
        <v>9</v>
      </c>
      <c r="C1008" s="18" t="s">
        <v>267</v>
      </c>
      <c r="D1008" s="18">
        <f t="shared" si="47"/>
        <v>77</v>
      </c>
    </row>
    <row r="1009" spans="1:4" x14ac:dyDescent="0.25">
      <c r="A1009" s="18">
        <f t="shared" si="45"/>
        <v>53</v>
      </c>
      <c r="B1009" s="18">
        <f t="shared" si="46"/>
        <v>10</v>
      </c>
      <c r="C1009" s="18" t="s">
        <v>268</v>
      </c>
      <c r="D1009" s="18">
        <f t="shared" si="47"/>
        <v>64</v>
      </c>
    </row>
    <row r="1010" spans="1:4" x14ac:dyDescent="0.25">
      <c r="A1010" s="18">
        <f t="shared" si="45"/>
        <v>53</v>
      </c>
      <c r="B1010" s="18">
        <f t="shared" si="46"/>
        <v>11</v>
      </c>
      <c r="C1010" s="18" t="s">
        <v>269</v>
      </c>
      <c r="D1010" s="18">
        <f t="shared" si="47"/>
        <v>71</v>
      </c>
    </row>
    <row r="1011" spans="1:4" x14ac:dyDescent="0.25">
      <c r="A1011" s="18">
        <f t="shared" si="45"/>
        <v>53</v>
      </c>
      <c r="B1011" s="18">
        <f t="shared" si="46"/>
        <v>12</v>
      </c>
      <c r="C1011" s="18" t="s">
        <v>270</v>
      </c>
      <c r="D1011" s="18">
        <f t="shared" si="47"/>
        <v>80</v>
      </c>
    </row>
    <row r="1012" spans="1:4" x14ac:dyDescent="0.25">
      <c r="A1012" s="18">
        <f t="shared" si="45"/>
        <v>53</v>
      </c>
      <c r="B1012" s="18">
        <f t="shared" si="46"/>
        <v>13</v>
      </c>
      <c r="C1012" s="18" t="s">
        <v>271</v>
      </c>
      <c r="D1012" s="18">
        <f t="shared" si="47"/>
        <v>79</v>
      </c>
    </row>
    <row r="1013" spans="1:4" x14ac:dyDescent="0.25">
      <c r="A1013" s="18">
        <f t="shared" si="45"/>
        <v>53</v>
      </c>
      <c r="B1013" s="18">
        <f t="shared" si="46"/>
        <v>14</v>
      </c>
      <c r="C1013" s="18"/>
      <c r="D1013" s="18">
        <f t="shared" si="47"/>
        <v>0</v>
      </c>
    </row>
    <row r="1014" spans="1:4" x14ac:dyDescent="0.25">
      <c r="A1014" s="18">
        <f t="shared" si="45"/>
        <v>53</v>
      </c>
      <c r="B1014" s="18">
        <f t="shared" si="46"/>
        <v>15</v>
      </c>
      <c r="C1014" s="18" t="s">
        <v>272</v>
      </c>
      <c r="D1014" s="18">
        <f t="shared" si="47"/>
        <v>25</v>
      </c>
    </row>
    <row r="1015" spans="1:4" x14ac:dyDescent="0.25">
      <c r="A1015" s="18">
        <f t="shared" si="45"/>
        <v>53</v>
      </c>
      <c r="B1015" s="18">
        <f t="shared" si="46"/>
        <v>16</v>
      </c>
      <c r="C1015" s="18"/>
      <c r="D1015" s="18">
        <f t="shared" si="47"/>
        <v>0</v>
      </c>
    </row>
    <row r="1016" spans="1:4" x14ac:dyDescent="0.25">
      <c r="A1016" s="18">
        <f t="shared" si="45"/>
        <v>53</v>
      </c>
      <c r="B1016" s="18">
        <f t="shared" si="46"/>
        <v>17</v>
      </c>
      <c r="C1016" s="18" t="s">
        <v>273</v>
      </c>
      <c r="D1016" s="18">
        <f t="shared" si="47"/>
        <v>45</v>
      </c>
    </row>
    <row r="1017" spans="1:4" x14ac:dyDescent="0.25">
      <c r="A1017" s="18">
        <f t="shared" si="45"/>
        <v>53</v>
      </c>
      <c r="B1017" s="18">
        <f t="shared" si="46"/>
        <v>18</v>
      </c>
      <c r="C1017" s="18" t="s">
        <v>274</v>
      </c>
      <c r="D1017" s="18">
        <f t="shared" si="47"/>
        <v>45</v>
      </c>
    </row>
    <row r="1018" spans="1:4" x14ac:dyDescent="0.25">
      <c r="A1018" s="18">
        <f t="shared" si="45"/>
        <v>53</v>
      </c>
      <c r="B1018" s="18">
        <f t="shared" si="46"/>
        <v>19</v>
      </c>
      <c r="C1018" s="18"/>
      <c r="D1018" s="18">
        <f t="shared" si="47"/>
        <v>0</v>
      </c>
    </row>
    <row r="1019" spans="1:4" x14ac:dyDescent="0.25">
      <c r="A1019" s="18">
        <f t="shared" si="45"/>
        <v>53</v>
      </c>
      <c r="B1019" s="18">
        <f t="shared" si="46"/>
        <v>20</v>
      </c>
      <c r="C1019" s="18" t="s">
        <v>275</v>
      </c>
      <c r="D1019" s="18">
        <f t="shared" si="47"/>
        <v>24</v>
      </c>
    </row>
    <row r="1020" spans="1:4" x14ac:dyDescent="0.25">
      <c r="A1020" s="18">
        <f t="shared" si="45"/>
        <v>53</v>
      </c>
      <c r="B1020" s="18">
        <f t="shared" si="46"/>
        <v>21</v>
      </c>
      <c r="C1020" s="18"/>
      <c r="D1020" s="18">
        <f t="shared" si="47"/>
        <v>0</v>
      </c>
    </row>
    <row r="1021" spans="1:4" x14ac:dyDescent="0.25">
      <c r="A1021" s="18">
        <f t="shared" si="45"/>
        <v>53</v>
      </c>
      <c r="B1021" s="18">
        <f t="shared" si="46"/>
        <v>22</v>
      </c>
      <c r="C1021" s="18" t="s">
        <v>173</v>
      </c>
      <c r="D1021" s="18">
        <f t="shared" si="47"/>
        <v>34</v>
      </c>
    </row>
    <row r="1022" spans="1:4" x14ac:dyDescent="0.25">
      <c r="A1022" s="18">
        <f t="shared" si="45"/>
        <v>54</v>
      </c>
      <c r="B1022" s="18">
        <f t="shared" si="46"/>
        <v>1</v>
      </c>
      <c r="C1022" s="18"/>
      <c r="D1022" s="18">
        <f t="shared" si="47"/>
        <v>0</v>
      </c>
    </row>
    <row r="1023" spans="1:4" x14ac:dyDescent="0.25">
      <c r="A1023" s="18">
        <f t="shared" si="45"/>
        <v>54</v>
      </c>
      <c r="B1023" s="18">
        <f t="shared" si="46"/>
        <v>2</v>
      </c>
      <c r="C1023" s="18" t="s">
        <v>276</v>
      </c>
      <c r="D1023" s="18">
        <f t="shared" si="47"/>
        <v>55</v>
      </c>
    </row>
    <row r="1024" spans="1:4" x14ac:dyDescent="0.25">
      <c r="A1024" s="18">
        <f t="shared" si="45"/>
        <v>54</v>
      </c>
      <c r="B1024" s="18">
        <f t="shared" si="46"/>
        <v>3</v>
      </c>
      <c r="C1024" s="18"/>
      <c r="D1024" s="18">
        <f t="shared" si="47"/>
        <v>0</v>
      </c>
    </row>
    <row r="1025" spans="1:4" x14ac:dyDescent="0.25">
      <c r="A1025" s="18">
        <f t="shared" si="45"/>
        <v>54</v>
      </c>
      <c r="B1025" s="18">
        <f t="shared" si="46"/>
        <v>4</v>
      </c>
      <c r="C1025" s="18" t="s">
        <v>277</v>
      </c>
      <c r="D1025" s="18">
        <f t="shared" si="47"/>
        <v>28</v>
      </c>
    </row>
    <row r="1026" spans="1:4" x14ac:dyDescent="0.25">
      <c r="A1026" s="18">
        <f t="shared" si="45"/>
        <v>54</v>
      </c>
      <c r="B1026" s="18">
        <f t="shared" si="46"/>
        <v>5</v>
      </c>
      <c r="C1026" s="18" t="s">
        <v>278</v>
      </c>
      <c r="D1026" s="18">
        <f t="shared" si="47"/>
        <v>29</v>
      </c>
    </row>
    <row r="1027" spans="1:4" x14ac:dyDescent="0.25">
      <c r="A1027" s="18">
        <f t="shared" ref="A1027:A1090" si="48">IF(ISNUMBER(A1026),IF(B1027&lt;B1026,A1026+1,A1026),1)</f>
        <v>54</v>
      </c>
      <c r="B1027" s="18">
        <f t="shared" ref="B1027:B1090" si="49">IF(ISNUMBER(B1026),IF(C1026="Press ENTER to resume the program.",1,B1026+1),1)</f>
        <v>6</v>
      </c>
      <c r="C1027" s="18"/>
      <c r="D1027" s="18">
        <f t="shared" ref="D1027:D1090" si="50">LEN(C1027)</f>
        <v>0</v>
      </c>
    </row>
    <row r="1028" spans="1:4" x14ac:dyDescent="0.25">
      <c r="A1028" s="18">
        <f t="shared" si="48"/>
        <v>54</v>
      </c>
      <c r="B1028" s="18">
        <f t="shared" si="49"/>
        <v>7</v>
      </c>
      <c r="C1028" s="18" t="s">
        <v>279</v>
      </c>
      <c r="D1028" s="18">
        <f t="shared" si="50"/>
        <v>36</v>
      </c>
    </row>
    <row r="1029" spans="1:4" x14ac:dyDescent="0.25">
      <c r="A1029" s="18">
        <f t="shared" si="48"/>
        <v>54</v>
      </c>
      <c r="B1029" s="18">
        <f t="shared" si="49"/>
        <v>8</v>
      </c>
      <c r="C1029" s="18" t="s">
        <v>280</v>
      </c>
      <c r="D1029" s="18">
        <f t="shared" si="50"/>
        <v>37</v>
      </c>
    </row>
    <row r="1030" spans="1:4" x14ac:dyDescent="0.25">
      <c r="A1030" s="18">
        <f t="shared" si="48"/>
        <v>54</v>
      </c>
      <c r="B1030" s="18">
        <f t="shared" si="49"/>
        <v>9</v>
      </c>
      <c r="C1030" s="18" t="s">
        <v>281</v>
      </c>
      <c r="D1030" s="18">
        <f t="shared" si="50"/>
        <v>37</v>
      </c>
    </row>
    <row r="1031" spans="1:4" x14ac:dyDescent="0.25">
      <c r="A1031" s="18">
        <f t="shared" si="48"/>
        <v>54</v>
      </c>
      <c r="B1031" s="18">
        <f t="shared" si="49"/>
        <v>10</v>
      </c>
      <c r="C1031" s="18" t="s">
        <v>282</v>
      </c>
      <c r="D1031" s="18">
        <f t="shared" si="50"/>
        <v>37</v>
      </c>
    </row>
    <row r="1032" spans="1:4" x14ac:dyDescent="0.25">
      <c r="A1032" s="18">
        <f t="shared" si="48"/>
        <v>54</v>
      </c>
      <c r="B1032" s="18">
        <f t="shared" si="49"/>
        <v>11</v>
      </c>
      <c r="C1032" s="18" t="s">
        <v>283</v>
      </c>
      <c r="D1032" s="18">
        <f t="shared" si="50"/>
        <v>37</v>
      </c>
    </row>
    <row r="1033" spans="1:4" x14ac:dyDescent="0.25">
      <c r="A1033" s="18">
        <f t="shared" si="48"/>
        <v>54</v>
      </c>
      <c r="B1033" s="18">
        <f t="shared" si="49"/>
        <v>12</v>
      </c>
      <c r="C1033" s="18" t="s">
        <v>284</v>
      </c>
      <c r="D1033" s="18">
        <f t="shared" si="50"/>
        <v>37</v>
      </c>
    </row>
    <row r="1034" spans="1:4" x14ac:dyDescent="0.25">
      <c r="A1034" s="18">
        <f t="shared" si="48"/>
        <v>54</v>
      </c>
      <c r="B1034" s="18">
        <f t="shared" si="49"/>
        <v>13</v>
      </c>
      <c r="C1034" s="18" t="s">
        <v>285</v>
      </c>
      <c r="D1034" s="18">
        <f t="shared" si="50"/>
        <v>37</v>
      </c>
    </row>
    <row r="1035" spans="1:4" x14ac:dyDescent="0.25">
      <c r="A1035" s="18">
        <f t="shared" si="48"/>
        <v>54</v>
      </c>
      <c r="B1035" s="18">
        <f t="shared" si="49"/>
        <v>14</v>
      </c>
      <c r="C1035" s="18" t="s">
        <v>286</v>
      </c>
      <c r="D1035" s="18">
        <f t="shared" si="50"/>
        <v>37</v>
      </c>
    </row>
    <row r="1036" spans="1:4" x14ac:dyDescent="0.25">
      <c r="A1036" s="18">
        <f t="shared" si="48"/>
        <v>54</v>
      </c>
      <c r="B1036" s="18">
        <f t="shared" si="49"/>
        <v>15</v>
      </c>
      <c r="C1036" s="18" t="s">
        <v>287</v>
      </c>
      <c r="D1036" s="18">
        <f t="shared" si="50"/>
        <v>37</v>
      </c>
    </row>
    <row r="1037" spans="1:4" x14ac:dyDescent="0.25">
      <c r="A1037" s="18">
        <f t="shared" si="48"/>
        <v>54</v>
      </c>
      <c r="B1037" s="18">
        <f t="shared" si="49"/>
        <v>16</v>
      </c>
      <c r="C1037" s="18" t="s">
        <v>288</v>
      </c>
      <c r="D1037" s="18">
        <f t="shared" si="50"/>
        <v>37</v>
      </c>
    </row>
    <row r="1038" spans="1:4" x14ac:dyDescent="0.25">
      <c r="A1038" s="18">
        <f t="shared" si="48"/>
        <v>54</v>
      </c>
      <c r="B1038" s="18">
        <f t="shared" si="49"/>
        <v>17</v>
      </c>
      <c r="C1038" s="18" t="s">
        <v>289</v>
      </c>
      <c r="D1038" s="18">
        <f t="shared" si="50"/>
        <v>37</v>
      </c>
    </row>
    <row r="1039" spans="1:4" x14ac:dyDescent="0.25">
      <c r="A1039" s="18">
        <f t="shared" si="48"/>
        <v>54</v>
      </c>
      <c r="B1039" s="18">
        <f t="shared" si="49"/>
        <v>18</v>
      </c>
      <c r="C1039" s="18" t="s">
        <v>290</v>
      </c>
      <c r="D1039" s="18">
        <f t="shared" si="50"/>
        <v>36</v>
      </c>
    </row>
    <row r="1040" spans="1:4" x14ac:dyDescent="0.25">
      <c r="A1040" s="18">
        <f t="shared" si="48"/>
        <v>54</v>
      </c>
      <c r="B1040" s="18">
        <f t="shared" si="49"/>
        <v>19</v>
      </c>
      <c r="C1040" s="18" t="s">
        <v>173</v>
      </c>
      <c r="D1040" s="18">
        <f t="shared" si="50"/>
        <v>34</v>
      </c>
    </row>
    <row r="1041" spans="1:4" x14ac:dyDescent="0.25">
      <c r="A1041" s="18">
        <f t="shared" si="48"/>
        <v>55</v>
      </c>
      <c r="B1041" s="18">
        <f t="shared" si="49"/>
        <v>1</v>
      </c>
      <c r="C1041" s="18"/>
      <c r="D1041" s="18">
        <f t="shared" si="50"/>
        <v>0</v>
      </c>
    </row>
    <row r="1042" spans="1:4" x14ac:dyDescent="0.25">
      <c r="A1042" s="18">
        <f t="shared" si="48"/>
        <v>55</v>
      </c>
      <c r="B1042" s="18">
        <f t="shared" si="49"/>
        <v>2</v>
      </c>
      <c r="C1042" s="18" t="s">
        <v>276</v>
      </c>
      <c r="D1042" s="18">
        <f t="shared" si="50"/>
        <v>55</v>
      </c>
    </row>
    <row r="1043" spans="1:4" x14ac:dyDescent="0.25">
      <c r="A1043" s="18">
        <f t="shared" si="48"/>
        <v>55</v>
      </c>
      <c r="B1043" s="18">
        <f t="shared" si="49"/>
        <v>3</v>
      </c>
      <c r="C1043" s="18"/>
      <c r="D1043" s="18">
        <f t="shared" si="50"/>
        <v>0</v>
      </c>
    </row>
    <row r="1044" spans="1:4" x14ac:dyDescent="0.25">
      <c r="A1044" s="18">
        <f t="shared" si="48"/>
        <v>55</v>
      </c>
      <c r="B1044" s="18">
        <f t="shared" si="49"/>
        <v>4</v>
      </c>
      <c r="C1044" s="18" t="s">
        <v>291</v>
      </c>
      <c r="D1044" s="18">
        <f t="shared" si="50"/>
        <v>28</v>
      </c>
    </row>
    <row r="1045" spans="1:4" x14ac:dyDescent="0.25">
      <c r="A1045" s="18">
        <f t="shared" si="48"/>
        <v>55</v>
      </c>
      <c r="B1045" s="18">
        <f t="shared" si="49"/>
        <v>5</v>
      </c>
      <c r="C1045" s="18" t="s">
        <v>292</v>
      </c>
      <c r="D1045" s="18">
        <f t="shared" si="50"/>
        <v>29</v>
      </c>
    </row>
    <row r="1046" spans="1:4" x14ac:dyDescent="0.25">
      <c r="A1046" s="18">
        <f t="shared" si="48"/>
        <v>55</v>
      </c>
      <c r="B1046" s="18">
        <f t="shared" si="49"/>
        <v>6</v>
      </c>
      <c r="C1046" s="18"/>
      <c r="D1046" s="18">
        <f t="shared" si="50"/>
        <v>0</v>
      </c>
    </row>
    <row r="1047" spans="1:4" x14ac:dyDescent="0.25">
      <c r="A1047" s="18">
        <f t="shared" si="48"/>
        <v>55</v>
      </c>
      <c r="B1047" s="18">
        <f t="shared" si="49"/>
        <v>7</v>
      </c>
      <c r="C1047" s="18" t="s">
        <v>279</v>
      </c>
      <c r="D1047" s="18">
        <f t="shared" si="50"/>
        <v>36</v>
      </c>
    </row>
    <row r="1048" spans="1:4" x14ac:dyDescent="0.25">
      <c r="A1048" s="18">
        <f t="shared" si="48"/>
        <v>55</v>
      </c>
      <c r="B1048" s="18">
        <f t="shared" si="49"/>
        <v>8</v>
      </c>
      <c r="C1048" s="18" t="s">
        <v>280</v>
      </c>
      <c r="D1048" s="18">
        <f t="shared" si="50"/>
        <v>37</v>
      </c>
    </row>
    <row r="1049" spans="1:4" x14ac:dyDescent="0.25">
      <c r="A1049" s="18">
        <f t="shared" si="48"/>
        <v>55</v>
      </c>
      <c r="B1049" s="18">
        <f t="shared" si="49"/>
        <v>9</v>
      </c>
      <c r="C1049" s="18" t="s">
        <v>293</v>
      </c>
      <c r="D1049" s="18">
        <f t="shared" si="50"/>
        <v>37</v>
      </c>
    </row>
    <row r="1050" spans="1:4" x14ac:dyDescent="0.25">
      <c r="A1050" s="18">
        <f t="shared" si="48"/>
        <v>55</v>
      </c>
      <c r="B1050" s="18">
        <f t="shared" si="49"/>
        <v>10</v>
      </c>
      <c r="C1050" s="18" t="s">
        <v>294</v>
      </c>
      <c r="D1050" s="18">
        <f t="shared" si="50"/>
        <v>37</v>
      </c>
    </row>
    <row r="1051" spans="1:4" x14ac:dyDescent="0.25">
      <c r="A1051" s="18">
        <f t="shared" si="48"/>
        <v>55</v>
      </c>
      <c r="B1051" s="18">
        <f t="shared" si="49"/>
        <v>11</v>
      </c>
      <c r="C1051" s="18" t="s">
        <v>282</v>
      </c>
      <c r="D1051" s="18">
        <f t="shared" si="50"/>
        <v>37</v>
      </c>
    </row>
    <row r="1052" spans="1:4" x14ac:dyDescent="0.25">
      <c r="A1052" s="18">
        <f t="shared" si="48"/>
        <v>55</v>
      </c>
      <c r="B1052" s="18">
        <f t="shared" si="49"/>
        <v>12</v>
      </c>
      <c r="C1052" s="18" t="s">
        <v>283</v>
      </c>
      <c r="D1052" s="18">
        <f t="shared" si="50"/>
        <v>37</v>
      </c>
    </row>
    <row r="1053" spans="1:4" x14ac:dyDescent="0.25">
      <c r="A1053" s="18">
        <f t="shared" si="48"/>
        <v>55</v>
      </c>
      <c r="B1053" s="18">
        <f t="shared" si="49"/>
        <v>13</v>
      </c>
      <c r="C1053" s="18" t="s">
        <v>284</v>
      </c>
      <c r="D1053" s="18">
        <f t="shared" si="50"/>
        <v>37</v>
      </c>
    </row>
    <row r="1054" spans="1:4" x14ac:dyDescent="0.25">
      <c r="A1054" s="18">
        <f t="shared" si="48"/>
        <v>55</v>
      </c>
      <c r="B1054" s="18">
        <f t="shared" si="49"/>
        <v>14</v>
      </c>
      <c r="C1054" s="18" t="s">
        <v>285</v>
      </c>
      <c r="D1054" s="18">
        <f t="shared" si="50"/>
        <v>37</v>
      </c>
    </row>
    <row r="1055" spans="1:4" x14ac:dyDescent="0.25">
      <c r="A1055" s="18">
        <f t="shared" si="48"/>
        <v>55</v>
      </c>
      <c r="B1055" s="18">
        <f t="shared" si="49"/>
        <v>15</v>
      </c>
      <c r="C1055" s="18" t="s">
        <v>286</v>
      </c>
      <c r="D1055" s="18">
        <f t="shared" si="50"/>
        <v>37</v>
      </c>
    </row>
    <row r="1056" spans="1:4" x14ac:dyDescent="0.25">
      <c r="A1056" s="18">
        <f t="shared" si="48"/>
        <v>55</v>
      </c>
      <c r="B1056" s="18">
        <f t="shared" si="49"/>
        <v>16</v>
      </c>
      <c r="C1056" s="18" t="s">
        <v>287</v>
      </c>
      <c r="D1056" s="18">
        <f t="shared" si="50"/>
        <v>37</v>
      </c>
    </row>
    <row r="1057" spans="1:4" x14ac:dyDescent="0.25">
      <c r="A1057" s="18">
        <f t="shared" si="48"/>
        <v>55</v>
      </c>
      <c r="B1057" s="18">
        <f t="shared" si="49"/>
        <v>17</v>
      </c>
      <c r="C1057" s="18" t="s">
        <v>288</v>
      </c>
      <c r="D1057" s="18">
        <f t="shared" si="50"/>
        <v>37</v>
      </c>
    </row>
    <row r="1058" spans="1:4" x14ac:dyDescent="0.25">
      <c r="A1058" s="18">
        <f t="shared" si="48"/>
        <v>55</v>
      </c>
      <c r="B1058" s="18">
        <f t="shared" si="49"/>
        <v>18</v>
      </c>
      <c r="C1058" s="18" t="s">
        <v>289</v>
      </c>
      <c r="D1058" s="18">
        <f t="shared" si="50"/>
        <v>37</v>
      </c>
    </row>
    <row r="1059" spans="1:4" x14ac:dyDescent="0.25">
      <c r="A1059" s="18">
        <f t="shared" si="48"/>
        <v>55</v>
      </c>
      <c r="B1059" s="18">
        <f t="shared" si="49"/>
        <v>19</v>
      </c>
      <c r="C1059" s="18" t="s">
        <v>295</v>
      </c>
      <c r="D1059" s="18">
        <f t="shared" si="50"/>
        <v>37</v>
      </c>
    </row>
    <row r="1060" spans="1:4" x14ac:dyDescent="0.25">
      <c r="A1060" s="18">
        <f t="shared" si="48"/>
        <v>55</v>
      </c>
      <c r="B1060" s="18">
        <f t="shared" si="49"/>
        <v>20</v>
      </c>
      <c r="C1060" s="18" t="s">
        <v>296</v>
      </c>
      <c r="D1060" s="18">
        <f t="shared" si="50"/>
        <v>37</v>
      </c>
    </row>
    <row r="1061" spans="1:4" x14ac:dyDescent="0.25">
      <c r="A1061" s="18">
        <f t="shared" si="48"/>
        <v>55</v>
      </c>
      <c r="B1061" s="18">
        <f t="shared" si="49"/>
        <v>21</v>
      </c>
      <c r="C1061" s="18" t="s">
        <v>297</v>
      </c>
      <c r="D1061" s="18">
        <f t="shared" si="50"/>
        <v>36</v>
      </c>
    </row>
    <row r="1062" spans="1:4" x14ac:dyDescent="0.25">
      <c r="A1062" s="18">
        <f t="shared" si="48"/>
        <v>55</v>
      </c>
      <c r="B1062" s="18">
        <f t="shared" si="49"/>
        <v>22</v>
      </c>
      <c r="C1062" s="18" t="s">
        <v>173</v>
      </c>
      <c r="D1062" s="18">
        <f t="shared" si="50"/>
        <v>34</v>
      </c>
    </row>
    <row r="1063" spans="1:4" x14ac:dyDescent="0.25">
      <c r="A1063" s="18">
        <f t="shared" si="48"/>
        <v>56</v>
      </c>
      <c r="B1063" s="18">
        <f t="shared" si="49"/>
        <v>1</v>
      </c>
      <c r="C1063" s="18"/>
      <c r="D1063" s="18">
        <f t="shared" si="50"/>
        <v>0</v>
      </c>
    </row>
    <row r="1064" spans="1:4" x14ac:dyDescent="0.25">
      <c r="A1064" s="18">
        <f t="shared" si="48"/>
        <v>56</v>
      </c>
      <c r="B1064" s="18">
        <f t="shared" si="49"/>
        <v>2</v>
      </c>
      <c r="C1064" s="18" t="s">
        <v>276</v>
      </c>
      <c r="D1064" s="18">
        <f t="shared" si="50"/>
        <v>55</v>
      </c>
    </row>
    <row r="1065" spans="1:4" x14ac:dyDescent="0.25">
      <c r="A1065" s="18">
        <f t="shared" si="48"/>
        <v>56</v>
      </c>
      <c r="B1065" s="18">
        <f t="shared" si="49"/>
        <v>3</v>
      </c>
      <c r="C1065" s="18"/>
      <c r="D1065" s="18">
        <f t="shared" si="50"/>
        <v>0</v>
      </c>
    </row>
    <row r="1066" spans="1:4" x14ac:dyDescent="0.25">
      <c r="A1066" s="18">
        <f t="shared" si="48"/>
        <v>56</v>
      </c>
      <c r="B1066" s="18">
        <f t="shared" si="49"/>
        <v>4</v>
      </c>
      <c r="C1066" s="18" t="s">
        <v>298</v>
      </c>
      <c r="D1066" s="18">
        <f t="shared" si="50"/>
        <v>30</v>
      </c>
    </row>
    <row r="1067" spans="1:4" x14ac:dyDescent="0.25">
      <c r="A1067" s="18">
        <f t="shared" si="48"/>
        <v>56</v>
      </c>
      <c r="B1067" s="18">
        <f t="shared" si="49"/>
        <v>5</v>
      </c>
      <c r="C1067" s="18" t="s">
        <v>299</v>
      </c>
      <c r="D1067" s="18">
        <f t="shared" si="50"/>
        <v>28</v>
      </c>
    </row>
    <row r="1068" spans="1:4" x14ac:dyDescent="0.25">
      <c r="A1068" s="18">
        <f t="shared" si="48"/>
        <v>56</v>
      </c>
      <c r="B1068" s="18">
        <f t="shared" si="49"/>
        <v>6</v>
      </c>
      <c r="C1068" s="18"/>
      <c r="D1068" s="18">
        <f t="shared" si="50"/>
        <v>0</v>
      </c>
    </row>
    <row r="1069" spans="1:4" x14ac:dyDescent="0.25">
      <c r="A1069" s="18">
        <f t="shared" si="48"/>
        <v>56</v>
      </c>
      <c r="B1069" s="18">
        <f t="shared" si="49"/>
        <v>7</v>
      </c>
      <c r="C1069" s="18" t="s">
        <v>279</v>
      </c>
      <c r="D1069" s="18">
        <f t="shared" si="50"/>
        <v>36</v>
      </c>
    </row>
    <row r="1070" spans="1:4" x14ac:dyDescent="0.25">
      <c r="A1070" s="18">
        <f t="shared" si="48"/>
        <v>56</v>
      </c>
      <c r="B1070" s="18">
        <f t="shared" si="49"/>
        <v>8</v>
      </c>
      <c r="C1070" s="18" t="s">
        <v>280</v>
      </c>
      <c r="D1070" s="18">
        <f t="shared" si="50"/>
        <v>37</v>
      </c>
    </row>
    <row r="1071" spans="1:4" x14ac:dyDescent="0.25">
      <c r="A1071" s="18">
        <f t="shared" si="48"/>
        <v>56</v>
      </c>
      <c r="B1071" s="18">
        <f t="shared" si="49"/>
        <v>9</v>
      </c>
      <c r="C1071" s="18" t="s">
        <v>300</v>
      </c>
      <c r="D1071" s="18">
        <f t="shared" si="50"/>
        <v>37</v>
      </c>
    </row>
    <row r="1072" spans="1:4" x14ac:dyDescent="0.25">
      <c r="A1072" s="18">
        <f t="shared" si="48"/>
        <v>56</v>
      </c>
      <c r="B1072" s="18">
        <f t="shared" si="49"/>
        <v>10</v>
      </c>
      <c r="C1072" s="18" t="s">
        <v>301</v>
      </c>
      <c r="D1072" s="18">
        <f t="shared" si="50"/>
        <v>37</v>
      </c>
    </row>
    <row r="1073" spans="1:4" x14ac:dyDescent="0.25">
      <c r="A1073" s="18">
        <f t="shared" si="48"/>
        <v>56</v>
      </c>
      <c r="B1073" s="18">
        <f t="shared" si="49"/>
        <v>11</v>
      </c>
      <c r="C1073" s="18" t="s">
        <v>302</v>
      </c>
      <c r="D1073" s="18">
        <f t="shared" si="50"/>
        <v>37</v>
      </c>
    </row>
    <row r="1074" spans="1:4" x14ac:dyDescent="0.25">
      <c r="A1074" s="18">
        <f t="shared" si="48"/>
        <v>56</v>
      </c>
      <c r="B1074" s="18">
        <f t="shared" si="49"/>
        <v>12</v>
      </c>
      <c r="C1074" s="18" t="s">
        <v>303</v>
      </c>
      <c r="D1074" s="18">
        <f t="shared" si="50"/>
        <v>37</v>
      </c>
    </row>
    <row r="1075" spans="1:4" x14ac:dyDescent="0.25">
      <c r="A1075" s="18">
        <f t="shared" si="48"/>
        <v>56</v>
      </c>
      <c r="B1075" s="18">
        <f t="shared" si="49"/>
        <v>13</v>
      </c>
      <c r="C1075" s="18" t="s">
        <v>304</v>
      </c>
      <c r="D1075" s="18">
        <f t="shared" si="50"/>
        <v>37</v>
      </c>
    </row>
    <row r="1076" spans="1:4" x14ac:dyDescent="0.25">
      <c r="A1076" s="18">
        <f t="shared" si="48"/>
        <v>56</v>
      </c>
      <c r="B1076" s="18">
        <f t="shared" si="49"/>
        <v>14</v>
      </c>
      <c r="C1076" s="18" t="s">
        <v>305</v>
      </c>
      <c r="D1076" s="18">
        <f t="shared" si="50"/>
        <v>37</v>
      </c>
    </row>
    <row r="1077" spans="1:4" x14ac:dyDescent="0.25">
      <c r="A1077" s="18">
        <f t="shared" si="48"/>
        <v>56</v>
      </c>
      <c r="B1077" s="18">
        <f t="shared" si="49"/>
        <v>15</v>
      </c>
      <c r="C1077" s="18" t="s">
        <v>306</v>
      </c>
      <c r="D1077" s="18">
        <f t="shared" si="50"/>
        <v>37</v>
      </c>
    </row>
    <row r="1078" spans="1:4" x14ac:dyDescent="0.25">
      <c r="A1078" s="18">
        <f t="shared" si="48"/>
        <v>56</v>
      </c>
      <c r="B1078" s="18">
        <f t="shared" si="49"/>
        <v>16</v>
      </c>
      <c r="C1078" s="18" t="s">
        <v>307</v>
      </c>
      <c r="D1078" s="18">
        <f t="shared" si="50"/>
        <v>37</v>
      </c>
    </row>
    <row r="1079" spans="1:4" x14ac:dyDescent="0.25">
      <c r="A1079" s="18">
        <f t="shared" si="48"/>
        <v>56</v>
      </c>
      <c r="B1079" s="18">
        <f t="shared" si="49"/>
        <v>17</v>
      </c>
      <c r="C1079" s="18" t="s">
        <v>308</v>
      </c>
      <c r="D1079" s="18">
        <f t="shared" si="50"/>
        <v>37</v>
      </c>
    </row>
    <row r="1080" spans="1:4" x14ac:dyDescent="0.25">
      <c r="A1080" s="18">
        <f t="shared" si="48"/>
        <v>56</v>
      </c>
      <c r="B1080" s="18">
        <f t="shared" si="49"/>
        <v>18</v>
      </c>
      <c r="C1080" s="18" t="s">
        <v>309</v>
      </c>
      <c r="D1080" s="18">
        <f t="shared" si="50"/>
        <v>37</v>
      </c>
    </row>
    <row r="1081" spans="1:4" x14ac:dyDescent="0.25">
      <c r="A1081" s="18">
        <f t="shared" si="48"/>
        <v>56</v>
      </c>
      <c r="B1081" s="18">
        <f t="shared" si="49"/>
        <v>19</v>
      </c>
      <c r="C1081" s="18" t="s">
        <v>310</v>
      </c>
      <c r="D1081" s="18">
        <f t="shared" si="50"/>
        <v>37</v>
      </c>
    </row>
    <row r="1082" spans="1:4" x14ac:dyDescent="0.25">
      <c r="A1082" s="18">
        <f t="shared" si="48"/>
        <v>56</v>
      </c>
      <c r="B1082" s="18">
        <f t="shared" si="49"/>
        <v>20</v>
      </c>
      <c r="C1082" s="18" t="s">
        <v>294</v>
      </c>
      <c r="D1082" s="18">
        <f t="shared" si="50"/>
        <v>37</v>
      </c>
    </row>
    <row r="1083" spans="1:4" x14ac:dyDescent="0.25">
      <c r="A1083" s="18">
        <f t="shared" si="48"/>
        <v>56</v>
      </c>
      <c r="B1083" s="18">
        <f t="shared" si="49"/>
        <v>21</v>
      </c>
      <c r="C1083" s="18" t="s">
        <v>282</v>
      </c>
      <c r="D1083" s="18">
        <f t="shared" si="50"/>
        <v>37</v>
      </c>
    </row>
    <row r="1084" spans="1:4" x14ac:dyDescent="0.25">
      <c r="A1084" s="18">
        <f t="shared" si="48"/>
        <v>56</v>
      </c>
      <c r="B1084" s="18">
        <f t="shared" si="49"/>
        <v>22</v>
      </c>
      <c r="C1084" s="18" t="s">
        <v>283</v>
      </c>
      <c r="D1084" s="18">
        <f t="shared" si="50"/>
        <v>37</v>
      </c>
    </row>
    <row r="1085" spans="1:4" x14ac:dyDescent="0.25">
      <c r="A1085" s="18">
        <f t="shared" si="48"/>
        <v>56</v>
      </c>
      <c r="B1085" s="18">
        <f t="shared" si="49"/>
        <v>23</v>
      </c>
      <c r="C1085" s="18" t="s">
        <v>284</v>
      </c>
      <c r="D1085" s="18">
        <f t="shared" si="50"/>
        <v>37</v>
      </c>
    </row>
    <row r="1086" spans="1:4" x14ac:dyDescent="0.25">
      <c r="A1086" s="18">
        <f t="shared" si="48"/>
        <v>56</v>
      </c>
      <c r="B1086" s="18">
        <f t="shared" si="49"/>
        <v>24</v>
      </c>
      <c r="C1086" s="18" t="s">
        <v>311</v>
      </c>
      <c r="D1086" s="18">
        <f t="shared" si="50"/>
        <v>36</v>
      </c>
    </row>
    <row r="1087" spans="1:4" x14ac:dyDescent="0.25">
      <c r="A1087" s="18">
        <f t="shared" si="48"/>
        <v>56</v>
      </c>
      <c r="B1087" s="18">
        <f t="shared" si="49"/>
        <v>25</v>
      </c>
      <c r="C1087" s="18" t="s">
        <v>173</v>
      </c>
      <c r="D1087" s="18">
        <f t="shared" si="50"/>
        <v>34</v>
      </c>
    </row>
    <row r="1088" spans="1:4" x14ac:dyDescent="0.25">
      <c r="A1088" s="18">
        <f t="shared" si="48"/>
        <v>57</v>
      </c>
      <c r="B1088" s="18">
        <f t="shared" si="49"/>
        <v>1</v>
      </c>
      <c r="C1088" s="18"/>
      <c r="D1088" s="18">
        <f t="shared" si="50"/>
        <v>0</v>
      </c>
    </row>
    <row r="1089" spans="1:4" x14ac:dyDescent="0.25">
      <c r="A1089" s="18">
        <f t="shared" si="48"/>
        <v>57</v>
      </c>
      <c r="B1089" s="18">
        <f t="shared" si="49"/>
        <v>2</v>
      </c>
      <c r="C1089" s="18" t="s">
        <v>312</v>
      </c>
      <c r="D1089" s="18">
        <f t="shared" si="50"/>
        <v>43</v>
      </c>
    </row>
    <row r="1090" spans="1:4" x14ac:dyDescent="0.25">
      <c r="A1090" s="18">
        <f t="shared" si="48"/>
        <v>57</v>
      </c>
      <c r="B1090" s="18">
        <f t="shared" si="49"/>
        <v>3</v>
      </c>
      <c r="C1090" s="18"/>
      <c r="D1090" s="18">
        <f t="shared" si="50"/>
        <v>0</v>
      </c>
    </row>
    <row r="1091" spans="1:4" x14ac:dyDescent="0.25">
      <c r="A1091" s="18">
        <f t="shared" ref="A1091:A1154" si="51">IF(ISNUMBER(A1090),IF(B1091&lt;B1090,A1090+1,A1090),1)</f>
        <v>57</v>
      </c>
      <c r="B1091" s="18">
        <f t="shared" ref="B1091:B1154" si="52">IF(ISNUMBER(B1090),IF(C1090="Press ENTER to resume the program.",1,B1090+1),1)</f>
        <v>4</v>
      </c>
      <c r="C1091" s="18" t="s">
        <v>277</v>
      </c>
      <c r="D1091" s="18">
        <f t="shared" ref="D1091:D1154" si="53">LEN(C1091)</f>
        <v>28</v>
      </c>
    </row>
    <row r="1092" spans="1:4" x14ac:dyDescent="0.25">
      <c r="A1092" s="18">
        <f t="shared" si="51"/>
        <v>57</v>
      </c>
      <c r="B1092" s="18">
        <f t="shared" si="52"/>
        <v>5</v>
      </c>
      <c r="C1092" s="18" t="s">
        <v>278</v>
      </c>
      <c r="D1092" s="18">
        <f t="shared" si="53"/>
        <v>29</v>
      </c>
    </row>
    <row r="1093" spans="1:4" x14ac:dyDescent="0.25">
      <c r="A1093" s="18">
        <f t="shared" si="51"/>
        <v>57</v>
      </c>
      <c r="B1093" s="18">
        <f t="shared" si="52"/>
        <v>6</v>
      </c>
      <c r="C1093" s="18"/>
      <c r="D1093" s="18">
        <f t="shared" si="53"/>
        <v>0</v>
      </c>
    </row>
    <row r="1094" spans="1:4" x14ac:dyDescent="0.25">
      <c r="A1094" s="18">
        <f t="shared" si="51"/>
        <v>57</v>
      </c>
      <c r="B1094" s="18">
        <f t="shared" si="52"/>
        <v>7</v>
      </c>
      <c r="C1094" s="18" t="s">
        <v>279</v>
      </c>
      <c r="D1094" s="18">
        <f t="shared" si="53"/>
        <v>36</v>
      </c>
    </row>
    <row r="1095" spans="1:4" x14ac:dyDescent="0.25">
      <c r="A1095" s="18">
        <f t="shared" si="51"/>
        <v>57</v>
      </c>
      <c r="B1095" s="18">
        <f t="shared" si="52"/>
        <v>8</v>
      </c>
      <c r="C1095" s="18" t="s">
        <v>280</v>
      </c>
      <c r="D1095" s="18">
        <f t="shared" si="53"/>
        <v>37</v>
      </c>
    </row>
    <row r="1096" spans="1:4" x14ac:dyDescent="0.25">
      <c r="A1096" s="18">
        <f t="shared" si="51"/>
        <v>57</v>
      </c>
      <c r="B1096" s="18">
        <f t="shared" si="52"/>
        <v>9</v>
      </c>
      <c r="C1096" s="18" t="s">
        <v>281</v>
      </c>
      <c r="D1096" s="18">
        <f t="shared" si="53"/>
        <v>37</v>
      </c>
    </row>
    <row r="1097" spans="1:4" x14ac:dyDescent="0.25">
      <c r="A1097" s="18">
        <f t="shared" si="51"/>
        <v>57</v>
      </c>
      <c r="B1097" s="18">
        <f t="shared" si="52"/>
        <v>10</v>
      </c>
      <c r="C1097" s="18" t="s">
        <v>282</v>
      </c>
      <c r="D1097" s="18">
        <f t="shared" si="53"/>
        <v>37</v>
      </c>
    </row>
    <row r="1098" spans="1:4" x14ac:dyDescent="0.25">
      <c r="A1098" s="18">
        <f t="shared" si="51"/>
        <v>57</v>
      </c>
      <c r="B1098" s="18">
        <f t="shared" si="52"/>
        <v>11</v>
      </c>
      <c r="C1098" s="18" t="s">
        <v>283</v>
      </c>
      <c r="D1098" s="18">
        <f t="shared" si="53"/>
        <v>37</v>
      </c>
    </row>
    <row r="1099" spans="1:4" x14ac:dyDescent="0.25">
      <c r="A1099" s="18">
        <f t="shared" si="51"/>
        <v>57</v>
      </c>
      <c r="B1099" s="18">
        <f t="shared" si="52"/>
        <v>12</v>
      </c>
      <c r="C1099" s="18" t="s">
        <v>284</v>
      </c>
      <c r="D1099" s="18">
        <f t="shared" si="53"/>
        <v>37</v>
      </c>
    </row>
    <row r="1100" spans="1:4" x14ac:dyDescent="0.25">
      <c r="A1100" s="18">
        <f t="shared" si="51"/>
        <v>57</v>
      </c>
      <c r="B1100" s="18">
        <f t="shared" si="52"/>
        <v>13</v>
      </c>
      <c r="C1100" s="18" t="s">
        <v>285</v>
      </c>
      <c r="D1100" s="18">
        <f t="shared" si="53"/>
        <v>37</v>
      </c>
    </row>
    <row r="1101" spans="1:4" x14ac:dyDescent="0.25">
      <c r="A1101" s="18">
        <f t="shared" si="51"/>
        <v>57</v>
      </c>
      <c r="B1101" s="18">
        <f t="shared" si="52"/>
        <v>14</v>
      </c>
      <c r="C1101" s="18" t="s">
        <v>286</v>
      </c>
      <c r="D1101" s="18">
        <f t="shared" si="53"/>
        <v>37</v>
      </c>
    </row>
    <row r="1102" spans="1:4" x14ac:dyDescent="0.25">
      <c r="A1102" s="18">
        <f t="shared" si="51"/>
        <v>57</v>
      </c>
      <c r="B1102" s="18">
        <f t="shared" si="52"/>
        <v>15</v>
      </c>
      <c r="C1102" s="18" t="s">
        <v>287</v>
      </c>
      <c r="D1102" s="18">
        <f t="shared" si="53"/>
        <v>37</v>
      </c>
    </row>
    <row r="1103" spans="1:4" x14ac:dyDescent="0.25">
      <c r="A1103" s="18">
        <f t="shared" si="51"/>
        <v>57</v>
      </c>
      <c r="B1103" s="18">
        <f t="shared" si="52"/>
        <v>16</v>
      </c>
      <c r="C1103" s="18" t="s">
        <v>288</v>
      </c>
      <c r="D1103" s="18">
        <f t="shared" si="53"/>
        <v>37</v>
      </c>
    </row>
    <row r="1104" spans="1:4" x14ac:dyDescent="0.25">
      <c r="A1104" s="18">
        <f t="shared" si="51"/>
        <v>57</v>
      </c>
      <c r="B1104" s="18">
        <f t="shared" si="52"/>
        <v>17</v>
      </c>
      <c r="C1104" s="18" t="s">
        <v>313</v>
      </c>
      <c r="D1104" s="18">
        <f t="shared" si="53"/>
        <v>36</v>
      </c>
    </row>
    <row r="1105" spans="1:4" x14ac:dyDescent="0.25">
      <c r="A1105" s="18">
        <f t="shared" si="51"/>
        <v>57</v>
      </c>
      <c r="B1105" s="18">
        <f t="shared" si="52"/>
        <v>18</v>
      </c>
      <c r="C1105" s="18" t="s">
        <v>173</v>
      </c>
      <c r="D1105" s="18">
        <f t="shared" si="53"/>
        <v>34</v>
      </c>
    </row>
    <row r="1106" spans="1:4" x14ac:dyDescent="0.25">
      <c r="A1106" s="18">
        <f t="shared" si="51"/>
        <v>58</v>
      </c>
      <c r="B1106" s="18">
        <f t="shared" si="52"/>
        <v>1</v>
      </c>
      <c r="C1106" s="18"/>
      <c r="D1106" s="18">
        <f t="shared" si="53"/>
        <v>0</v>
      </c>
    </row>
    <row r="1107" spans="1:4" x14ac:dyDescent="0.25">
      <c r="A1107" s="18">
        <f t="shared" si="51"/>
        <v>58</v>
      </c>
      <c r="B1107" s="18">
        <f t="shared" si="52"/>
        <v>2</v>
      </c>
      <c r="C1107" s="18" t="s">
        <v>312</v>
      </c>
      <c r="D1107" s="18">
        <f t="shared" si="53"/>
        <v>43</v>
      </c>
    </row>
    <row r="1108" spans="1:4" x14ac:dyDescent="0.25">
      <c r="A1108" s="18">
        <f t="shared" si="51"/>
        <v>58</v>
      </c>
      <c r="B1108" s="18">
        <f t="shared" si="52"/>
        <v>3</v>
      </c>
      <c r="C1108" s="18"/>
      <c r="D1108" s="18">
        <f t="shared" si="53"/>
        <v>0</v>
      </c>
    </row>
    <row r="1109" spans="1:4" x14ac:dyDescent="0.25">
      <c r="A1109" s="18">
        <f t="shared" si="51"/>
        <v>58</v>
      </c>
      <c r="B1109" s="18">
        <f t="shared" si="52"/>
        <v>4</v>
      </c>
      <c r="C1109" s="18" t="s">
        <v>291</v>
      </c>
      <c r="D1109" s="18">
        <f t="shared" si="53"/>
        <v>28</v>
      </c>
    </row>
    <row r="1110" spans="1:4" x14ac:dyDescent="0.25">
      <c r="A1110" s="18">
        <f t="shared" si="51"/>
        <v>58</v>
      </c>
      <c r="B1110" s="18">
        <f t="shared" si="52"/>
        <v>5</v>
      </c>
      <c r="C1110" s="18" t="s">
        <v>292</v>
      </c>
      <c r="D1110" s="18">
        <f t="shared" si="53"/>
        <v>29</v>
      </c>
    </row>
    <row r="1111" spans="1:4" x14ac:dyDescent="0.25">
      <c r="A1111" s="18">
        <f t="shared" si="51"/>
        <v>58</v>
      </c>
      <c r="B1111" s="18">
        <f t="shared" si="52"/>
        <v>6</v>
      </c>
      <c r="C1111" s="18"/>
      <c r="D1111" s="18">
        <f t="shared" si="53"/>
        <v>0</v>
      </c>
    </row>
    <row r="1112" spans="1:4" x14ac:dyDescent="0.25">
      <c r="A1112" s="18">
        <f t="shared" si="51"/>
        <v>58</v>
      </c>
      <c r="B1112" s="18">
        <f t="shared" si="52"/>
        <v>7</v>
      </c>
      <c r="C1112" s="18" t="s">
        <v>279</v>
      </c>
      <c r="D1112" s="18">
        <f t="shared" si="53"/>
        <v>36</v>
      </c>
    </row>
    <row r="1113" spans="1:4" x14ac:dyDescent="0.25">
      <c r="A1113" s="18">
        <f t="shared" si="51"/>
        <v>58</v>
      </c>
      <c r="B1113" s="18">
        <f t="shared" si="52"/>
        <v>8</v>
      </c>
      <c r="C1113" s="18" t="s">
        <v>280</v>
      </c>
      <c r="D1113" s="18">
        <f t="shared" si="53"/>
        <v>37</v>
      </c>
    </row>
    <row r="1114" spans="1:4" x14ac:dyDescent="0.25">
      <c r="A1114" s="18">
        <f t="shared" si="51"/>
        <v>58</v>
      </c>
      <c r="B1114" s="18">
        <f t="shared" si="52"/>
        <v>9</v>
      </c>
      <c r="C1114" s="18" t="s">
        <v>293</v>
      </c>
      <c r="D1114" s="18">
        <f t="shared" si="53"/>
        <v>37</v>
      </c>
    </row>
    <row r="1115" spans="1:4" x14ac:dyDescent="0.25">
      <c r="A1115" s="18">
        <f t="shared" si="51"/>
        <v>58</v>
      </c>
      <c r="B1115" s="18">
        <f t="shared" si="52"/>
        <v>10</v>
      </c>
      <c r="C1115" s="18" t="s">
        <v>294</v>
      </c>
      <c r="D1115" s="18">
        <f t="shared" si="53"/>
        <v>37</v>
      </c>
    </row>
    <row r="1116" spans="1:4" x14ac:dyDescent="0.25">
      <c r="A1116" s="18">
        <f t="shared" si="51"/>
        <v>58</v>
      </c>
      <c r="B1116" s="18">
        <f t="shared" si="52"/>
        <v>11</v>
      </c>
      <c r="C1116" s="18" t="s">
        <v>282</v>
      </c>
      <c r="D1116" s="18">
        <f t="shared" si="53"/>
        <v>37</v>
      </c>
    </row>
    <row r="1117" spans="1:4" x14ac:dyDescent="0.25">
      <c r="A1117" s="18">
        <f t="shared" si="51"/>
        <v>58</v>
      </c>
      <c r="B1117" s="18">
        <f t="shared" si="52"/>
        <v>12</v>
      </c>
      <c r="C1117" s="18" t="s">
        <v>283</v>
      </c>
      <c r="D1117" s="18">
        <f t="shared" si="53"/>
        <v>37</v>
      </c>
    </row>
    <row r="1118" spans="1:4" x14ac:dyDescent="0.25">
      <c r="A1118" s="18">
        <f t="shared" si="51"/>
        <v>58</v>
      </c>
      <c r="B1118" s="18">
        <f t="shared" si="52"/>
        <v>13</v>
      </c>
      <c r="C1118" s="18" t="s">
        <v>284</v>
      </c>
      <c r="D1118" s="18">
        <f t="shared" si="53"/>
        <v>37</v>
      </c>
    </row>
    <row r="1119" spans="1:4" x14ac:dyDescent="0.25">
      <c r="A1119" s="18">
        <f t="shared" si="51"/>
        <v>58</v>
      </c>
      <c r="B1119" s="18">
        <f t="shared" si="52"/>
        <v>14</v>
      </c>
      <c r="C1119" s="18" t="s">
        <v>285</v>
      </c>
      <c r="D1119" s="18">
        <f t="shared" si="53"/>
        <v>37</v>
      </c>
    </row>
    <row r="1120" spans="1:4" x14ac:dyDescent="0.25">
      <c r="A1120" s="18">
        <f t="shared" si="51"/>
        <v>58</v>
      </c>
      <c r="B1120" s="18">
        <f t="shared" si="52"/>
        <v>15</v>
      </c>
      <c r="C1120" s="18" t="s">
        <v>286</v>
      </c>
      <c r="D1120" s="18">
        <f t="shared" si="53"/>
        <v>37</v>
      </c>
    </row>
    <row r="1121" spans="1:4" x14ac:dyDescent="0.25">
      <c r="A1121" s="18">
        <f t="shared" si="51"/>
        <v>58</v>
      </c>
      <c r="B1121" s="18">
        <f t="shared" si="52"/>
        <v>16</v>
      </c>
      <c r="C1121" s="18" t="s">
        <v>287</v>
      </c>
      <c r="D1121" s="18">
        <f t="shared" si="53"/>
        <v>37</v>
      </c>
    </row>
    <row r="1122" spans="1:4" x14ac:dyDescent="0.25">
      <c r="A1122" s="18">
        <f t="shared" si="51"/>
        <v>58</v>
      </c>
      <c r="B1122" s="18">
        <f t="shared" si="52"/>
        <v>17</v>
      </c>
      <c r="C1122" s="18" t="s">
        <v>288</v>
      </c>
      <c r="D1122" s="18">
        <f t="shared" si="53"/>
        <v>37</v>
      </c>
    </row>
    <row r="1123" spans="1:4" x14ac:dyDescent="0.25">
      <c r="A1123" s="18">
        <f t="shared" si="51"/>
        <v>58</v>
      </c>
      <c r="B1123" s="18">
        <f t="shared" si="52"/>
        <v>18</v>
      </c>
      <c r="C1123" s="18" t="s">
        <v>289</v>
      </c>
      <c r="D1123" s="18">
        <f t="shared" si="53"/>
        <v>37</v>
      </c>
    </row>
    <row r="1124" spans="1:4" x14ac:dyDescent="0.25">
      <c r="A1124" s="18">
        <f t="shared" si="51"/>
        <v>58</v>
      </c>
      <c r="B1124" s="18">
        <f t="shared" si="52"/>
        <v>19</v>
      </c>
      <c r="C1124" s="18" t="s">
        <v>295</v>
      </c>
      <c r="D1124" s="18">
        <f t="shared" si="53"/>
        <v>37</v>
      </c>
    </row>
    <row r="1125" spans="1:4" x14ac:dyDescent="0.25">
      <c r="A1125" s="18">
        <f t="shared" si="51"/>
        <v>58</v>
      </c>
      <c r="B1125" s="18">
        <f t="shared" si="52"/>
        <v>20</v>
      </c>
      <c r="C1125" s="18" t="s">
        <v>314</v>
      </c>
      <c r="D1125" s="18">
        <f t="shared" si="53"/>
        <v>36</v>
      </c>
    </row>
    <row r="1126" spans="1:4" x14ac:dyDescent="0.25">
      <c r="A1126" s="18">
        <f t="shared" si="51"/>
        <v>58</v>
      </c>
      <c r="B1126" s="18">
        <f t="shared" si="52"/>
        <v>21</v>
      </c>
      <c r="C1126" s="18" t="s">
        <v>173</v>
      </c>
      <c r="D1126" s="18">
        <f t="shared" si="53"/>
        <v>34</v>
      </c>
    </row>
    <row r="1127" spans="1:4" x14ac:dyDescent="0.25">
      <c r="A1127" s="18">
        <f t="shared" si="51"/>
        <v>59</v>
      </c>
      <c r="B1127" s="18">
        <f t="shared" si="52"/>
        <v>1</v>
      </c>
      <c r="C1127" s="18"/>
      <c r="D1127" s="18">
        <f t="shared" si="53"/>
        <v>0</v>
      </c>
    </row>
    <row r="1128" spans="1:4" x14ac:dyDescent="0.25">
      <c r="A1128" s="18">
        <f t="shared" si="51"/>
        <v>59</v>
      </c>
      <c r="B1128" s="18">
        <f t="shared" si="52"/>
        <v>2</v>
      </c>
      <c r="C1128" s="18" t="s">
        <v>312</v>
      </c>
      <c r="D1128" s="18">
        <f t="shared" si="53"/>
        <v>43</v>
      </c>
    </row>
    <row r="1129" spans="1:4" x14ac:dyDescent="0.25">
      <c r="A1129" s="18">
        <f t="shared" si="51"/>
        <v>59</v>
      </c>
      <c r="B1129" s="18">
        <f t="shared" si="52"/>
        <v>3</v>
      </c>
      <c r="C1129" s="18"/>
      <c r="D1129" s="18">
        <f t="shared" si="53"/>
        <v>0</v>
      </c>
    </row>
    <row r="1130" spans="1:4" x14ac:dyDescent="0.25">
      <c r="A1130" s="18">
        <f t="shared" si="51"/>
        <v>59</v>
      </c>
      <c r="B1130" s="18">
        <f t="shared" si="52"/>
        <v>4</v>
      </c>
      <c r="C1130" s="18" t="s">
        <v>298</v>
      </c>
      <c r="D1130" s="18">
        <f t="shared" si="53"/>
        <v>30</v>
      </c>
    </row>
    <row r="1131" spans="1:4" x14ac:dyDescent="0.25">
      <c r="A1131" s="18">
        <f t="shared" si="51"/>
        <v>59</v>
      </c>
      <c r="B1131" s="18">
        <f t="shared" si="52"/>
        <v>5</v>
      </c>
      <c r="C1131" s="18" t="s">
        <v>299</v>
      </c>
      <c r="D1131" s="18">
        <f t="shared" si="53"/>
        <v>28</v>
      </c>
    </row>
    <row r="1132" spans="1:4" x14ac:dyDescent="0.25">
      <c r="A1132" s="18">
        <f t="shared" si="51"/>
        <v>59</v>
      </c>
      <c r="B1132" s="18">
        <f t="shared" si="52"/>
        <v>6</v>
      </c>
      <c r="C1132" s="18"/>
      <c r="D1132" s="18">
        <f t="shared" si="53"/>
        <v>0</v>
      </c>
    </row>
    <row r="1133" spans="1:4" x14ac:dyDescent="0.25">
      <c r="A1133" s="18">
        <f t="shared" si="51"/>
        <v>59</v>
      </c>
      <c r="B1133" s="18">
        <f t="shared" si="52"/>
        <v>7</v>
      </c>
      <c r="C1133" s="18" t="s">
        <v>279</v>
      </c>
      <c r="D1133" s="18">
        <f t="shared" si="53"/>
        <v>36</v>
      </c>
    </row>
    <row r="1134" spans="1:4" x14ac:dyDescent="0.25">
      <c r="A1134" s="18">
        <f t="shared" si="51"/>
        <v>59</v>
      </c>
      <c r="B1134" s="18">
        <f t="shared" si="52"/>
        <v>8</v>
      </c>
      <c r="C1134" s="18" t="s">
        <v>280</v>
      </c>
      <c r="D1134" s="18">
        <f t="shared" si="53"/>
        <v>37</v>
      </c>
    </row>
    <row r="1135" spans="1:4" x14ac:dyDescent="0.25">
      <c r="A1135" s="18">
        <f t="shared" si="51"/>
        <v>59</v>
      </c>
      <c r="B1135" s="18">
        <f t="shared" si="52"/>
        <v>9</v>
      </c>
      <c r="C1135" s="18" t="s">
        <v>300</v>
      </c>
      <c r="D1135" s="18">
        <f t="shared" si="53"/>
        <v>37</v>
      </c>
    </row>
    <row r="1136" spans="1:4" x14ac:dyDescent="0.25">
      <c r="A1136" s="18">
        <f t="shared" si="51"/>
        <v>59</v>
      </c>
      <c r="B1136" s="18">
        <f t="shared" si="52"/>
        <v>10</v>
      </c>
      <c r="C1136" s="18" t="s">
        <v>301</v>
      </c>
      <c r="D1136" s="18">
        <f t="shared" si="53"/>
        <v>37</v>
      </c>
    </row>
    <row r="1137" spans="1:4" x14ac:dyDescent="0.25">
      <c r="A1137" s="18">
        <f t="shared" si="51"/>
        <v>59</v>
      </c>
      <c r="B1137" s="18">
        <f t="shared" si="52"/>
        <v>11</v>
      </c>
      <c r="C1137" s="18" t="s">
        <v>302</v>
      </c>
      <c r="D1137" s="18">
        <f t="shared" si="53"/>
        <v>37</v>
      </c>
    </row>
    <row r="1138" spans="1:4" x14ac:dyDescent="0.25">
      <c r="A1138" s="18">
        <f t="shared" si="51"/>
        <v>59</v>
      </c>
      <c r="B1138" s="18">
        <f t="shared" si="52"/>
        <v>12</v>
      </c>
      <c r="C1138" s="18" t="s">
        <v>303</v>
      </c>
      <c r="D1138" s="18">
        <f t="shared" si="53"/>
        <v>37</v>
      </c>
    </row>
    <row r="1139" spans="1:4" x14ac:dyDescent="0.25">
      <c r="A1139" s="18">
        <f t="shared" si="51"/>
        <v>59</v>
      </c>
      <c r="B1139" s="18">
        <f t="shared" si="52"/>
        <v>13</v>
      </c>
      <c r="C1139" s="18" t="s">
        <v>304</v>
      </c>
      <c r="D1139" s="18">
        <f t="shared" si="53"/>
        <v>37</v>
      </c>
    </row>
    <row r="1140" spans="1:4" x14ac:dyDescent="0.25">
      <c r="A1140" s="18">
        <f t="shared" si="51"/>
        <v>59</v>
      </c>
      <c r="B1140" s="18">
        <f t="shared" si="52"/>
        <v>14</v>
      </c>
      <c r="C1140" s="18" t="s">
        <v>305</v>
      </c>
      <c r="D1140" s="18">
        <f t="shared" si="53"/>
        <v>37</v>
      </c>
    </row>
    <row r="1141" spans="1:4" x14ac:dyDescent="0.25">
      <c r="A1141" s="18">
        <f t="shared" si="51"/>
        <v>59</v>
      </c>
      <c r="B1141" s="18">
        <f t="shared" si="52"/>
        <v>15</v>
      </c>
      <c r="C1141" s="18" t="s">
        <v>306</v>
      </c>
      <c r="D1141" s="18">
        <f t="shared" si="53"/>
        <v>37</v>
      </c>
    </row>
    <row r="1142" spans="1:4" x14ac:dyDescent="0.25">
      <c r="A1142" s="18">
        <f t="shared" si="51"/>
        <v>59</v>
      </c>
      <c r="B1142" s="18">
        <f t="shared" si="52"/>
        <v>16</v>
      </c>
      <c r="C1142" s="18" t="s">
        <v>307</v>
      </c>
      <c r="D1142" s="18">
        <f t="shared" si="53"/>
        <v>37</v>
      </c>
    </row>
    <row r="1143" spans="1:4" x14ac:dyDescent="0.25">
      <c r="A1143" s="18">
        <f t="shared" si="51"/>
        <v>59</v>
      </c>
      <c r="B1143" s="18">
        <f t="shared" si="52"/>
        <v>17</v>
      </c>
      <c r="C1143" s="18" t="s">
        <v>308</v>
      </c>
      <c r="D1143" s="18">
        <f t="shared" si="53"/>
        <v>37</v>
      </c>
    </row>
    <row r="1144" spans="1:4" x14ac:dyDescent="0.25">
      <c r="A1144" s="18">
        <f t="shared" si="51"/>
        <v>59</v>
      </c>
      <c r="B1144" s="18">
        <f t="shared" si="52"/>
        <v>18</v>
      </c>
      <c r="C1144" s="18" t="s">
        <v>309</v>
      </c>
      <c r="D1144" s="18">
        <f t="shared" si="53"/>
        <v>37</v>
      </c>
    </row>
    <row r="1145" spans="1:4" x14ac:dyDescent="0.25">
      <c r="A1145" s="18">
        <f t="shared" si="51"/>
        <v>59</v>
      </c>
      <c r="B1145" s="18">
        <f t="shared" si="52"/>
        <v>19</v>
      </c>
      <c r="C1145" s="18" t="s">
        <v>310</v>
      </c>
      <c r="D1145" s="18">
        <f t="shared" si="53"/>
        <v>37</v>
      </c>
    </row>
    <row r="1146" spans="1:4" x14ac:dyDescent="0.25">
      <c r="A1146" s="18">
        <f t="shared" si="51"/>
        <v>59</v>
      </c>
      <c r="B1146" s="18">
        <f t="shared" si="52"/>
        <v>20</v>
      </c>
      <c r="C1146" s="18" t="s">
        <v>294</v>
      </c>
      <c r="D1146" s="18">
        <f t="shared" si="53"/>
        <v>37</v>
      </c>
    </row>
    <row r="1147" spans="1:4" x14ac:dyDescent="0.25">
      <c r="A1147" s="18">
        <f t="shared" si="51"/>
        <v>59</v>
      </c>
      <c r="B1147" s="18">
        <f t="shared" si="52"/>
        <v>21</v>
      </c>
      <c r="C1147" s="18" t="s">
        <v>282</v>
      </c>
      <c r="D1147" s="18">
        <f t="shared" si="53"/>
        <v>37</v>
      </c>
    </row>
    <row r="1148" spans="1:4" x14ac:dyDescent="0.25">
      <c r="A1148" s="18">
        <f t="shared" si="51"/>
        <v>59</v>
      </c>
      <c r="B1148" s="18">
        <f t="shared" si="52"/>
        <v>22</v>
      </c>
      <c r="C1148" s="18" t="s">
        <v>283</v>
      </c>
      <c r="D1148" s="18">
        <f t="shared" si="53"/>
        <v>37</v>
      </c>
    </row>
    <row r="1149" spans="1:4" x14ac:dyDescent="0.25">
      <c r="A1149" s="18">
        <f t="shared" si="51"/>
        <v>59</v>
      </c>
      <c r="B1149" s="18">
        <f t="shared" si="52"/>
        <v>23</v>
      </c>
      <c r="C1149" s="18" t="s">
        <v>315</v>
      </c>
      <c r="D1149" s="18">
        <f t="shared" si="53"/>
        <v>36</v>
      </c>
    </row>
    <row r="1150" spans="1:4" x14ac:dyDescent="0.25">
      <c r="A1150" s="18">
        <f t="shared" si="51"/>
        <v>59</v>
      </c>
      <c r="B1150" s="18">
        <f t="shared" si="52"/>
        <v>24</v>
      </c>
      <c r="C1150" s="18" t="s">
        <v>173</v>
      </c>
      <c r="D1150" s="18">
        <f t="shared" si="53"/>
        <v>34</v>
      </c>
    </row>
    <row r="1151" spans="1:4" x14ac:dyDescent="0.25">
      <c r="A1151" s="18">
        <f t="shared" si="51"/>
        <v>60</v>
      </c>
      <c r="B1151" s="18">
        <f t="shared" si="52"/>
        <v>1</v>
      </c>
      <c r="C1151" s="18"/>
      <c r="D1151" s="18">
        <f t="shared" si="53"/>
        <v>0</v>
      </c>
    </row>
    <row r="1152" spans="1:4" x14ac:dyDescent="0.25">
      <c r="A1152" s="18">
        <f t="shared" si="51"/>
        <v>60</v>
      </c>
      <c r="B1152" s="18">
        <f t="shared" si="52"/>
        <v>2</v>
      </c>
      <c r="C1152" s="18" t="s">
        <v>316</v>
      </c>
      <c r="D1152" s="18">
        <f t="shared" si="53"/>
        <v>46</v>
      </c>
    </row>
    <row r="1153" spans="1:4" x14ac:dyDescent="0.25">
      <c r="A1153" s="18">
        <f t="shared" si="51"/>
        <v>60</v>
      </c>
      <c r="B1153" s="18">
        <f t="shared" si="52"/>
        <v>3</v>
      </c>
      <c r="C1153" s="18"/>
      <c r="D1153" s="18">
        <f t="shared" si="53"/>
        <v>0</v>
      </c>
    </row>
    <row r="1154" spans="1:4" x14ac:dyDescent="0.25">
      <c r="A1154" s="18">
        <f t="shared" si="51"/>
        <v>60</v>
      </c>
      <c r="B1154" s="18">
        <f t="shared" si="52"/>
        <v>4</v>
      </c>
      <c r="C1154" s="18" t="s">
        <v>317</v>
      </c>
      <c r="D1154" s="18">
        <f t="shared" si="53"/>
        <v>29</v>
      </c>
    </row>
    <row r="1155" spans="1:4" x14ac:dyDescent="0.25">
      <c r="A1155" s="18">
        <f t="shared" ref="A1155:A1218" si="54">IF(ISNUMBER(A1154),IF(B1155&lt;B1154,A1154+1,A1154),1)</f>
        <v>60</v>
      </c>
      <c r="B1155" s="18">
        <f t="shared" ref="B1155:B1218" si="55">IF(ISNUMBER(B1154),IF(C1154="Press ENTER to resume the program.",1,B1154+1),1)</f>
        <v>5</v>
      </c>
      <c r="C1155" s="18" t="s">
        <v>318</v>
      </c>
      <c r="D1155" s="18">
        <f t="shared" ref="D1155:D1218" si="56">LEN(C1155)</f>
        <v>28</v>
      </c>
    </row>
    <row r="1156" spans="1:4" x14ac:dyDescent="0.25">
      <c r="A1156" s="18">
        <f t="shared" si="54"/>
        <v>60</v>
      </c>
      <c r="B1156" s="18">
        <f t="shared" si="55"/>
        <v>6</v>
      </c>
      <c r="C1156" s="18"/>
      <c r="D1156" s="18">
        <f t="shared" si="56"/>
        <v>0</v>
      </c>
    </row>
    <row r="1157" spans="1:4" x14ac:dyDescent="0.25">
      <c r="A1157" s="18">
        <f t="shared" si="54"/>
        <v>60</v>
      </c>
      <c r="B1157" s="18">
        <f t="shared" si="55"/>
        <v>7</v>
      </c>
      <c r="C1157" s="18" t="s">
        <v>279</v>
      </c>
      <c r="D1157" s="18">
        <f t="shared" si="56"/>
        <v>36</v>
      </c>
    </row>
    <row r="1158" spans="1:4" x14ac:dyDescent="0.25">
      <c r="A1158" s="18">
        <f t="shared" si="54"/>
        <v>60</v>
      </c>
      <c r="B1158" s="18">
        <f t="shared" si="55"/>
        <v>8</v>
      </c>
      <c r="C1158" s="18" t="s">
        <v>280</v>
      </c>
      <c r="D1158" s="18">
        <f t="shared" si="56"/>
        <v>37</v>
      </c>
    </row>
    <row r="1159" spans="1:4" x14ac:dyDescent="0.25">
      <c r="A1159" s="18">
        <f t="shared" si="54"/>
        <v>60</v>
      </c>
      <c r="B1159" s="18">
        <f t="shared" si="55"/>
        <v>9</v>
      </c>
      <c r="C1159" s="18" t="s">
        <v>319</v>
      </c>
      <c r="D1159" s="18">
        <f t="shared" si="56"/>
        <v>37</v>
      </c>
    </row>
    <row r="1160" spans="1:4" x14ac:dyDescent="0.25">
      <c r="A1160" s="18">
        <f t="shared" si="54"/>
        <v>60</v>
      </c>
      <c r="B1160" s="18">
        <f t="shared" si="55"/>
        <v>10</v>
      </c>
      <c r="C1160" s="18" t="s">
        <v>289</v>
      </c>
      <c r="D1160" s="18">
        <f t="shared" si="56"/>
        <v>37</v>
      </c>
    </row>
    <row r="1161" spans="1:4" x14ac:dyDescent="0.25">
      <c r="A1161" s="18">
        <f t="shared" si="54"/>
        <v>60</v>
      </c>
      <c r="B1161" s="18">
        <f t="shared" si="55"/>
        <v>11</v>
      </c>
      <c r="C1161" s="18" t="s">
        <v>288</v>
      </c>
      <c r="D1161" s="18">
        <f t="shared" si="56"/>
        <v>37</v>
      </c>
    </row>
    <row r="1162" spans="1:4" x14ac:dyDescent="0.25">
      <c r="A1162" s="18">
        <f t="shared" si="54"/>
        <v>60</v>
      </c>
      <c r="B1162" s="18">
        <f t="shared" si="55"/>
        <v>12</v>
      </c>
      <c r="C1162" s="18" t="s">
        <v>287</v>
      </c>
      <c r="D1162" s="18">
        <f t="shared" si="56"/>
        <v>37</v>
      </c>
    </row>
    <row r="1163" spans="1:4" x14ac:dyDescent="0.25">
      <c r="A1163" s="18">
        <f t="shared" si="54"/>
        <v>60</v>
      </c>
      <c r="B1163" s="18">
        <f t="shared" si="55"/>
        <v>13</v>
      </c>
      <c r="C1163" s="18" t="s">
        <v>286</v>
      </c>
      <c r="D1163" s="18">
        <f t="shared" si="56"/>
        <v>37</v>
      </c>
    </row>
    <row r="1164" spans="1:4" x14ac:dyDescent="0.25">
      <c r="A1164" s="18">
        <f t="shared" si="54"/>
        <v>60</v>
      </c>
      <c r="B1164" s="18">
        <f t="shared" si="55"/>
        <v>14</v>
      </c>
      <c r="C1164" s="18" t="s">
        <v>285</v>
      </c>
      <c r="D1164" s="18">
        <f t="shared" si="56"/>
        <v>37</v>
      </c>
    </row>
    <row r="1165" spans="1:4" x14ac:dyDescent="0.25">
      <c r="A1165" s="18">
        <f t="shared" si="54"/>
        <v>60</v>
      </c>
      <c r="B1165" s="18">
        <f t="shared" si="55"/>
        <v>15</v>
      </c>
      <c r="C1165" s="18" t="s">
        <v>284</v>
      </c>
      <c r="D1165" s="18">
        <f t="shared" si="56"/>
        <v>37</v>
      </c>
    </row>
    <row r="1166" spans="1:4" x14ac:dyDescent="0.25">
      <c r="A1166" s="18">
        <f t="shared" si="54"/>
        <v>60</v>
      </c>
      <c r="B1166" s="18">
        <f t="shared" si="55"/>
        <v>16</v>
      </c>
      <c r="C1166" s="18" t="s">
        <v>283</v>
      </c>
      <c r="D1166" s="18">
        <f t="shared" si="56"/>
        <v>37</v>
      </c>
    </row>
    <row r="1167" spans="1:4" x14ac:dyDescent="0.25">
      <c r="A1167" s="18">
        <f t="shared" si="54"/>
        <v>60</v>
      </c>
      <c r="B1167" s="18">
        <f t="shared" si="55"/>
        <v>17</v>
      </c>
      <c r="C1167" s="18" t="s">
        <v>320</v>
      </c>
      <c r="D1167" s="18">
        <f t="shared" si="56"/>
        <v>36</v>
      </c>
    </row>
    <row r="1168" spans="1:4" x14ac:dyDescent="0.25">
      <c r="A1168" s="18">
        <f t="shared" si="54"/>
        <v>60</v>
      </c>
      <c r="B1168" s="18">
        <f t="shared" si="55"/>
        <v>18</v>
      </c>
      <c r="C1168" s="18" t="s">
        <v>173</v>
      </c>
      <c r="D1168" s="18">
        <f t="shared" si="56"/>
        <v>34</v>
      </c>
    </row>
    <row r="1169" spans="1:4" x14ac:dyDescent="0.25">
      <c r="A1169" s="18">
        <f t="shared" si="54"/>
        <v>61</v>
      </c>
      <c r="B1169" s="18">
        <f t="shared" si="55"/>
        <v>1</v>
      </c>
      <c r="C1169" s="18"/>
      <c r="D1169" s="18">
        <f t="shared" si="56"/>
        <v>0</v>
      </c>
    </row>
    <row r="1170" spans="1:4" x14ac:dyDescent="0.25">
      <c r="A1170" s="18">
        <f t="shared" si="54"/>
        <v>61</v>
      </c>
      <c r="B1170" s="18">
        <f t="shared" si="55"/>
        <v>2</v>
      </c>
      <c r="C1170" s="18" t="s">
        <v>316</v>
      </c>
      <c r="D1170" s="18">
        <f t="shared" si="56"/>
        <v>46</v>
      </c>
    </row>
    <row r="1171" spans="1:4" x14ac:dyDescent="0.25">
      <c r="A1171" s="18">
        <f t="shared" si="54"/>
        <v>61</v>
      </c>
      <c r="B1171" s="18">
        <f t="shared" si="55"/>
        <v>3</v>
      </c>
      <c r="C1171" s="18"/>
      <c r="D1171" s="18">
        <f t="shared" si="56"/>
        <v>0</v>
      </c>
    </row>
    <row r="1172" spans="1:4" x14ac:dyDescent="0.25">
      <c r="A1172" s="18">
        <f t="shared" si="54"/>
        <v>61</v>
      </c>
      <c r="B1172" s="18">
        <f t="shared" si="55"/>
        <v>4</v>
      </c>
      <c r="C1172" s="18" t="s">
        <v>321</v>
      </c>
      <c r="D1172" s="18">
        <f t="shared" si="56"/>
        <v>29</v>
      </c>
    </row>
    <row r="1173" spans="1:4" x14ac:dyDescent="0.25">
      <c r="A1173" s="18">
        <f t="shared" si="54"/>
        <v>61</v>
      </c>
      <c r="B1173" s="18">
        <f t="shared" si="55"/>
        <v>5</v>
      </c>
      <c r="C1173" s="18" t="s">
        <v>322</v>
      </c>
      <c r="D1173" s="18">
        <f t="shared" si="56"/>
        <v>28</v>
      </c>
    </row>
    <row r="1174" spans="1:4" x14ac:dyDescent="0.25">
      <c r="A1174" s="18">
        <f t="shared" si="54"/>
        <v>61</v>
      </c>
      <c r="B1174" s="18">
        <f t="shared" si="55"/>
        <v>6</v>
      </c>
      <c r="C1174" s="18"/>
      <c r="D1174" s="18">
        <f t="shared" si="56"/>
        <v>0</v>
      </c>
    </row>
    <row r="1175" spans="1:4" x14ac:dyDescent="0.25">
      <c r="A1175" s="18">
        <f t="shared" si="54"/>
        <v>61</v>
      </c>
      <c r="B1175" s="18">
        <f t="shared" si="55"/>
        <v>7</v>
      </c>
      <c r="C1175" s="18" t="s">
        <v>279</v>
      </c>
      <c r="D1175" s="18">
        <f t="shared" si="56"/>
        <v>36</v>
      </c>
    </row>
    <row r="1176" spans="1:4" x14ac:dyDescent="0.25">
      <c r="A1176" s="18">
        <f t="shared" si="54"/>
        <v>61</v>
      </c>
      <c r="B1176" s="18">
        <f t="shared" si="55"/>
        <v>8</v>
      </c>
      <c r="C1176" s="18" t="s">
        <v>280</v>
      </c>
      <c r="D1176" s="18">
        <f t="shared" si="56"/>
        <v>37</v>
      </c>
    </row>
    <row r="1177" spans="1:4" x14ac:dyDescent="0.25">
      <c r="A1177" s="18">
        <f t="shared" si="54"/>
        <v>61</v>
      </c>
      <c r="B1177" s="18">
        <f t="shared" si="55"/>
        <v>9</v>
      </c>
      <c r="C1177" s="18" t="s">
        <v>323</v>
      </c>
      <c r="D1177" s="18">
        <f t="shared" si="56"/>
        <v>37</v>
      </c>
    </row>
    <row r="1178" spans="1:4" x14ac:dyDescent="0.25">
      <c r="A1178" s="18">
        <f t="shared" si="54"/>
        <v>61</v>
      </c>
      <c r="B1178" s="18">
        <f t="shared" si="55"/>
        <v>10</v>
      </c>
      <c r="C1178" s="18" t="s">
        <v>296</v>
      </c>
      <c r="D1178" s="18">
        <f t="shared" si="56"/>
        <v>37</v>
      </c>
    </row>
    <row r="1179" spans="1:4" x14ac:dyDescent="0.25">
      <c r="A1179" s="18">
        <f t="shared" si="54"/>
        <v>61</v>
      </c>
      <c r="B1179" s="18">
        <f t="shared" si="55"/>
        <v>11</v>
      </c>
      <c r="C1179" s="18" t="s">
        <v>295</v>
      </c>
      <c r="D1179" s="18">
        <f t="shared" si="56"/>
        <v>37</v>
      </c>
    </row>
    <row r="1180" spans="1:4" x14ac:dyDescent="0.25">
      <c r="A1180" s="18">
        <f t="shared" si="54"/>
        <v>61</v>
      </c>
      <c r="B1180" s="18">
        <f t="shared" si="55"/>
        <v>12</v>
      </c>
      <c r="C1180" s="18" t="s">
        <v>289</v>
      </c>
      <c r="D1180" s="18">
        <f t="shared" si="56"/>
        <v>37</v>
      </c>
    </row>
    <row r="1181" spans="1:4" x14ac:dyDescent="0.25">
      <c r="A1181" s="18">
        <f t="shared" si="54"/>
        <v>61</v>
      </c>
      <c r="B1181" s="18">
        <f t="shared" si="55"/>
        <v>13</v>
      </c>
      <c r="C1181" s="18" t="s">
        <v>288</v>
      </c>
      <c r="D1181" s="18">
        <f t="shared" si="56"/>
        <v>37</v>
      </c>
    </row>
    <row r="1182" spans="1:4" x14ac:dyDescent="0.25">
      <c r="A1182" s="18">
        <f t="shared" si="54"/>
        <v>61</v>
      </c>
      <c r="B1182" s="18">
        <f t="shared" si="55"/>
        <v>14</v>
      </c>
      <c r="C1182" s="18" t="s">
        <v>287</v>
      </c>
      <c r="D1182" s="18">
        <f t="shared" si="56"/>
        <v>37</v>
      </c>
    </row>
    <row r="1183" spans="1:4" x14ac:dyDescent="0.25">
      <c r="A1183" s="18">
        <f t="shared" si="54"/>
        <v>61</v>
      </c>
      <c r="B1183" s="18">
        <f t="shared" si="55"/>
        <v>15</v>
      </c>
      <c r="C1183" s="18" t="s">
        <v>286</v>
      </c>
      <c r="D1183" s="18">
        <f t="shared" si="56"/>
        <v>37</v>
      </c>
    </row>
    <row r="1184" spans="1:4" x14ac:dyDescent="0.25">
      <c r="A1184" s="18">
        <f t="shared" si="54"/>
        <v>61</v>
      </c>
      <c r="B1184" s="18">
        <f t="shared" si="55"/>
        <v>16</v>
      </c>
      <c r="C1184" s="18" t="s">
        <v>285</v>
      </c>
      <c r="D1184" s="18">
        <f t="shared" si="56"/>
        <v>37</v>
      </c>
    </row>
    <row r="1185" spans="1:4" x14ac:dyDescent="0.25">
      <c r="A1185" s="18">
        <f t="shared" si="54"/>
        <v>61</v>
      </c>
      <c r="B1185" s="18">
        <f t="shared" si="55"/>
        <v>17</v>
      </c>
      <c r="C1185" s="18" t="s">
        <v>284</v>
      </c>
      <c r="D1185" s="18">
        <f t="shared" si="56"/>
        <v>37</v>
      </c>
    </row>
    <row r="1186" spans="1:4" x14ac:dyDescent="0.25">
      <c r="A1186" s="18">
        <f t="shared" si="54"/>
        <v>61</v>
      </c>
      <c r="B1186" s="18">
        <f t="shared" si="55"/>
        <v>18</v>
      </c>
      <c r="C1186" s="18" t="s">
        <v>283</v>
      </c>
      <c r="D1186" s="18">
        <f t="shared" si="56"/>
        <v>37</v>
      </c>
    </row>
    <row r="1187" spans="1:4" x14ac:dyDescent="0.25">
      <c r="A1187" s="18">
        <f t="shared" si="54"/>
        <v>61</v>
      </c>
      <c r="B1187" s="18">
        <f t="shared" si="55"/>
        <v>19</v>
      </c>
      <c r="C1187" s="18" t="s">
        <v>282</v>
      </c>
      <c r="D1187" s="18">
        <f t="shared" si="56"/>
        <v>37</v>
      </c>
    </row>
    <row r="1188" spans="1:4" x14ac:dyDescent="0.25">
      <c r="A1188" s="18">
        <f t="shared" si="54"/>
        <v>61</v>
      </c>
      <c r="B1188" s="18">
        <f t="shared" si="55"/>
        <v>20</v>
      </c>
      <c r="C1188" s="18" t="s">
        <v>324</v>
      </c>
      <c r="D1188" s="18">
        <f t="shared" si="56"/>
        <v>36</v>
      </c>
    </row>
    <row r="1189" spans="1:4" x14ac:dyDescent="0.25">
      <c r="A1189" s="18">
        <f t="shared" si="54"/>
        <v>61</v>
      </c>
      <c r="B1189" s="18">
        <f t="shared" si="55"/>
        <v>21</v>
      </c>
      <c r="C1189" s="18" t="s">
        <v>173</v>
      </c>
      <c r="D1189" s="18">
        <f t="shared" si="56"/>
        <v>34</v>
      </c>
    </row>
    <row r="1190" spans="1:4" x14ac:dyDescent="0.25">
      <c r="A1190" s="18">
        <f t="shared" si="54"/>
        <v>62</v>
      </c>
      <c r="B1190" s="18">
        <f t="shared" si="55"/>
        <v>1</v>
      </c>
      <c r="C1190" s="18"/>
      <c r="D1190" s="18">
        <f t="shared" si="56"/>
        <v>0</v>
      </c>
    </row>
    <row r="1191" spans="1:4" x14ac:dyDescent="0.25">
      <c r="A1191" s="18">
        <f t="shared" si="54"/>
        <v>62</v>
      </c>
      <c r="B1191" s="18">
        <f t="shared" si="55"/>
        <v>2</v>
      </c>
      <c r="C1191" s="18" t="s">
        <v>316</v>
      </c>
      <c r="D1191" s="18">
        <f t="shared" si="56"/>
        <v>46</v>
      </c>
    </row>
    <row r="1192" spans="1:4" x14ac:dyDescent="0.25">
      <c r="A1192" s="18">
        <f t="shared" si="54"/>
        <v>62</v>
      </c>
      <c r="B1192" s="18">
        <f t="shared" si="55"/>
        <v>3</v>
      </c>
      <c r="C1192" s="18"/>
      <c r="D1192" s="18">
        <f t="shared" si="56"/>
        <v>0</v>
      </c>
    </row>
    <row r="1193" spans="1:4" x14ac:dyDescent="0.25">
      <c r="A1193" s="18">
        <f t="shared" si="54"/>
        <v>62</v>
      </c>
      <c r="B1193" s="18">
        <f t="shared" si="55"/>
        <v>4</v>
      </c>
      <c r="C1193" s="18" t="s">
        <v>325</v>
      </c>
      <c r="D1193" s="18">
        <f t="shared" si="56"/>
        <v>28</v>
      </c>
    </row>
    <row r="1194" spans="1:4" x14ac:dyDescent="0.25">
      <c r="A1194" s="18">
        <f t="shared" si="54"/>
        <v>62</v>
      </c>
      <c r="B1194" s="18">
        <f t="shared" si="55"/>
        <v>5</v>
      </c>
      <c r="C1194" s="18" t="s">
        <v>326</v>
      </c>
      <c r="D1194" s="18">
        <f t="shared" si="56"/>
        <v>30</v>
      </c>
    </row>
    <row r="1195" spans="1:4" x14ac:dyDescent="0.25">
      <c r="A1195" s="18">
        <f t="shared" si="54"/>
        <v>62</v>
      </c>
      <c r="B1195" s="18">
        <f t="shared" si="55"/>
        <v>6</v>
      </c>
      <c r="C1195" s="18"/>
      <c r="D1195" s="18">
        <f t="shared" si="56"/>
        <v>0</v>
      </c>
    </row>
    <row r="1196" spans="1:4" x14ac:dyDescent="0.25">
      <c r="A1196" s="18">
        <f t="shared" si="54"/>
        <v>62</v>
      </c>
      <c r="B1196" s="18">
        <f t="shared" si="55"/>
        <v>7</v>
      </c>
      <c r="C1196" s="18" t="s">
        <v>279</v>
      </c>
      <c r="D1196" s="18">
        <f t="shared" si="56"/>
        <v>36</v>
      </c>
    </row>
    <row r="1197" spans="1:4" x14ac:dyDescent="0.25">
      <c r="A1197" s="18">
        <f t="shared" si="54"/>
        <v>62</v>
      </c>
      <c r="B1197" s="18">
        <f t="shared" si="55"/>
        <v>8</v>
      </c>
      <c r="C1197" s="18" t="s">
        <v>280</v>
      </c>
      <c r="D1197" s="18">
        <f t="shared" si="56"/>
        <v>37</v>
      </c>
    </row>
    <row r="1198" spans="1:4" x14ac:dyDescent="0.25">
      <c r="A1198" s="18">
        <f t="shared" si="54"/>
        <v>62</v>
      </c>
      <c r="B1198" s="18">
        <f t="shared" si="55"/>
        <v>9</v>
      </c>
      <c r="C1198" s="18" t="s">
        <v>327</v>
      </c>
      <c r="D1198" s="18">
        <f t="shared" si="56"/>
        <v>37</v>
      </c>
    </row>
    <row r="1199" spans="1:4" x14ac:dyDescent="0.25">
      <c r="A1199" s="18">
        <f t="shared" si="54"/>
        <v>62</v>
      </c>
      <c r="B1199" s="18">
        <f t="shared" si="55"/>
        <v>10</v>
      </c>
      <c r="C1199" s="18" t="s">
        <v>284</v>
      </c>
      <c r="D1199" s="18">
        <f t="shared" si="56"/>
        <v>37</v>
      </c>
    </row>
    <row r="1200" spans="1:4" x14ac:dyDescent="0.25">
      <c r="A1200" s="18">
        <f t="shared" si="54"/>
        <v>62</v>
      </c>
      <c r="B1200" s="18">
        <f t="shared" si="55"/>
        <v>11</v>
      </c>
      <c r="C1200" s="18" t="s">
        <v>283</v>
      </c>
      <c r="D1200" s="18">
        <f t="shared" si="56"/>
        <v>37</v>
      </c>
    </row>
    <row r="1201" spans="1:4" x14ac:dyDescent="0.25">
      <c r="A1201" s="18">
        <f t="shared" si="54"/>
        <v>62</v>
      </c>
      <c r="B1201" s="18">
        <f t="shared" si="55"/>
        <v>12</v>
      </c>
      <c r="C1201" s="18" t="s">
        <v>282</v>
      </c>
      <c r="D1201" s="18">
        <f t="shared" si="56"/>
        <v>37</v>
      </c>
    </row>
    <row r="1202" spans="1:4" x14ac:dyDescent="0.25">
      <c r="A1202" s="18">
        <f t="shared" si="54"/>
        <v>62</v>
      </c>
      <c r="B1202" s="18">
        <f t="shared" si="55"/>
        <v>13</v>
      </c>
      <c r="C1202" s="18" t="s">
        <v>294</v>
      </c>
      <c r="D1202" s="18">
        <f t="shared" si="56"/>
        <v>37</v>
      </c>
    </row>
    <row r="1203" spans="1:4" x14ac:dyDescent="0.25">
      <c r="A1203" s="18">
        <f t="shared" si="54"/>
        <v>62</v>
      </c>
      <c r="B1203" s="18">
        <f t="shared" si="55"/>
        <v>14</v>
      </c>
      <c r="C1203" s="18" t="s">
        <v>310</v>
      </c>
      <c r="D1203" s="18">
        <f t="shared" si="56"/>
        <v>37</v>
      </c>
    </row>
    <row r="1204" spans="1:4" x14ac:dyDescent="0.25">
      <c r="A1204" s="18">
        <f t="shared" si="54"/>
        <v>62</v>
      </c>
      <c r="B1204" s="18">
        <f t="shared" si="55"/>
        <v>15</v>
      </c>
      <c r="C1204" s="18" t="s">
        <v>309</v>
      </c>
      <c r="D1204" s="18">
        <f t="shared" si="56"/>
        <v>37</v>
      </c>
    </row>
    <row r="1205" spans="1:4" x14ac:dyDescent="0.25">
      <c r="A1205" s="18">
        <f t="shared" si="54"/>
        <v>62</v>
      </c>
      <c r="B1205" s="18">
        <f t="shared" si="55"/>
        <v>16</v>
      </c>
      <c r="C1205" s="18" t="s">
        <v>308</v>
      </c>
      <c r="D1205" s="18">
        <f t="shared" si="56"/>
        <v>37</v>
      </c>
    </row>
    <row r="1206" spans="1:4" x14ac:dyDescent="0.25">
      <c r="A1206" s="18">
        <f t="shared" si="54"/>
        <v>62</v>
      </c>
      <c r="B1206" s="18">
        <f t="shared" si="55"/>
        <v>17</v>
      </c>
      <c r="C1206" s="18" t="s">
        <v>307</v>
      </c>
      <c r="D1206" s="18">
        <f t="shared" si="56"/>
        <v>37</v>
      </c>
    </row>
    <row r="1207" spans="1:4" x14ac:dyDescent="0.25">
      <c r="A1207" s="18">
        <f t="shared" si="54"/>
        <v>62</v>
      </c>
      <c r="B1207" s="18">
        <f t="shared" si="55"/>
        <v>18</v>
      </c>
      <c r="C1207" s="18" t="s">
        <v>306</v>
      </c>
      <c r="D1207" s="18">
        <f t="shared" si="56"/>
        <v>37</v>
      </c>
    </row>
    <row r="1208" spans="1:4" x14ac:dyDescent="0.25">
      <c r="A1208" s="18">
        <f t="shared" si="54"/>
        <v>62</v>
      </c>
      <c r="B1208" s="18">
        <f t="shared" si="55"/>
        <v>19</v>
      </c>
      <c r="C1208" s="18" t="s">
        <v>305</v>
      </c>
      <c r="D1208" s="18">
        <f t="shared" si="56"/>
        <v>37</v>
      </c>
    </row>
    <row r="1209" spans="1:4" x14ac:dyDescent="0.25">
      <c r="A1209" s="18">
        <f t="shared" si="54"/>
        <v>62</v>
      </c>
      <c r="B1209" s="18">
        <f t="shared" si="55"/>
        <v>20</v>
      </c>
      <c r="C1209" s="18" t="s">
        <v>304</v>
      </c>
      <c r="D1209" s="18">
        <f t="shared" si="56"/>
        <v>37</v>
      </c>
    </row>
    <row r="1210" spans="1:4" x14ac:dyDescent="0.25">
      <c r="A1210" s="18">
        <f t="shared" si="54"/>
        <v>62</v>
      </c>
      <c r="B1210" s="18">
        <f t="shared" si="55"/>
        <v>21</v>
      </c>
      <c r="C1210" s="18" t="s">
        <v>303</v>
      </c>
      <c r="D1210" s="18">
        <f t="shared" si="56"/>
        <v>37</v>
      </c>
    </row>
    <row r="1211" spans="1:4" x14ac:dyDescent="0.25">
      <c r="A1211" s="18">
        <f t="shared" si="54"/>
        <v>62</v>
      </c>
      <c r="B1211" s="18">
        <f t="shared" si="55"/>
        <v>22</v>
      </c>
      <c r="C1211" s="18" t="s">
        <v>302</v>
      </c>
      <c r="D1211" s="18">
        <f t="shared" si="56"/>
        <v>37</v>
      </c>
    </row>
    <row r="1212" spans="1:4" x14ac:dyDescent="0.25">
      <c r="A1212" s="18">
        <f t="shared" si="54"/>
        <v>62</v>
      </c>
      <c r="B1212" s="18">
        <f t="shared" si="55"/>
        <v>23</v>
      </c>
      <c r="C1212" s="18" t="s">
        <v>328</v>
      </c>
      <c r="D1212" s="18">
        <f t="shared" si="56"/>
        <v>36</v>
      </c>
    </row>
    <row r="1213" spans="1:4" x14ac:dyDescent="0.25">
      <c r="A1213" s="18">
        <f t="shared" si="54"/>
        <v>62</v>
      </c>
      <c r="B1213" s="18">
        <f t="shared" si="55"/>
        <v>24</v>
      </c>
      <c r="C1213" s="18" t="s">
        <v>173</v>
      </c>
      <c r="D1213" s="18">
        <f t="shared" si="56"/>
        <v>34</v>
      </c>
    </row>
    <row r="1214" spans="1:4" x14ac:dyDescent="0.25">
      <c r="A1214" s="18">
        <f t="shared" si="54"/>
        <v>63</v>
      </c>
      <c r="B1214" s="18">
        <f t="shared" si="55"/>
        <v>1</v>
      </c>
      <c r="C1214" s="18"/>
      <c r="D1214" s="18">
        <f t="shared" si="56"/>
        <v>0</v>
      </c>
    </row>
    <row r="1215" spans="1:4" x14ac:dyDescent="0.25">
      <c r="A1215" s="18">
        <f t="shared" si="54"/>
        <v>63</v>
      </c>
      <c r="B1215" s="18">
        <f t="shared" si="55"/>
        <v>2</v>
      </c>
      <c r="C1215" s="18" t="s">
        <v>329</v>
      </c>
      <c r="D1215" s="18">
        <f t="shared" si="56"/>
        <v>58</v>
      </c>
    </row>
    <row r="1216" spans="1:4" x14ac:dyDescent="0.25">
      <c r="A1216" s="18">
        <f t="shared" si="54"/>
        <v>63</v>
      </c>
      <c r="B1216" s="18">
        <f t="shared" si="55"/>
        <v>3</v>
      </c>
      <c r="C1216" s="18"/>
      <c r="D1216" s="18">
        <f t="shared" si="56"/>
        <v>0</v>
      </c>
    </row>
    <row r="1217" spans="1:4" x14ac:dyDescent="0.25">
      <c r="A1217" s="18">
        <f t="shared" si="54"/>
        <v>63</v>
      </c>
      <c r="B1217" s="18">
        <f t="shared" si="55"/>
        <v>4</v>
      </c>
      <c r="C1217" s="18" t="s">
        <v>317</v>
      </c>
      <c r="D1217" s="18">
        <f t="shared" si="56"/>
        <v>29</v>
      </c>
    </row>
    <row r="1218" spans="1:4" x14ac:dyDescent="0.25">
      <c r="A1218" s="18">
        <f t="shared" si="54"/>
        <v>63</v>
      </c>
      <c r="B1218" s="18">
        <f t="shared" si="55"/>
        <v>5</v>
      </c>
      <c r="C1218" s="18" t="s">
        <v>318</v>
      </c>
      <c r="D1218" s="18">
        <f t="shared" si="56"/>
        <v>28</v>
      </c>
    </row>
    <row r="1219" spans="1:4" x14ac:dyDescent="0.25">
      <c r="A1219" s="18">
        <f t="shared" ref="A1219:A1282" si="57">IF(ISNUMBER(A1218),IF(B1219&lt;B1218,A1218+1,A1218),1)</f>
        <v>63</v>
      </c>
      <c r="B1219" s="18">
        <f t="shared" ref="B1219:B1282" si="58">IF(ISNUMBER(B1218),IF(C1218="Press ENTER to resume the program.",1,B1218+1),1)</f>
        <v>6</v>
      </c>
      <c r="C1219" s="18"/>
      <c r="D1219" s="18">
        <f t="shared" ref="D1219:D1282" si="59">LEN(C1219)</f>
        <v>0</v>
      </c>
    </row>
    <row r="1220" spans="1:4" x14ac:dyDescent="0.25">
      <c r="A1220" s="18">
        <f t="shared" si="57"/>
        <v>63</v>
      </c>
      <c r="B1220" s="18">
        <f t="shared" si="58"/>
        <v>7</v>
      </c>
      <c r="C1220" s="18" t="s">
        <v>279</v>
      </c>
      <c r="D1220" s="18">
        <f t="shared" si="59"/>
        <v>36</v>
      </c>
    </row>
    <row r="1221" spans="1:4" x14ac:dyDescent="0.25">
      <c r="A1221" s="18">
        <f t="shared" si="57"/>
        <v>63</v>
      </c>
      <c r="B1221" s="18">
        <f t="shared" si="58"/>
        <v>8</v>
      </c>
      <c r="C1221" s="18" t="s">
        <v>280</v>
      </c>
      <c r="D1221" s="18">
        <f t="shared" si="59"/>
        <v>37</v>
      </c>
    </row>
    <row r="1222" spans="1:4" x14ac:dyDescent="0.25">
      <c r="A1222" s="18">
        <f t="shared" si="57"/>
        <v>63</v>
      </c>
      <c r="B1222" s="18">
        <f t="shared" si="58"/>
        <v>9</v>
      </c>
      <c r="C1222" s="18" t="s">
        <v>319</v>
      </c>
      <c r="D1222" s="18">
        <f t="shared" si="59"/>
        <v>37</v>
      </c>
    </row>
    <row r="1223" spans="1:4" x14ac:dyDescent="0.25">
      <c r="A1223" s="18">
        <f t="shared" si="57"/>
        <v>63</v>
      </c>
      <c r="B1223" s="18">
        <f t="shared" si="58"/>
        <v>10</v>
      </c>
      <c r="C1223" s="18" t="s">
        <v>289</v>
      </c>
      <c r="D1223" s="18">
        <f t="shared" si="59"/>
        <v>37</v>
      </c>
    </row>
    <row r="1224" spans="1:4" x14ac:dyDescent="0.25">
      <c r="A1224" s="18">
        <f t="shared" si="57"/>
        <v>63</v>
      </c>
      <c r="B1224" s="18">
        <f t="shared" si="58"/>
        <v>11</v>
      </c>
      <c r="C1224" s="18" t="s">
        <v>288</v>
      </c>
      <c r="D1224" s="18">
        <f t="shared" si="59"/>
        <v>37</v>
      </c>
    </row>
    <row r="1225" spans="1:4" x14ac:dyDescent="0.25">
      <c r="A1225" s="18">
        <f t="shared" si="57"/>
        <v>63</v>
      </c>
      <c r="B1225" s="18">
        <f t="shared" si="58"/>
        <v>12</v>
      </c>
      <c r="C1225" s="18" t="s">
        <v>287</v>
      </c>
      <c r="D1225" s="18">
        <f t="shared" si="59"/>
        <v>37</v>
      </c>
    </row>
    <row r="1226" spans="1:4" x14ac:dyDescent="0.25">
      <c r="A1226" s="18">
        <f t="shared" si="57"/>
        <v>63</v>
      </c>
      <c r="B1226" s="18">
        <f t="shared" si="58"/>
        <v>13</v>
      </c>
      <c r="C1226" s="18" t="s">
        <v>286</v>
      </c>
      <c r="D1226" s="18">
        <f t="shared" si="59"/>
        <v>37</v>
      </c>
    </row>
    <row r="1227" spans="1:4" x14ac:dyDescent="0.25">
      <c r="A1227" s="18">
        <f t="shared" si="57"/>
        <v>63</v>
      </c>
      <c r="B1227" s="18">
        <f t="shared" si="58"/>
        <v>14</v>
      </c>
      <c r="C1227" s="18" t="s">
        <v>285</v>
      </c>
      <c r="D1227" s="18">
        <f t="shared" si="59"/>
        <v>37</v>
      </c>
    </row>
    <row r="1228" spans="1:4" x14ac:dyDescent="0.25">
      <c r="A1228" s="18">
        <f t="shared" si="57"/>
        <v>63</v>
      </c>
      <c r="B1228" s="18">
        <f t="shared" si="58"/>
        <v>15</v>
      </c>
      <c r="C1228" s="18" t="s">
        <v>284</v>
      </c>
      <c r="D1228" s="18">
        <f t="shared" si="59"/>
        <v>37</v>
      </c>
    </row>
    <row r="1229" spans="1:4" x14ac:dyDescent="0.25">
      <c r="A1229" s="18">
        <f t="shared" si="57"/>
        <v>63</v>
      </c>
      <c r="B1229" s="18">
        <f t="shared" si="58"/>
        <v>16</v>
      </c>
      <c r="C1229" s="18" t="s">
        <v>283</v>
      </c>
      <c r="D1229" s="18">
        <f t="shared" si="59"/>
        <v>37</v>
      </c>
    </row>
    <row r="1230" spans="1:4" x14ac:dyDescent="0.25">
      <c r="A1230" s="18">
        <f t="shared" si="57"/>
        <v>63</v>
      </c>
      <c r="B1230" s="18">
        <f t="shared" si="58"/>
        <v>17</v>
      </c>
      <c r="C1230" s="18" t="s">
        <v>282</v>
      </c>
      <c r="D1230" s="18">
        <f t="shared" si="59"/>
        <v>37</v>
      </c>
    </row>
    <row r="1231" spans="1:4" x14ac:dyDescent="0.25">
      <c r="A1231" s="18">
        <f t="shared" si="57"/>
        <v>63</v>
      </c>
      <c r="B1231" s="18">
        <f t="shared" si="58"/>
        <v>18</v>
      </c>
      <c r="C1231" s="18" t="s">
        <v>324</v>
      </c>
      <c r="D1231" s="18">
        <f t="shared" si="59"/>
        <v>36</v>
      </c>
    </row>
    <row r="1232" spans="1:4" x14ac:dyDescent="0.25">
      <c r="A1232" s="18">
        <f t="shared" si="57"/>
        <v>63</v>
      </c>
      <c r="B1232" s="18">
        <f t="shared" si="58"/>
        <v>19</v>
      </c>
      <c r="C1232" s="18" t="s">
        <v>173</v>
      </c>
      <c r="D1232" s="18">
        <f t="shared" si="59"/>
        <v>34</v>
      </c>
    </row>
    <row r="1233" spans="1:4" x14ac:dyDescent="0.25">
      <c r="A1233" s="18">
        <f t="shared" si="57"/>
        <v>64</v>
      </c>
      <c r="B1233" s="18">
        <f t="shared" si="58"/>
        <v>1</v>
      </c>
      <c r="C1233" s="18"/>
      <c r="D1233" s="18">
        <f t="shared" si="59"/>
        <v>0</v>
      </c>
    </row>
    <row r="1234" spans="1:4" x14ac:dyDescent="0.25">
      <c r="A1234" s="18">
        <f t="shared" si="57"/>
        <v>64</v>
      </c>
      <c r="B1234" s="18">
        <f t="shared" si="58"/>
        <v>2</v>
      </c>
      <c r="C1234" s="18" t="s">
        <v>329</v>
      </c>
      <c r="D1234" s="18">
        <f t="shared" si="59"/>
        <v>58</v>
      </c>
    </row>
    <row r="1235" spans="1:4" x14ac:dyDescent="0.25">
      <c r="A1235" s="18">
        <f t="shared" si="57"/>
        <v>64</v>
      </c>
      <c r="B1235" s="18">
        <f t="shared" si="58"/>
        <v>3</v>
      </c>
      <c r="C1235" s="18"/>
      <c r="D1235" s="18">
        <f t="shared" si="59"/>
        <v>0</v>
      </c>
    </row>
    <row r="1236" spans="1:4" x14ac:dyDescent="0.25">
      <c r="A1236" s="18">
        <f t="shared" si="57"/>
        <v>64</v>
      </c>
      <c r="B1236" s="18">
        <f t="shared" si="58"/>
        <v>4</v>
      </c>
      <c r="C1236" s="18" t="s">
        <v>321</v>
      </c>
      <c r="D1236" s="18">
        <f t="shared" si="59"/>
        <v>29</v>
      </c>
    </row>
    <row r="1237" spans="1:4" x14ac:dyDescent="0.25">
      <c r="A1237" s="18">
        <f t="shared" si="57"/>
        <v>64</v>
      </c>
      <c r="B1237" s="18">
        <f t="shared" si="58"/>
        <v>5</v>
      </c>
      <c r="C1237" s="18" t="s">
        <v>322</v>
      </c>
      <c r="D1237" s="18">
        <f t="shared" si="59"/>
        <v>28</v>
      </c>
    </row>
    <row r="1238" spans="1:4" x14ac:dyDescent="0.25">
      <c r="A1238" s="18">
        <f t="shared" si="57"/>
        <v>64</v>
      </c>
      <c r="B1238" s="18">
        <f t="shared" si="58"/>
        <v>6</v>
      </c>
      <c r="C1238" s="18"/>
      <c r="D1238" s="18">
        <f t="shared" si="59"/>
        <v>0</v>
      </c>
    </row>
    <row r="1239" spans="1:4" x14ac:dyDescent="0.25">
      <c r="A1239" s="18">
        <f t="shared" si="57"/>
        <v>64</v>
      </c>
      <c r="B1239" s="18">
        <f t="shared" si="58"/>
        <v>7</v>
      </c>
      <c r="C1239" s="18" t="s">
        <v>279</v>
      </c>
      <c r="D1239" s="18">
        <f t="shared" si="59"/>
        <v>36</v>
      </c>
    </row>
    <row r="1240" spans="1:4" x14ac:dyDescent="0.25">
      <c r="A1240" s="18">
        <f t="shared" si="57"/>
        <v>64</v>
      </c>
      <c r="B1240" s="18">
        <f t="shared" si="58"/>
        <v>8</v>
      </c>
      <c r="C1240" s="18" t="s">
        <v>280</v>
      </c>
      <c r="D1240" s="18">
        <f t="shared" si="59"/>
        <v>37</v>
      </c>
    </row>
    <row r="1241" spans="1:4" x14ac:dyDescent="0.25">
      <c r="A1241" s="18">
        <f t="shared" si="57"/>
        <v>64</v>
      </c>
      <c r="B1241" s="18">
        <f t="shared" si="58"/>
        <v>9</v>
      </c>
      <c r="C1241" s="18" t="s">
        <v>323</v>
      </c>
      <c r="D1241" s="18">
        <f t="shared" si="59"/>
        <v>37</v>
      </c>
    </row>
    <row r="1242" spans="1:4" x14ac:dyDescent="0.25">
      <c r="A1242" s="18">
        <f t="shared" si="57"/>
        <v>64</v>
      </c>
      <c r="B1242" s="18">
        <f t="shared" si="58"/>
        <v>10</v>
      </c>
      <c r="C1242" s="18" t="s">
        <v>296</v>
      </c>
      <c r="D1242" s="18">
        <f t="shared" si="59"/>
        <v>37</v>
      </c>
    </row>
    <row r="1243" spans="1:4" x14ac:dyDescent="0.25">
      <c r="A1243" s="18">
        <f t="shared" si="57"/>
        <v>64</v>
      </c>
      <c r="B1243" s="18">
        <f t="shared" si="58"/>
        <v>11</v>
      </c>
      <c r="C1243" s="18" t="s">
        <v>295</v>
      </c>
      <c r="D1243" s="18">
        <f t="shared" si="59"/>
        <v>37</v>
      </c>
    </row>
    <row r="1244" spans="1:4" x14ac:dyDescent="0.25">
      <c r="A1244" s="18">
        <f t="shared" si="57"/>
        <v>64</v>
      </c>
      <c r="B1244" s="18">
        <f t="shared" si="58"/>
        <v>12</v>
      </c>
      <c r="C1244" s="18" t="s">
        <v>289</v>
      </c>
      <c r="D1244" s="18">
        <f t="shared" si="59"/>
        <v>37</v>
      </c>
    </row>
    <row r="1245" spans="1:4" x14ac:dyDescent="0.25">
      <c r="A1245" s="18">
        <f t="shared" si="57"/>
        <v>64</v>
      </c>
      <c r="B1245" s="18">
        <f t="shared" si="58"/>
        <v>13</v>
      </c>
      <c r="C1245" s="18" t="s">
        <v>288</v>
      </c>
      <c r="D1245" s="18">
        <f t="shared" si="59"/>
        <v>37</v>
      </c>
    </row>
    <row r="1246" spans="1:4" x14ac:dyDescent="0.25">
      <c r="A1246" s="18">
        <f t="shared" si="57"/>
        <v>64</v>
      </c>
      <c r="B1246" s="18">
        <f t="shared" si="58"/>
        <v>14</v>
      </c>
      <c r="C1246" s="18" t="s">
        <v>287</v>
      </c>
      <c r="D1246" s="18">
        <f t="shared" si="59"/>
        <v>37</v>
      </c>
    </row>
    <row r="1247" spans="1:4" x14ac:dyDescent="0.25">
      <c r="A1247" s="18">
        <f t="shared" si="57"/>
        <v>64</v>
      </c>
      <c r="B1247" s="18">
        <f t="shared" si="58"/>
        <v>15</v>
      </c>
      <c r="C1247" s="18" t="s">
        <v>286</v>
      </c>
      <c r="D1247" s="18">
        <f t="shared" si="59"/>
        <v>37</v>
      </c>
    </row>
    <row r="1248" spans="1:4" x14ac:dyDescent="0.25">
      <c r="A1248" s="18">
        <f t="shared" si="57"/>
        <v>64</v>
      </c>
      <c r="B1248" s="18">
        <f t="shared" si="58"/>
        <v>16</v>
      </c>
      <c r="C1248" s="18" t="s">
        <v>285</v>
      </c>
      <c r="D1248" s="18">
        <f t="shared" si="59"/>
        <v>37</v>
      </c>
    </row>
    <row r="1249" spans="1:4" x14ac:dyDescent="0.25">
      <c r="A1249" s="18">
        <f t="shared" si="57"/>
        <v>64</v>
      </c>
      <c r="B1249" s="18">
        <f t="shared" si="58"/>
        <v>17</v>
      </c>
      <c r="C1249" s="18" t="s">
        <v>284</v>
      </c>
      <c r="D1249" s="18">
        <f t="shared" si="59"/>
        <v>37</v>
      </c>
    </row>
    <row r="1250" spans="1:4" x14ac:dyDescent="0.25">
      <c r="A1250" s="18">
        <f t="shared" si="57"/>
        <v>64</v>
      </c>
      <c r="B1250" s="18">
        <f t="shared" si="58"/>
        <v>18</v>
      </c>
      <c r="C1250" s="18" t="s">
        <v>283</v>
      </c>
      <c r="D1250" s="18">
        <f t="shared" si="59"/>
        <v>37</v>
      </c>
    </row>
    <row r="1251" spans="1:4" x14ac:dyDescent="0.25">
      <c r="A1251" s="18">
        <f t="shared" si="57"/>
        <v>64</v>
      </c>
      <c r="B1251" s="18">
        <f t="shared" si="58"/>
        <v>19</v>
      </c>
      <c r="C1251" s="18" t="s">
        <v>282</v>
      </c>
      <c r="D1251" s="18">
        <f t="shared" si="59"/>
        <v>37</v>
      </c>
    </row>
    <row r="1252" spans="1:4" x14ac:dyDescent="0.25">
      <c r="A1252" s="18">
        <f t="shared" si="57"/>
        <v>64</v>
      </c>
      <c r="B1252" s="18">
        <f t="shared" si="58"/>
        <v>20</v>
      </c>
      <c r="C1252" s="18" t="s">
        <v>294</v>
      </c>
      <c r="D1252" s="18">
        <f t="shared" si="59"/>
        <v>37</v>
      </c>
    </row>
    <row r="1253" spans="1:4" x14ac:dyDescent="0.25">
      <c r="A1253" s="18">
        <f t="shared" si="57"/>
        <v>64</v>
      </c>
      <c r="B1253" s="18">
        <f t="shared" si="58"/>
        <v>21</v>
      </c>
      <c r="C1253" s="18" t="s">
        <v>330</v>
      </c>
      <c r="D1253" s="18">
        <f t="shared" si="59"/>
        <v>36</v>
      </c>
    </row>
    <row r="1254" spans="1:4" x14ac:dyDescent="0.25">
      <c r="A1254" s="18">
        <f t="shared" si="57"/>
        <v>64</v>
      </c>
      <c r="B1254" s="18">
        <f t="shared" si="58"/>
        <v>22</v>
      </c>
      <c r="C1254" s="18" t="s">
        <v>173</v>
      </c>
      <c r="D1254" s="18">
        <f t="shared" si="59"/>
        <v>34</v>
      </c>
    </row>
    <row r="1255" spans="1:4" x14ac:dyDescent="0.25">
      <c r="A1255" s="18">
        <f t="shared" si="57"/>
        <v>65</v>
      </c>
      <c r="B1255" s="18">
        <f t="shared" si="58"/>
        <v>1</v>
      </c>
      <c r="C1255" s="18"/>
      <c r="D1255" s="18">
        <f t="shared" si="59"/>
        <v>0</v>
      </c>
    </row>
    <row r="1256" spans="1:4" x14ac:dyDescent="0.25">
      <c r="A1256" s="18">
        <f t="shared" si="57"/>
        <v>65</v>
      </c>
      <c r="B1256" s="18">
        <f t="shared" si="58"/>
        <v>2</v>
      </c>
      <c r="C1256" s="18" t="s">
        <v>329</v>
      </c>
      <c r="D1256" s="18">
        <f t="shared" si="59"/>
        <v>58</v>
      </c>
    </row>
    <row r="1257" spans="1:4" x14ac:dyDescent="0.25">
      <c r="A1257" s="18">
        <f t="shared" si="57"/>
        <v>65</v>
      </c>
      <c r="B1257" s="18">
        <f t="shared" si="58"/>
        <v>3</v>
      </c>
      <c r="C1257" s="18"/>
      <c r="D1257" s="18">
        <f t="shared" si="59"/>
        <v>0</v>
      </c>
    </row>
    <row r="1258" spans="1:4" x14ac:dyDescent="0.25">
      <c r="A1258" s="18">
        <f t="shared" si="57"/>
        <v>65</v>
      </c>
      <c r="B1258" s="18">
        <f t="shared" si="58"/>
        <v>4</v>
      </c>
      <c r="C1258" s="18" t="s">
        <v>325</v>
      </c>
      <c r="D1258" s="18">
        <f t="shared" si="59"/>
        <v>28</v>
      </c>
    </row>
    <row r="1259" spans="1:4" x14ac:dyDescent="0.25">
      <c r="A1259" s="18">
        <f t="shared" si="57"/>
        <v>65</v>
      </c>
      <c r="B1259" s="18">
        <f t="shared" si="58"/>
        <v>5</v>
      </c>
      <c r="C1259" s="18" t="s">
        <v>326</v>
      </c>
      <c r="D1259" s="18">
        <f t="shared" si="59"/>
        <v>30</v>
      </c>
    </row>
    <row r="1260" spans="1:4" x14ac:dyDescent="0.25">
      <c r="A1260" s="18">
        <f t="shared" si="57"/>
        <v>65</v>
      </c>
      <c r="B1260" s="18">
        <f t="shared" si="58"/>
        <v>6</v>
      </c>
      <c r="C1260" s="18"/>
      <c r="D1260" s="18">
        <f t="shared" si="59"/>
        <v>0</v>
      </c>
    </row>
    <row r="1261" spans="1:4" x14ac:dyDescent="0.25">
      <c r="A1261" s="18">
        <f t="shared" si="57"/>
        <v>65</v>
      </c>
      <c r="B1261" s="18">
        <f t="shared" si="58"/>
        <v>7</v>
      </c>
      <c r="C1261" s="18" t="s">
        <v>279</v>
      </c>
      <c r="D1261" s="18">
        <f t="shared" si="59"/>
        <v>36</v>
      </c>
    </row>
    <row r="1262" spans="1:4" x14ac:dyDescent="0.25">
      <c r="A1262" s="18">
        <f t="shared" si="57"/>
        <v>65</v>
      </c>
      <c r="B1262" s="18">
        <f t="shared" si="58"/>
        <v>8</v>
      </c>
      <c r="C1262" s="18" t="s">
        <v>280</v>
      </c>
      <c r="D1262" s="18">
        <f t="shared" si="59"/>
        <v>37</v>
      </c>
    </row>
    <row r="1263" spans="1:4" x14ac:dyDescent="0.25">
      <c r="A1263" s="18">
        <f t="shared" si="57"/>
        <v>65</v>
      </c>
      <c r="B1263" s="18">
        <f t="shared" si="58"/>
        <v>9</v>
      </c>
      <c r="C1263" s="18" t="s">
        <v>327</v>
      </c>
      <c r="D1263" s="18">
        <f t="shared" si="59"/>
        <v>37</v>
      </c>
    </row>
    <row r="1264" spans="1:4" x14ac:dyDescent="0.25">
      <c r="A1264" s="18">
        <f t="shared" si="57"/>
        <v>65</v>
      </c>
      <c r="B1264" s="18">
        <f t="shared" si="58"/>
        <v>10</v>
      </c>
      <c r="C1264" s="18" t="s">
        <v>284</v>
      </c>
      <c r="D1264" s="18">
        <f t="shared" si="59"/>
        <v>37</v>
      </c>
    </row>
    <row r="1265" spans="1:4" x14ac:dyDescent="0.25">
      <c r="A1265" s="18">
        <f t="shared" si="57"/>
        <v>65</v>
      </c>
      <c r="B1265" s="18">
        <f t="shared" si="58"/>
        <v>11</v>
      </c>
      <c r="C1265" s="18" t="s">
        <v>283</v>
      </c>
      <c r="D1265" s="18">
        <f t="shared" si="59"/>
        <v>37</v>
      </c>
    </row>
    <row r="1266" spans="1:4" x14ac:dyDescent="0.25">
      <c r="A1266" s="18">
        <f t="shared" si="57"/>
        <v>65</v>
      </c>
      <c r="B1266" s="18">
        <f t="shared" si="58"/>
        <v>12</v>
      </c>
      <c r="C1266" s="18" t="s">
        <v>282</v>
      </c>
      <c r="D1266" s="18">
        <f t="shared" si="59"/>
        <v>37</v>
      </c>
    </row>
    <row r="1267" spans="1:4" x14ac:dyDescent="0.25">
      <c r="A1267" s="18">
        <f t="shared" si="57"/>
        <v>65</v>
      </c>
      <c r="B1267" s="18">
        <f t="shared" si="58"/>
        <v>13</v>
      </c>
      <c r="C1267" s="18" t="s">
        <v>294</v>
      </c>
      <c r="D1267" s="18">
        <f t="shared" si="59"/>
        <v>37</v>
      </c>
    </row>
    <row r="1268" spans="1:4" x14ac:dyDescent="0.25">
      <c r="A1268" s="18">
        <f t="shared" si="57"/>
        <v>65</v>
      </c>
      <c r="B1268" s="18">
        <f t="shared" si="58"/>
        <v>14</v>
      </c>
      <c r="C1268" s="18" t="s">
        <v>310</v>
      </c>
      <c r="D1268" s="18">
        <f t="shared" si="59"/>
        <v>37</v>
      </c>
    </row>
    <row r="1269" spans="1:4" x14ac:dyDescent="0.25">
      <c r="A1269" s="18">
        <f t="shared" si="57"/>
        <v>65</v>
      </c>
      <c r="B1269" s="18">
        <f t="shared" si="58"/>
        <v>15</v>
      </c>
      <c r="C1269" s="18" t="s">
        <v>309</v>
      </c>
      <c r="D1269" s="18">
        <f t="shared" si="59"/>
        <v>37</v>
      </c>
    </row>
    <row r="1270" spans="1:4" x14ac:dyDescent="0.25">
      <c r="A1270" s="18">
        <f t="shared" si="57"/>
        <v>65</v>
      </c>
      <c r="B1270" s="18">
        <f t="shared" si="58"/>
        <v>16</v>
      </c>
      <c r="C1270" s="18" t="s">
        <v>308</v>
      </c>
      <c r="D1270" s="18">
        <f t="shared" si="59"/>
        <v>37</v>
      </c>
    </row>
    <row r="1271" spans="1:4" x14ac:dyDescent="0.25">
      <c r="A1271" s="18">
        <f t="shared" si="57"/>
        <v>65</v>
      </c>
      <c r="B1271" s="18">
        <f t="shared" si="58"/>
        <v>17</v>
      </c>
      <c r="C1271" s="18" t="s">
        <v>307</v>
      </c>
      <c r="D1271" s="18">
        <f t="shared" si="59"/>
        <v>37</v>
      </c>
    </row>
    <row r="1272" spans="1:4" x14ac:dyDescent="0.25">
      <c r="A1272" s="18">
        <f t="shared" si="57"/>
        <v>65</v>
      </c>
      <c r="B1272" s="18">
        <f t="shared" si="58"/>
        <v>18</v>
      </c>
      <c r="C1272" s="18" t="s">
        <v>306</v>
      </c>
      <c r="D1272" s="18">
        <f t="shared" si="59"/>
        <v>37</v>
      </c>
    </row>
    <row r="1273" spans="1:4" x14ac:dyDescent="0.25">
      <c r="A1273" s="18">
        <f t="shared" si="57"/>
        <v>65</v>
      </c>
      <c r="B1273" s="18">
        <f t="shared" si="58"/>
        <v>19</v>
      </c>
      <c r="C1273" s="18" t="s">
        <v>305</v>
      </c>
      <c r="D1273" s="18">
        <f t="shared" si="59"/>
        <v>37</v>
      </c>
    </row>
    <row r="1274" spans="1:4" x14ac:dyDescent="0.25">
      <c r="A1274" s="18">
        <f t="shared" si="57"/>
        <v>65</v>
      </c>
      <c r="B1274" s="18">
        <f t="shared" si="58"/>
        <v>20</v>
      </c>
      <c r="C1274" s="18" t="s">
        <v>304</v>
      </c>
      <c r="D1274" s="18">
        <f t="shared" si="59"/>
        <v>37</v>
      </c>
    </row>
    <row r="1275" spans="1:4" x14ac:dyDescent="0.25">
      <c r="A1275" s="18">
        <f t="shared" si="57"/>
        <v>65</v>
      </c>
      <c r="B1275" s="18">
        <f t="shared" si="58"/>
        <v>21</v>
      </c>
      <c r="C1275" s="18" t="s">
        <v>303</v>
      </c>
      <c r="D1275" s="18">
        <f t="shared" si="59"/>
        <v>37</v>
      </c>
    </row>
    <row r="1276" spans="1:4" x14ac:dyDescent="0.25">
      <c r="A1276" s="18">
        <f t="shared" si="57"/>
        <v>65</v>
      </c>
      <c r="B1276" s="18">
        <f t="shared" si="58"/>
        <v>22</v>
      </c>
      <c r="C1276" s="18" t="s">
        <v>302</v>
      </c>
      <c r="D1276" s="18">
        <f t="shared" si="59"/>
        <v>37</v>
      </c>
    </row>
    <row r="1277" spans="1:4" x14ac:dyDescent="0.25">
      <c r="A1277" s="18">
        <f t="shared" si="57"/>
        <v>65</v>
      </c>
      <c r="B1277" s="18">
        <f t="shared" si="58"/>
        <v>23</v>
      </c>
      <c r="C1277" s="18" t="s">
        <v>301</v>
      </c>
      <c r="D1277" s="18">
        <f t="shared" si="59"/>
        <v>37</v>
      </c>
    </row>
    <row r="1278" spans="1:4" x14ac:dyDescent="0.25">
      <c r="A1278" s="18">
        <f t="shared" si="57"/>
        <v>65</v>
      </c>
      <c r="B1278" s="18">
        <f t="shared" si="58"/>
        <v>24</v>
      </c>
      <c r="C1278" s="18" t="s">
        <v>331</v>
      </c>
      <c r="D1278" s="18">
        <f t="shared" si="59"/>
        <v>36</v>
      </c>
    </row>
    <row r="1279" spans="1:4" x14ac:dyDescent="0.25">
      <c r="A1279" s="18">
        <f t="shared" si="57"/>
        <v>65</v>
      </c>
      <c r="B1279" s="18">
        <f t="shared" si="58"/>
        <v>25</v>
      </c>
      <c r="C1279" s="18" t="s">
        <v>173</v>
      </c>
      <c r="D1279" s="18">
        <f t="shared" si="59"/>
        <v>34</v>
      </c>
    </row>
    <row r="1280" spans="1:4" x14ac:dyDescent="0.25">
      <c r="A1280" s="18">
        <f t="shared" si="57"/>
        <v>66</v>
      </c>
      <c r="B1280" s="18">
        <f t="shared" si="58"/>
        <v>1</v>
      </c>
      <c r="C1280" s="18"/>
      <c r="D1280" s="18">
        <f t="shared" si="59"/>
        <v>0</v>
      </c>
    </row>
    <row r="1281" spans="1:4" x14ac:dyDescent="0.25">
      <c r="A1281" s="18">
        <f t="shared" si="57"/>
        <v>66</v>
      </c>
      <c r="B1281" s="18">
        <f t="shared" si="58"/>
        <v>2</v>
      </c>
      <c r="C1281" s="18" t="s">
        <v>332</v>
      </c>
      <c r="D1281" s="18">
        <f t="shared" si="59"/>
        <v>42</v>
      </c>
    </row>
    <row r="1282" spans="1:4" x14ac:dyDescent="0.25">
      <c r="A1282" s="18">
        <f t="shared" si="57"/>
        <v>66</v>
      </c>
      <c r="B1282" s="18">
        <f t="shared" si="58"/>
        <v>3</v>
      </c>
      <c r="C1282" s="18"/>
      <c r="D1282" s="18">
        <f t="shared" si="59"/>
        <v>0</v>
      </c>
    </row>
    <row r="1283" spans="1:4" x14ac:dyDescent="0.25">
      <c r="A1283" s="18">
        <f t="shared" ref="A1283:A1317" si="60">IF(ISNUMBER(A1282),IF(B1283&lt;B1282,A1282+1,A1282),1)</f>
        <v>66</v>
      </c>
      <c r="B1283" s="18">
        <f t="shared" ref="B1283:B1317" si="61">IF(ISNUMBER(B1282),IF(C1282="Press ENTER to resume the program.",1,B1282+1),1)</f>
        <v>4</v>
      </c>
      <c r="C1283" s="18" t="s">
        <v>277</v>
      </c>
      <c r="D1283" s="18">
        <f t="shared" ref="D1283:D1317" si="62">LEN(C1283)</f>
        <v>28</v>
      </c>
    </row>
    <row r="1284" spans="1:4" x14ac:dyDescent="0.25">
      <c r="A1284" s="18">
        <f t="shared" si="60"/>
        <v>66</v>
      </c>
      <c r="B1284" s="18">
        <f t="shared" si="61"/>
        <v>5</v>
      </c>
      <c r="C1284" s="18" t="s">
        <v>278</v>
      </c>
      <c r="D1284" s="18">
        <f t="shared" si="62"/>
        <v>29</v>
      </c>
    </row>
    <row r="1285" spans="1:4" x14ac:dyDescent="0.25">
      <c r="A1285" s="18">
        <f t="shared" si="60"/>
        <v>66</v>
      </c>
      <c r="B1285" s="18">
        <f t="shared" si="61"/>
        <v>6</v>
      </c>
      <c r="C1285" s="18"/>
      <c r="D1285" s="18">
        <f t="shared" si="62"/>
        <v>0</v>
      </c>
    </row>
    <row r="1286" spans="1:4" x14ac:dyDescent="0.25">
      <c r="A1286" s="18">
        <f t="shared" si="60"/>
        <v>66</v>
      </c>
      <c r="B1286" s="18">
        <f t="shared" si="61"/>
        <v>7</v>
      </c>
      <c r="C1286" s="18" t="s">
        <v>279</v>
      </c>
      <c r="D1286" s="18">
        <f t="shared" si="62"/>
        <v>36</v>
      </c>
    </row>
    <row r="1287" spans="1:4" x14ac:dyDescent="0.25">
      <c r="A1287" s="18">
        <f t="shared" si="60"/>
        <v>66</v>
      </c>
      <c r="B1287" s="18">
        <f t="shared" si="61"/>
        <v>8</v>
      </c>
      <c r="C1287" s="18" t="s">
        <v>280</v>
      </c>
      <c r="D1287" s="18">
        <f t="shared" si="62"/>
        <v>37</v>
      </c>
    </row>
    <row r="1288" spans="1:4" x14ac:dyDescent="0.25">
      <c r="A1288" s="18">
        <f t="shared" si="60"/>
        <v>66</v>
      </c>
      <c r="B1288" s="18">
        <f t="shared" si="61"/>
        <v>9</v>
      </c>
      <c r="C1288" s="18" t="s">
        <v>281</v>
      </c>
      <c r="D1288" s="18">
        <f t="shared" si="62"/>
        <v>37</v>
      </c>
    </row>
    <row r="1289" spans="1:4" x14ac:dyDescent="0.25">
      <c r="A1289" s="18">
        <f t="shared" si="60"/>
        <v>66</v>
      </c>
      <c r="B1289" s="18">
        <f t="shared" si="61"/>
        <v>10</v>
      </c>
      <c r="C1289" s="18" t="s">
        <v>290</v>
      </c>
      <c r="D1289" s="18">
        <f t="shared" si="62"/>
        <v>36</v>
      </c>
    </row>
    <row r="1290" spans="1:4" x14ac:dyDescent="0.25">
      <c r="A1290" s="18">
        <f t="shared" si="60"/>
        <v>66</v>
      </c>
      <c r="B1290" s="18">
        <f t="shared" si="61"/>
        <v>11</v>
      </c>
      <c r="C1290" s="18" t="s">
        <v>173</v>
      </c>
      <c r="D1290" s="18">
        <f t="shared" si="62"/>
        <v>34</v>
      </c>
    </row>
    <row r="1291" spans="1:4" x14ac:dyDescent="0.25">
      <c r="A1291" s="18">
        <f t="shared" si="60"/>
        <v>67</v>
      </c>
      <c r="B1291" s="18">
        <f t="shared" si="61"/>
        <v>1</v>
      </c>
      <c r="C1291" s="18"/>
      <c r="D1291" s="18">
        <f t="shared" si="62"/>
        <v>0</v>
      </c>
    </row>
    <row r="1292" spans="1:4" x14ac:dyDescent="0.25">
      <c r="A1292" s="18">
        <f t="shared" si="60"/>
        <v>67</v>
      </c>
      <c r="B1292" s="18">
        <f t="shared" si="61"/>
        <v>2</v>
      </c>
      <c r="C1292" s="18" t="s">
        <v>332</v>
      </c>
      <c r="D1292" s="18">
        <f t="shared" si="62"/>
        <v>42</v>
      </c>
    </row>
    <row r="1293" spans="1:4" x14ac:dyDescent="0.25">
      <c r="A1293" s="18">
        <f t="shared" si="60"/>
        <v>67</v>
      </c>
      <c r="B1293" s="18">
        <f t="shared" si="61"/>
        <v>3</v>
      </c>
      <c r="C1293" s="18"/>
      <c r="D1293" s="18">
        <f t="shared" si="62"/>
        <v>0</v>
      </c>
    </row>
    <row r="1294" spans="1:4" x14ac:dyDescent="0.25">
      <c r="A1294" s="18">
        <f t="shared" si="60"/>
        <v>67</v>
      </c>
      <c r="B1294" s="18">
        <f t="shared" si="61"/>
        <v>4</v>
      </c>
      <c r="C1294" s="18" t="s">
        <v>291</v>
      </c>
      <c r="D1294" s="18">
        <f t="shared" si="62"/>
        <v>28</v>
      </c>
    </row>
    <row r="1295" spans="1:4" x14ac:dyDescent="0.25">
      <c r="A1295" s="18">
        <f t="shared" si="60"/>
        <v>67</v>
      </c>
      <c r="B1295" s="18">
        <f t="shared" si="61"/>
        <v>5</v>
      </c>
      <c r="C1295" s="18" t="s">
        <v>292</v>
      </c>
      <c r="D1295" s="18">
        <f t="shared" si="62"/>
        <v>29</v>
      </c>
    </row>
    <row r="1296" spans="1:4" x14ac:dyDescent="0.25">
      <c r="A1296" s="18">
        <f t="shared" si="60"/>
        <v>67</v>
      </c>
      <c r="B1296" s="18">
        <f t="shared" si="61"/>
        <v>6</v>
      </c>
      <c r="C1296" s="18"/>
      <c r="D1296" s="18">
        <f t="shared" si="62"/>
        <v>0</v>
      </c>
    </row>
    <row r="1297" spans="1:4" x14ac:dyDescent="0.25">
      <c r="A1297" s="18">
        <f t="shared" si="60"/>
        <v>67</v>
      </c>
      <c r="B1297" s="18">
        <f t="shared" si="61"/>
        <v>7</v>
      </c>
      <c r="C1297" s="18" t="s">
        <v>279</v>
      </c>
      <c r="D1297" s="18">
        <f t="shared" si="62"/>
        <v>36</v>
      </c>
    </row>
    <row r="1298" spans="1:4" x14ac:dyDescent="0.25">
      <c r="A1298" s="18">
        <f t="shared" si="60"/>
        <v>67</v>
      </c>
      <c r="B1298" s="18">
        <f t="shared" si="61"/>
        <v>8</v>
      </c>
      <c r="C1298" s="18" t="s">
        <v>280</v>
      </c>
      <c r="D1298" s="18">
        <f t="shared" si="62"/>
        <v>37</v>
      </c>
    </row>
    <row r="1299" spans="1:4" x14ac:dyDescent="0.25">
      <c r="A1299" s="18">
        <f t="shared" si="60"/>
        <v>67</v>
      </c>
      <c r="B1299" s="18">
        <f t="shared" si="61"/>
        <v>9</v>
      </c>
      <c r="C1299" s="18" t="s">
        <v>293</v>
      </c>
      <c r="D1299" s="18">
        <f t="shared" si="62"/>
        <v>37</v>
      </c>
    </row>
    <row r="1300" spans="1:4" x14ac:dyDescent="0.25">
      <c r="A1300" s="18">
        <f t="shared" si="60"/>
        <v>67</v>
      </c>
      <c r="B1300" s="18">
        <f t="shared" si="61"/>
        <v>10</v>
      </c>
      <c r="C1300" s="18" t="s">
        <v>297</v>
      </c>
      <c r="D1300" s="18">
        <f t="shared" si="62"/>
        <v>36</v>
      </c>
    </row>
    <row r="1301" spans="1:4" x14ac:dyDescent="0.25">
      <c r="A1301" s="18">
        <f t="shared" si="60"/>
        <v>67</v>
      </c>
      <c r="B1301" s="18">
        <f t="shared" si="61"/>
        <v>11</v>
      </c>
      <c r="C1301" s="18" t="s">
        <v>173</v>
      </c>
      <c r="D1301" s="18">
        <f t="shared" si="62"/>
        <v>34</v>
      </c>
    </row>
    <row r="1302" spans="1:4" x14ac:dyDescent="0.25">
      <c r="A1302" s="18">
        <f t="shared" si="60"/>
        <v>68</v>
      </c>
      <c r="B1302" s="18">
        <f t="shared" si="61"/>
        <v>1</v>
      </c>
      <c r="C1302" s="18"/>
      <c r="D1302" s="18">
        <f t="shared" si="62"/>
        <v>0</v>
      </c>
    </row>
    <row r="1303" spans="1:4" x14ac:dyDescent="0.25">
      <c r="A1303" s="18">
        <f t="shared" si="60"/>
        <v>68</v>
      </c>
      <c r="B1303" s="18">
        <f t="shared" si="61"/>
        <v>2</v>
      </c>
      <c r="C1303" s="18" t="s">
        <v>332</v>
      </c>
      <c r="D1303" s="18">
        <f t="shared" si="62"/>
        <v>42</v>
      </c>
    </row>
    <row r="1304" spans="1:4" x14ac:dyDescent="0.25">
      <c r="A1304" s="18">
        <f t="shared" si="60"/>
        <v>68</v>
      </c>
      <c r="B1304" s="18">
        <f t="shared" si="61"/>
        <v>3</v>
      </c>
      <c r="C1304" s="18"/>
      <c r="D1304" s="18">
        <f t="shared" si="62"/>
        <v>0</v>
      </c>
    </row>
    <row r="1305" spans="1:4" x14ac:dyDescent="0.25">
      <c r="A1305" s="18">
        <f t="shared" si="60"/>
        <v>68</v>
      </c>
      <c r="B1305" s="18">
        <f t="shared" si="61"/>
        <v>4</v>
      </c>
      <c r="C1305" s="18" t="s">
        <v>298</v>
      </c>
      <c r="D1305" s="18">
        <f t="shared" si="62"/>
        <v>30</v>
      </c>
    </row>
    <row r="1306" spans="1:4" x14ac:dyDescent="0.25">
      <c r="A1306" s="18">
        <f t="shared" si="60"/>
        <v>68</v>
      </c>
      <c r="B1306" s="18">
        <f t="shared" si="61"/>
        <v>5</v>
      </c>
      <c r="C1306" s="18" t="s">
        <v>299</v>
      </c>
      <c r="D1306" s="18">
        <f t="shared" si="62"/>
        <v>28</v>
      </c>
    </row>
    <row r="1307" spans="1:4" x14ac:dyDescent="0.25">
      <c r="A1307" s="18">
        <f t="shared" si="60"/>
        <v>68</v>
      </c>
      <c r="B1307" s="18">
        <f t="shared" si="61"/>
        <v>6</v>
      </c>
      <c r="C1307" s="18"/>
      <c r="D1307" s="18">
        <f t="shared" si="62"/>
        <v>0</v>
      </c>
    </row>
    <row r="1308" spans="1:4" x14ac:dyDescent="0.25">
      <c r="A1308" s="18">
        <f t="shared" si="60"/>
        <v>68</v>
      </c>
      <c r="B1308" s="18">
        <f t="shared" si="61"/>
        <v>7</v>
      </c>
      <c r="C1308" s="18" t="s">
        <v>279</v>
      </c>
      <c r="D1308" s="18">
        <f t="shared" si="62"/>
        <v>36</v>
      </c>
    </row>
    <row r="1309" spans="1:4" x14ac:dyDescent="0.25">
      <c r="A1309" s="18">
        <f t="shared" si="60"/>
        <v>68</v>
      </c>
      <c r="B1309" s="18">
        <f t="shared" si="61"/>
        <v>8</v>
      </c>
      <c r="C1309" s="18" t="s">
        <v>280</v>
      </c>
      <c r="D1309" s="18">
        <f t="shared" si="62"/>
        <v>37</v>
      </c>
    </row>
    <row r="1310" spans="1:4" x14ac:dyDescent="0.25">
      <c r="A1310" s="18">
        <f t="shared" si="60"/>
        <v>68</v>
      </c>
      <c r="B1310" s="18">
        <f t="shared" si="61"/>
        <v>9</v>
      </c>
      <c r="C1310" s="18" t="s">
        <v>300</v>
      </c>
      <c r="D1310" s="18">
        <f t="shared" si="62"/>
        <v>37</v>
      </c>
    </row>
    <row r="1311" spans="1:4" x14ac:dyDescent="0.25">
      <c r="A1311" s="18">
        <f t="shared" si="60"/>
        <v>68</v>
      </c>
      <c r="B1311" s="18">
        <f t="shared" si="61"/>
        <v>10</v>
      </c>
      <c r="C1311" s="18" t="s">
        <v>311</v>
      </c>
      <c r="D1311" s="18">
        <f t="shared" si="62"/>
        <v>36</v>
      </c>
    </row>
    <row r="1312" spans="1:4" x14ac:dyDescent="0.25">
      <c r="A1312" s="18">
        <f t="shared" si="60"/>
        <v>68</v>
      </c>
      <c r="B1312" s="18">
        <f t="shared" si="61"/>
        <v>11</v>
      </c>
      <c r="C1312" s="18" t="s">
        <v>173</v>
      </c>
      <c r="D1312" s="18">
        <f t="shared" si="62"/>
        <v>34</v>
      </c>
    </row>
    <row r="1313" spans="1:4" x14ac:dyDescent="0.25">
      <c r="A1313" s="18">
        <f t="shared" si="60"/>
        <v>69</v>
      </c>
      <c r="B1313" s="18">
        <f t="shared" si="61"/>
        <v>1</v>
      </c>
      <c r="C1313" s="18"/>
      <c r="D1313" s="18">
        <f t="shared" si="62"/>
        <v>0</v>
      </c>
    </row>
    <row r="1314" spans="1:4" x14ac:dyDescent="0.25">
      <c r="A1314" s="18">
        <f t="shared" si="60"/>
        <v>69</v>
      </c>
      <c r="B1314" s="18">
        <f t="shared" si="61"/>
        <v>2</v>
      </c>
      <c r="C1314" s="18" t="s">
        <v>333</v>
      </c>
      <c r="D1314" s="18">
        <f t="shared" si="62"/>
        <v>37</v>
      </c>
    </row>
    <row r="1315" spans="1:4" x14ac:dyDescent="0.25">
      <c r="A1315" s="18">
        <f t="shared" si="60"/>
        <v>69</v>
      </c>
      <c r="B1315" s="18">
        <f t="shared" si="61"/>
        <v>3</v>
      </c>
      <c r="C1315" s="18" t="s">
        <v>445</v>
      </c>
      <c r="D1315" s="18">
        <f t="shared" si="62"/>
        <v>59</v>
      </c>
    </row>
    <row r="1316" spans="1:4" x14ac:dyDescent="0.25">
      <c r="A1316" s="18">
        <f t="shared" si="60"/>
        <v>69</v>
      </c>
      <c r="B1316" s="18">
        <f t="shared" si="61"/>
        <v>4</v>
      </c>
      <c r="C1316" s="18" t="s">
        <v>446</v>
      </c>
      <c r="D1316" s="18">
        <f t="shared" si="62"/>
        <v>31</v>
      </c>
    </row>
    <row r="1317" spans="1:4" x14ac:dyDescent="0.25">
      <c r="A1317" s="18">
        <f t="shared" si="60"/>
        <v>69</v>
      </c>
      <c r="B1317" s="18">
        <f t="shared" si="61"/>
        <v>5</v>
      </c>
      <c r="C1317" s="18" t="s">
        <v>447</v>
      </c>
      <c r="D1317" s="18">
        <f t="shared" si="62"/>
        <v>32</v>
      </c>
    </row>
  </sheetData>
  <conditionalFormatting sqref="A2:D2">
    <cfRule type="expression" dxfId="63" priority="3">
      <formula>$D2&gt;79</formula>
    </cfRule>
  </conditionalFormatting>
  <conditionalFormatting sqref="A3:D1317">
    <cfRule type="expression" dxfId="62" priority="1">
      <formula>$D3&gt;79</formula>
    </cfRule>
  </conditionalFormatting>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pane xSplit="1" ySplit="1" topLeftCell="B21" activePane="bottomRight" state="frozen"/>
      <selection pane="topRight" activeCell="B1" sqref="B1"/>
      <selection pane="bottomLeft" activeCell="A2" sqref="A2"/>
      <selection pane="bottomRight" activeCell="A33" sqref="A33"/>
    </sheetView>
  </sheetViews>
  <sheetFormatPr defaultRowHeight="15" x14ac:dyDescent="0.25"/>
  <cols>
    <col min="1" max="1" width="29.5" bestFit="1" customWidth="1"/>
    <col min="2" max="2" width="82" bestFit="1" customWidth="1"/>
    <col min="3" max="3" width="45.625" customWidth="1"/>
    <col min="4" max="4" width="9.375" bestFit="1" customWidth="1"/>
  </cols>
  <sheetData>
    <row r="1" spans="1:4" ht="18" x14ac:dyDescent="0.25">
      <c r="A1" s="19" t="s">
        <v>476</v>
      </c>
      <c r="B1" s="19" t="s">
        <v>478</v>
      </c>
      <c r="C1" s="19" t="s">
        <v>480</v>
      </c>
      <c r="D1" s="19" t="s">
        <v>450</v>
      </c>
    </row>
    <row r="2" spans="1:4" ht="28.5" x14ac:dyDescent="0.25">
      <c r="A2" s="20" t="s">
        <v>494</v>
      </c>
      <c r="B2" s="20" t="s">
        <v>533</v>
      </c>
      <c r="C2" s="21" t="s">
        <v>518</v>
      </c>
      <c r="D2" s="20">
        <f t="shared" ref="D2:D15" si="0">IF(LEN(B2)&gt;0,LEN(B2),"")</f>
        <v>6</v>
      </c>
    </row>
    <row r="3" spans="1:4" ht="28.5" x14ac:dyDescent="0.25">
      <c r="A3" s="20" t="s">
        <v>495</v>
      </c>
      <c r="B3" s="20" t="s">
        <v>534</v>
      </c>
      <c r="C3" s="21" t="s">
        <v>519</v>
      </c>
      <c r="D3" s="20">
        <f t="shared" si="0"/>
        <v>5</v>
      </c>
    </row>
    <row r="4" spans="1:4" ht="28.5" x14ac:dyDescent="0.25">
      <c r="A4" s="20" t="s">
        <v>496</v>
      </c>
      <c r="B4" s="20" t="s">
        <v>535</v>
      </c>
      <c r="C4" s="21" t="s">
        <v>520</v>
      </c>
      <c r="D4" s="20">
        <f t="shared" si="0"/>
        <v>6</v>
      </c>
    </row>
    <row r="5" spans="1:4" ht="42.75" x14ac:dyDescent="0.25">
      <c r="A5" s="20" t="s">
        <v>497</v>
      </c>
      <c r="B5" s="20" t="s">
        <v>498</v>
      </c>
      <c r="C5" s="21" t="s">
        <v>521</v>
      </c>
      <c r="D5" s="20">
        <f t="shared" si="0"/>
        <v>7</v>
      </c>
    </row>
    <row r="6" spans="1:4" ht="57" x14ac:dyDescent="0.25">
      <c r="A6" s="20" t="s">
        <v>499</v>
      </c>
      <c r="B6" s="20" t="s">
        <v>500</v>
      </c>
      <c r="C6" s="21" t="s">
        <v>522</v>
      </c>
      <c r="D6" s="20">
        <f t="shared" si="0"/>
        <v>10</v>
      </c>
    </row>
    <row r="7" spans="1:4" ht="28.5" x14ac:dyDescent="0.25">
      <c r="A7" s="20" t="s">
        <v>529</v>
      </c>
      <c r="B7" s="20" t="s">
        <v>530</v>
      </c>
      <c r="C7" s="21" t="s">
        <v>532</v>
      </c>
      <c r="D7" s="20">
        <f t="shared" si="0"/>
        <v>36</v>
      </c>
    </row>
    <row r="8" spans="1:4" ht="28.5" x14ac:dyDescent="0.25">
      <c r="A8" s="20" t="s">
        <v>477</v>
      </c>
      <c r="B8" s="20" t="s">
        <v>479</v>
      </c>
      <c r="C8" s="21" t="s">
        <v>531</v>
      </c>
      <c r="D8" s="20">
        <f t="shared" si="0"/>
        <v>63</v>
      </c>
    </row>
    <row r="9" spans="1:4" x14ac:dyDescent="0.25">
      <c r="A9" s="20" t="s">
        <v>481</v>
      </c>
      <c r="B9" s="20" t="s">
        <v>482</v>
      </c>
      <c r="C9" s="21" t="s">
        <v>483</v>
      </c>
      <c r="D9" s="20">
        <f t="shared" si="0"/>
        <v>45</v>
      </c>
    </row>
    <row r="10" spans="1:4" ht="42.75" x14ac:dyDescent="0.25">
      <c r="A10" s="20" t="s">
        <v>523</v>
      </c>
      <c r="B10" s="23" t="s">
        <v>524</v>
      </c>
      <c r="C10" s="21" t="s">
        <v>525</v>
      </c>
      <c r="D10" s="20">
        <f t="shared" si="0"/>
        <v>99</v>
      </c>
    </row>
    <row r="11" spans="1:4" ht="30" x14ac:dyDescent="0.25">
      <c r="A11" s="20" t="s">
        <v>526</v>
      </c>
      <c r="B11" s="23" t="s">
        <v>527</v>
      </c>
      <c r="C11" s="21" t="s">
        <v>528</v>
      </c>
      <c r="D11" s="20">
        <f t="shared" si="0"/>
        <v>87</v>
      </c>
    </row>
    <row r="12" spans="1:4" ht="28.5" x14ac:dyDescent="0.25">
      <c r="A12" s="20" t="s">
        <v>484</v>
      </c>
      <c r="B12" s="20" t="s">
        <v>485</v>
      </c>
      <c r="C12" s="21" t="s">
        <v>486</v>
      </c>
      <c r="D12" s="20">
        <f t="shared" si="0"/>
        <v>36</v>
      </c>
    </row>
    <row r="13" spans="1:4" x14ac:dyDescent="0.25">
      <c r="A13" s="20" t="s">
        <v>537</v>
      </c>
      <c r="B13" s="23" t="s">
        <v>739</v>
      </c>
      <c r="C13" s="21"/>
      <c r="D13" s="20">
        <f t="shared" si="0"/>
        <v>43</v>
      </c>
    </row>
    <row r="14" spans="1:4" x14ac:dyDescent="0.25">
      <c r="A14" s="20" t="s">
        <v>538</v>
      </c>
      <c r="B14" s="23" t="s">
        <v>740</v>
      </c>
      <c r="C14" s="21"/>
      <c r="D14" s="20">
        <f t="shared" si="0"/>
        <v>43</v>
      </c>
    </row>
    <row r="15" spans="1:4" x14ac:dyDescent="0.25">
      <c r="A15" s="20" t="s">
        <v>539</v>
      </c>
      <c r="B15" s="23" t="s">
        <v>741</v>
      </c>
      <c r="C15" s="21"/>
      <c r="D15" s="20">
        <f t="shared" si="0"/>
        <v>43</v>
      </c>
    </row>
    <row r="16" spans="1:4" ht="42.75" x14ac:dyDescent="0.25">
      <c r="A16" s="20" t="s">
        <v>745</v>
      </c>
      <c r="B16" s="23" t="s">
        <v>747</v>
      </c>
      <c r="C16" s="21" t="s">
        <v>746</v>
      </c>
      <c r="D16" s="20"/>
    </row>
    <row r="17" spans="1:4" x14ac:dyDescent="0.25">
      <c r="A17" s="20" t="s">
        <v>536</v>
      </c>
      <c r="B17" s="23" t="s">
        <v>738</v>
      </c>
      <c r="C17" s="21"/>
      <c r="D17" s="20">
        <f t="shared" ref="D17:D48" si="1">IF(LEN(B17)&gt;0,LEN(B17),"")</f>
        <v>43</v>
      </c>
    </row>
    <row r="18" spans="1:4" ht="28.5" x14ac:dyDescent="0.25">
      <c r="A18" s="20" t="s">
        <v>586</v>
      </c>
      <c r="B18" s="23" t="s">
        <v>587</v>
      </c>
      <c r="C18" s="21" t="s">
        <v>588</v>
      </c>
      <c r="D18" s="20">
        <f t="shared" si="1"/>
        <v>28</v>
      </c>
    </row>
    <row r="19" spans="1:4" x14ac:dyDescent="0.25">
      <c r="A19" s="20" t="s">
        <v>540</v>
      </c>
      <c r="B19" s="23" t="s">
        <v>742</v>
      </c>
      <c r="C19" s="21"/>
      <c r="D19" s="20">
        <f t="shared" si="1"/>
        <v>43</v>
      </c>
    </row>
    <row r="20" spans="1:4" x14ac:dyDescent="0.25">
      <c r="A20" s="20" t="s">
        <v>541</v>
      </c>
      <c r="B20" s="23" t="s">
        <v>743</v>
      </c>
      <c r="C20" s="21"/>
      <c r="D20" s="20">
        <f t="shared" si="1"/>
        <v>43</v>
      </c>
    </row>
    <row r="21" spans="1:4" x14ac:dyDescent="0.25">
      <c r="A21" s="20" t="s">
        <v>542</v>
      </c>
      <c r="B21" s="23" t="s">
        <v>744</v>
      </c>
      <c r="C21" s="21"/>
      <c r="D21" s="20">
        <f t="shared" si="1"/>
        <v>43</v>
      </c>
    </row>
    <row r="22" spans="1:4" ht="42.75" x14ac:dyDescent="0.25">
      <c r="A22" s="20" t="s">
        <v>591</v>
      </c>
      <c r="B22" s="23" t="s">
        <v>592</v>
      </c>
      <c r="C22" s="21" t="s">
        <v>593</v>
      </c>
      <c r="D22" s="20">
        <f t="shared" si="1"/>
        <v>16</v>
      </c>
    </row>
    <row r="23" spans="1:4" x14ac:dyDescent="0.25">
      <c r="A23" s="20" t="s">
        <v>544</v>
      </c>
      <c r="B23" s="23" t="s">
        <v>545</v>
      </c>
      <c r="C23" s="21" t="s">
        <v>547</v>
      </c>
      <c r="D23" s="20">
        <f t="shared" si="1"/>
        <v>18</v>
      </c>
    </row>
    <row r="24" spans="1:4" x14ac:dyDescent="0.25">
      <c r="A24" s="20" t="s">
        <v>543</v>
      </c>
      <c r="B24" s="23" t="s">
        <v>546</v>
      </c>
      <c r="C24" s="21" t="s">
        <v>548</v>
      </c>
      <c r="D24" s="20">
        <f t="shared" si="1"/>
        <v>37</v>
      </c>
    </row>
    <row r="25" spans="1:4" x14ac:dyDescent="0.25">
      <c r="A25" s="20" t="s">
        <v>619</v>
      </c>
      <c r="B25" s="20" t="s">
        <v>618</v>
      </c>
      <c r="C25" s="21" t="s">
        <v>517</v>
      </c>
      <c r="D25" s="20">
        <f t="shared" si="1"/>
        <v>45</v>
      </c>
    </row>
    <row r="26" spans="1:4" x14ac:dyDescent="0.25">
      <c r="A26" s="20" t="s">
        <v>559</v>
      </c>
      <c r="B26" s="23" t="s">
        <v>554</v>
      </c>
      <c r="C26" s="21"/>
      <c r="D26" s="20">
        <f t="shared" si="1"/>
        <v>40</v>
      </c>
    </row>
    <row r="27" spans="1:4" x14ac:dyDescent="0.25">
      <c r="A27" s="20" t="s">
        <v>557</v>
      </c>
      <c r="B27" s="23" t="s">
        <v>552</v>
      </c>
      <c r="C27" s="21"/>
      <c r="D27" s="20">
        <f t="shared" si="1"/>
        <v>40</v>
      </c>
    </row>
    <row r="28" spans="1:4" x14ac:dyDescent="0.25">
      <c r="A28" s="20" t="s">
        <v>558</v>
      </c>
      <c r="B28" s="23" t="s">
        <v>553</v>
      </c>
      <c r="C28" s="21"/>
      <c r="D28" s="20">
        <f t="shared" si="1"/>
        <v>40</v>
      </c>
    </row>
    <row r="29" spans="1:4" x14ac:dyDescent="0.25">
      <c r="A29" s="20" t="s">
        <v>555</v>
      </c>
      <c r="B29" s="23" t="s">
        <v>551</v>
      </c>
      <c r="C29" s="21"/>
      <c r="D29" s="20">
        <f t="shared" si="1"/>
        <v>40</v>
      </c>
    </row>
    <row r="30" spans="1:4" x14ac:dyDescent="0.25">
      <c r="A30" s="20" t="s">
        <v>556</v>
      </c>
      <c r="B30" s="23" t="s">
        <v>617</v>
      </c>
      <c r="C30" s="21"/>
      <c r="D30" s="20">
        <f t="shared" si="1"/>
        <v>40</v>
      </c>
    </row>
    <row r="31" spans="1:4" x14ac:dyDescent="0.25">
      <c r="A31" s="30" t="s">
        <v>549</v>
      </c>
      <c r="B31" s="23" t="s">
        <v>550</v>
      </c>
      <c r="C31" s="21"/>
      <c r="D31" s="20">
        <f t="shared" si="1"/>
        <v>40</v>
      </c>
    </row>
    <row r="32" spans="1:4" x14ac:dyDescent="0.25">
      <c r="A32" s="20" t="s">
        <v>620</v>
      </c>
      <c r="B32" s="20" t="s">
        <v>621</v>
      </c>
      <c r="C32" s="21" t="s">
        <v>623</v>
      </c>
      <c r="D32" s="20">
        <f t="shared" si="1"/>
        <v>20</v>
      </c>
    </row>
    <row r="33" spans="1:4" ht="28.5" x14ac:dyDescent="0.25">
      <c r="A33" s="20" t="s">
        <v>748</v>
      </c>
      <c r="B33" s="20" t="s">
        <v>749</v>
      </c>
      <c r="C33" s="21" t="s">
        <v>750</v>
      </c>
      <c r="D33" s="20">
        <f t="shared" si="1"/>
        <v>7</v>
      </c>
    </row>
    <row r="34" spans="1:4" ht="28.5" x14ac:dyDescent="0.25">
      <c r="A34" s="31" t="s">
        <v>560</v>
      </c>
      <c r="B34" s="23" t="s">
        <v>561</v>
      </c>
      <c r="C34" s="21" t="s">
        <v>564</v>
      </c>
      <c r="D34" s="20">
        <f t="shared" si="1"/>
        <v>10</v>
      </c>
    </row>
    <row r="35" spans="1:4" ht="28.5" x14ac:dyDescent="0.25">
      <c r="A35" s="20" t="s">
        <v>562</v>
      </c>
      <c r="B35" s="23" t="s">
        <v>563</v>
      </c>
      <c r="C35" s="21" t="s">
        <v>565</v>
      </c>
      <c r="D35" s="20">
        <f t="shared" si="1"/>
        <v>11</v>
      </c>
    </row>
    <row r="36" spans="1:4" ht="28.5" x14ac:dyDescent="0.25">
      <c r="A36" s="20" t="s">
        <v>589</v>
      </c>
      <c r="B36" s="23" t="s">
        <v>594</v>
      </c>
      <c r="C36" s="21" t="s">
        <v>590</v>
      </c>
      <c r="D36" s="20">
        <f t="shared" si="1"/>
        <v>38</v>
      </c>
    </row>
    <row r="37" spans="1:4" ht="28.5" x14ac:dyDescent="0.25">
      <c r="A37" s="20" t="s">
        <v>490</v>
      </c>
      <c r="B37" s="20" t="s">
        <v>491</v>
      </c>
      <c r="C37" s="21" t="s">
        <v>514</v>
      </c>
      <c r="D37" s="20">
        <f t="shared" si="1"/>
        <v>49</v>
      </c>
    </row>
    <row r="38" spans="1:4" ht="57" x14ac:dyDescent="0.25">
      <c r="A38" s="20" t="s">
        <v>566</v>
      </c>
      <c r="B38" s="23" t="s">
        <v>568</v>
      </c>
      <c r="C38" s="21" t="s">
        <v>567</v>
      </c>
      <c r="D38" s="20">
        <f t="shared" si="1"/>
        <v>142</v>
      </c>
    </row>
    <row r="39" spans="1:4" ht="28.5" x14ac:dyDescent="0.25">
      <c r="A39" s="20" t="s">
        <v>487</v>
      </c>
      <c r="B39" s="20" t="s">
        <v>516</v>
      </c>
      <c r="C39" s="21" t="s">
        <v>622</v>
      </c>
      <c r="D39" s="20">
        <f t="shared" si="1"/>
        <v>17</v>
      </c>
    </row>
    <row r="40" spans="1:4" x14ac:dyDescent="0.25">
      <c r="A40" s="20" t="s">
        <v>507</v>
      </c>
      <c r="B40" s="22" t="s">
        <v>501</v>
      </c>
      <c r="C40" s="21" t="s">
        <v>511</v>
      </c>
      <c r="D40" s="20">
        <f t="shared" si="1"/>
        <v>59</v>
      </c>
    </row>
    <row r="41" spans="1:4" x14ac:dyDescent="0.25">
      <c r="A41" s="20" t="s">
        <v>502</v>
      </c>
      <c r="B41" s="22" t="s">
        <v>505</v>
      </c>
      <c r="C41" s="21" t="s">
        <v>510</v>
      </c>
      <c r="D41" s="20">
        <f t="shared" si="1"/>
        <v>79</v>
      </c>
    </row>
    <row r="42" spans="1:4" x14ac:dyDescent="0.25">
      <c r="A42" s="20" t="s">
        <v>503</v>
      </c>
      <c r="B42" s="22" t="s">
        <v>504</v>
      </c>
      <c r="C42" s="21" t="s">
        <v>509</v>
      </c>
      <c r="D42" s="20">
        <f t="shared" si="1"/>
        <v>79</v>
      </c>
    </row>
    <row r="43" spans="1:4" x14ac:dyDescent="0.25">
      <c r="A43" s="20" t="s">
        <v>508</v>
      </c>
      <c r="B43" s="20" t="s">
        <v>506</v>
      </c>
      <c r="C43" s="21" t="s">
        <v>512</v>
      </c>
      <c r="D43" s="20">
        <f t="shared" si="1"/>
        <v>11</v>
      </c>
    </row>
    <row r="44" spans="1:4" ht="28.5" x14ac:dyDescent="0.25">
      <c r="A44" s="20" t="s">
        <v>488</v>
      </c>
      <c r="B44" s="20" t="s">
        <v>489</v>
      </c>
      <c r="C44" s="21" t="s">
        <v>513</v>
      </c>
      <c r="D44" s="20">
        <f t="shared" si="1"/>
        <v>53</v>
      </c>
    </row>
    <row r="45" spans="1:4" ht="28.5" x14ac:dyDescent="0.25">
      <c r="A45" s="20" t="s">
        <v>492</v>
      </c>
      <c r="B45" s="20" t="s">
        <v>493</v>
      </c>
      <c r="C45" s="21" t="s">
        <v>515</v>
      </c>
      <c r="D45" s="20">
        <f t="shared" si="1"/>
        <v>52</v>
      </c>
    </row>
    <row r="46" spans="1:4" x14ac:dyDescent="0.25">
      <c r="A46" s="20"/>
      <c r="B46" s="23"/>
      <c r="C46" s="21"/>
      <c r="D46" s="20" t="str">
        <f t="shared" si="1"/>
        <v/>
      </c>
    </row>
    <row r="47" spans="1:4" x14ac:dyDescent="0.25">
      <c r="A47" s="20"/>
      <c r="B47" s="23"/>
      <c r="C47" s="21"/>
      <c r="D47" s="20" t="str">
        <f t="shared" si="1"/>
        <v/>
      </c>
    </row>
    <row r="48" spans="1:4" x14ac:dyDescent="0.25">
      <c r="A48" s="20"/>
      <c r="B48" s="23"/>
      <c r="C48" s="21"/>
      <c r="D48" s="20" t="str">
        <f t="shared" si="1"/>
        <v/>
      </c>
    </row>
  </sheetData>
  <sortState ref="A2:D47">
    <sortCondition ref="A1"/>
  </sortState>
  <pageMargins left="0.7" right="0.7" top="0.75" bottom="0.75" header="0.3" footer="0.3"/>
  <pageSetup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sheetViews>
  <sheetFormatPr defaultRowHeight="15" x14ac:dyDescent="0.25"/>
  <cols>
    <col min="1" max="1" width="8.125" bestFit="1" customWidth="1"/>
    <col min="2" max="2" width="93.375" bestFit="1" customWidth="1"/>
    <col min="3" max="3" width="6.625" bestFit="1" customWidth="1"/>
    <col min="4" max="4" width="21" customWidth="1"/>
    <col min="5" max="5" width="12.625" bestFit="1" customWidth="1"/>
    <col min="6" max="6" width="7" bestFit="1" customWidth="1"/>
    <col min="7" max="7" width="21" customWidth="1"/>
    <col min="8" max="8" width="12.625" bestFit="1" customWidth="1"/>
    <col min="9" max="9" width="7" bestFit="1" customWidth="1"/>
    <col min="10" max="10" width="21" customWidth="1"/>
    <col min="11" max="11" width="12.625" bestFit="1" customWidth="1"/>
    <col min="12" max="12" width="7" bestFit="1" customWidth="1"/>
  </cols>
  <sheetData>
    <row r="1" spans="1:12" ht="18" x14ac:dyDescent="0.25">
      <c r="A1" s="24" t="s">
        <v>636</v>
      </c>
      <c r="B1" s="25" t="s">
        <v>630</v>
      </c>
      <c r="C1" s="65" t="s">
        <v>635</v>
      </c>
      <c r="D1" s="65"/>
      <c r="E1" s="65"/>
      <c r="F1" s="65"/>
      <c r="G1" s="65"/>
      <c r="H1" s="65"/>
      <c r="I1" s="65"/>
      <c r="J1" s="65"/>
      <c r="K1" s="65"/>
      <c r="L1" s="65"/>
    </row>
    <row r="2" spans="1:12" ht="18" x14ac:dyDescent="0.25">
      <c r="A2" s="24" t="s">
        <v>631</v>
      </c>
      <c r="B2" s="25" t="s">
        <v>629</v>
      </c>
      <c r="C2" s="24" t="s">
        <v>631</v>
      </c>
      <c r="D2" s="65" t="s">
        <v>632</v>
      </c>
      <c r="E2" s="65"/>
      <c r="F2" s="65"/>
      <c r="G2" s="65" t="s">
        <v>633</v>
      </c>
      <c r="H2" s="65"/>
      <c r="I2" s="65"/>
      <c r="J2" s="65" t="s">
        <v>634</v>
      </c>
      <c r="K2" s="65"/>
      <c r="L2" s="65"/>
    </row>
    <row r="3" spans="1:12" ht="18" x14ac:dyDescent="0.25">
      <c r="A3" s="24" t="s">
        <v>637</v>
      </c>
      <c r="B3" s="25"/>
      <c r="C3" s="24"/>
      <c r="D3" s="24" t="s">
        <v>639</v>
      </c>
      <c r="E3" s="24" t="s">
        <v>638</v>
      </c>
      <c r="F3" s="24" t="s">
        <v>640</v>
      </c>
      <c r="G3" s="24" t="s">
        <v>639</v>
      </c>
      <c r="H3" s="24" t="s">
        <v>638</v>
      </c>
      <c r="I3" s="24" t="s">
        <v>640</v>
      </c>
      <c r="J3" s="24" t="s">
        <v>639</v>
      </c>
      <c r="K3" s="24" t="s">
        <v>638</v>
      </c>
      <c r="L3" s="24" t="s">
        <v>640</v>
      </c>
    </row>
    <row r="4" spans="1:12" x14ac:dyDescent="0.25">
      <c r="A4" s="26">
        <v>103</v>
      </c>
      <c r="B4" s="26" t="s">
        <v>625</v>
      </c>
      <c r="C4" s="26" t="str">
        <f>TRIM(MID($B4,17,4))</f>
        <v>NONE</v>
      </c>
      <c r="D4" s="26" t="str">
        <f>SUBSTITUTE(TRIM(MID($B4,22,22)),CHAR(34),"")</f>
        <v>STDERR=D</v>
      </c>
      <c r="E4" s="26" t="b">
        <f>NOT(ISERROR(FIND(",",D4)))</f>
        <v>0</v>
      </c>
      <c r="F4" s="26" t="str">
        <f>IF(E4,FIND(",",D4),"")</f>
        <v/>
      </c>
      <c r="G4" s="26" t="str">
        <f>SUBSTITUTE(TRIM(MID($B4,45,19)),CHAR(34),"")</f>
        <v>STDIN=D</v>
      </c>
      <c r="H4" s="26" t="b">
        <f>NOT(ISERROR(FIND(",",G4)))</f>
        <v>0</v>
      </c>
      <c r="I4" s="26" t="str">
        <f>IF(H4,FIND(",",G4),"")</f>
        <v/>
      </c>
      <c r="J4" s="26" t="str">
        <f>SUBSTITUTE(TRIM(MID($B4,65,22)),CHAR(34),"")</f>
        <v>STDOUT=D</v>
      </c>
      <c r="K4" s="26" t="b">
        <f>NOT(ISERROR(FIND(",",J4)))</f>
        <v>0</v>
      </c>
      <c r="L4" s="26" t="str">
        <f>IF(K4,FIND(",",J4),"")</f>
        <v/>
      </c>
    </row>
    <row r="5" spans="1:12" x14ac:dyDescent="0.25">
      <c r="A5" s="26">
        <v>113</v>
      </c>
      <c r="B5" s="26" t="s">
        <v>626</v>
      </c>
      <c r="C5" s="26" t="str">
        <f t="shared" ref="C5:C7" si="0">TRIM(MID($B5,17,4))</f>
        <v>IN</v>
      </c>
      <c r="D5" s="26" t="str">
        <f t="shared" ref="D5:D7" si="1">SUBSTITUTE(TRIM(MID($B5,22,22)),CHAR(34),"")</f>
        <v>STDERR=D</v>
      </c>
      <c r="E5" s="26" t="b">
        <f t="shared" ref="E5:E7" si="2">NOT(ISERROR(FIND(",",D5)))</f>
        <v>0</v>
      </c>
      <c r="F5" s="26" t="str">
        <f t="shared" ref="F5:F7" si="3">IF(E5,FIND(",",D5),"")</f>
        <v/>
      </c>
      <c r="G5" s="26" t="str">
        <f t="shared" ref="G5:G7" si="4">SUBSTITUTE(TRIM(MID($B5,45,19)),CHAR(34),"")</f>
        <v>STDIN=R,STDIN.TXT</v>
      </c>
      <c r="H5" s="26" t="b">
        <f t="shared" ref="H5:H7" si="5">NOT(ISERROR(FIND(",",G5)))</f>
        <v>1</v>
      </c>
      <c r="I5" s="26">
        <f t="shared" ref="I5:I7" si="6">IF(H5,FIND(",",G5),"")</f>
        <v>8</v>
      </c>
      <c r="J5" s="26" t="str">
        <f t="shared" ref="J5:J7" si="7">SUBSTITUTE(TRIM(MID($B5,65,22)),CHAR(34),"")</f>
        <v>STDOUT=D</v>
      </c>
      <c r="K5" s="26" t="b">
        <f t="shared" ref="K5:K7" si="8">NOT(ISERROR(FIND(",",J5)))</f>
        <v>0</v>
      </c>
      <c r="L5" s="26" t="str">
        <f t="shared" ref="L5:L7" si="9">IF(K5,FIND(",",J5),"")</f>
        <v/>
      </c>
    </row>
    <row r="6" spans="1:12" x14ac:dyDescent="0.25">
      <c r="A6" s="26">
        <v>123</v>
      </c>
      <c r="B6" s="26" t="s">
        <v>627</v>
      </c>
      <c r="C6" s="26" t="str">
        <f t="shared" si="0"/>
        <v>OUT</v>
      </c>
      <c r="D6" s="26" t="str">
        <f t="shared" si="1"/>
        <v>STDERR=D</v>
      </c>
      <c r="E6" s="26" t="b">
        <f t="shared" si="2"/>
        <v>0</v>
      </c>
      <c r="F6" s="26" t="str">
        <f t="shared" si="3"/>
        <v/>
      </c>
      <c r="G6" s="26" t="str">
        <f t="shared" si="4"/>
        <v>STDIN=D</v>
      </c>
      <c r="H6" s="26" t="b">
        <f t="shared" si="5"/>
        <v>0</v>
      </c>
      <c r="I6" s="26" t="str">
        <f t="shared" si="6"/>
        <v/>
      </c>
      <c r="J6" s="26" t="str">
        <f t="shared" si="7"/>
        <v>STDOUT=R,STDOUT.TXT</v>
      </c>
      <c r="K6" s="26" t="b">
        <f t="shared" si="8"/>
        <v>1</v>
      </c>
      <c r="L6" s="26">
        <f t="shared" si="9"/>
        <v>9</v>
      </c>
    </row>
    <row r="7" spans="1:12" x14ac:dyDescent="0.25">
      <c r="A7" s="26">
        <v>133</v>
      </c>
      <c r="B7" s="26" t="s">
        <v>628</v>
      </c>
      <c r="C7" s="26" t="str">
        <f t="shared" si="0"/>
        <v>ERR</v>
      </c>
      <c r="D7" s="26" t="str">
        <f t="shared" si="1"/>
        <v>STDERR=R,STDERR.TXT</v>
      </c>
      <c r="E7" s="26" t="b">
        <f t="shared" si="2"/>
        <v>1</v>
      </c>
      <c r="F7" s="26">
        <f t="shared" si="3"/>
        <v>9</v>
      </c>
      <c r="G7" s="26" t="str">
        <f t="shared" si="4"/>
        <v>STDIN=D</v>
      </c>
      <c r="H7" s="26" t="b">
        <f t="shared" si="5"/>
        <v>0</v>
      </c>
      <c r="I7" s="26" t="str">
        <f t="shared" si="6"/>
        <v/>
      </c>
      <c r="J7" s="26" t="str">
        <f t="shared" si="7"/>
        <v>STDOUT=D</v>
      </c>
      <c r="K7" s="26" t="b">
        <f t="shared" si="8"/>
        <v>0</v>
      </c>
      <c r="L7" s="26" t="str">
        <f t="shared" si="9"/>
        <v/>
      </c>
    </row>
  </sheetData>
  <mergeCells count="4">
    <mergeCell ref="D2:F2"/>
    <mergeCell ref="G2:I2"/>
    <mergeCell ref="J2:L2"/>
    <mergeCell ref="C1:L1"/>
  </mergeCells>
  <conditionalFormatting sqref="D4:F4">
    <cfRule type="expression" dxfId="61" priority="14">
      <formula>LEN($F4)&gt;0</formula>
    </cfRule>
  </conditionalFormatting>
  <conditionalFormatting sqref="D5:E7">
    <cfRule type="expression" dxfId="60" priority="13">
      <formula>LEN($F5)&gt;0</formula>
    </cfRule>
  </conditionalFormatting>
  <conditionalFormatting sqref="G4:I4">
    <cfRule type="expression" dxfId="59" priority="12">
      <formula>LEN($I4)&gt;0</formula>
    </cfRule>
  </conditionalFormatting>
  <conditionalFormatting sqref="G5:H7">
    <cfRule type="expression" dxfId="58" priority="10">
      <formula>LEN($I5)&gt;0</formula>
    </cfRule>
  </conditionalFormatting>
  <conditionalFormatting sqref="J4:L4">
    <cfRule type="expression" dxfId="57" priority="9">
      <formula>LEN($L4)&gt;0</formula>
    </cfRule>
  </conditionalFormatting>
  <conditionalFormatting sqref="J5:K7">
    <cfRule type="expression" dxfId="56" priority="7">
      <formula>LEN($L5)&gt;0</formula>
    </cfRule>
  </conditionalFormatting>
  <conditionalFormatting sqref="L5:L7">
    <cfRule type="expression" dxfId="55" priority="3">
      <formula>LEN($L5)&gt;0</formula>
    </cfRule>
  </conditionalFormatting>
  <conditionalFormatting sqref="I5:I7">
    <cfRule type="expression" dxfId="54" priority="2">
      <formula>LEN($I5)&gt;0</formula>
    </cfRule>
  </conditionalFormatting>
  <conditionalFormatting sqref="F5:F7">
    <cfRule type="expression" dxfId="53" priority="1">
      <formula>LEN($F5)&gt;0</formula>
    </cfRule>
  </conditionalFormatting>
  <pageMargins left="0.7" right="0.7" top="0.75" bottom="0.75" header="0.3" footer="0.3"/>
  <pageSetup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Views>
    <sheetView workbookViewId="0">
      <selection sqref="A1:C1"/>
    </sheetView>
  </sheetViews>
  <sheetFormatPr defaultRowHeight="15" x14ac:dyDescent="0.25"/>
  <cols>
    <col min="1" max="1" width="84.125" bestFit="1" customWidth="1"/>
    <col min="2" max="2" width="25.375" bestFit="1" customWidth="1"/>
    <col min="3" max="3" width="12.625" bestFit="1" customWidth="1"/>
    <col min="4" max="4" width="162.5" bestFit="1" customWidth="1"/>
    <col min="5" max="5" width="19.125" bestFit="1" customWidth="1"/>
    <col min="6" max="6" width="7.75" bestFit="1" customWidth="1"/>
    <col min="7" max="7" width="117.125" bestFit="1" customWidth="1"/>
    <col min="8" max="8" width="17.125" bestFit="1" customWidth="1"/>
    <col min="9" max="9" width="12.375" bestFit="1" customWidth="1"/>
    <col min="10" max="10" width="14" bestFit="1" customWidth="1"/>
    <col min="11" max="11" width="16.5" bestFit="1" customWidth="1"/>
    <col min="12" max="12" width="41.875" bestFit="1" customWidth="1"/>
    <col min="13" max="13" width="18.125" bestFit="1" customWidth="1"/>
    <col min="14" max="14" width="13" bestFit="1" customWidth="1"/>
    <col min="16" max="16" width="14" bestFit="1" customWidth="1"/>
    <col min="17" max="17" width="16.5" bestFit="1" customWidth="1"/>
    <col min="18" max="18" width="8.375" bestFit="1" customWidth="1"/>
    <col min="19" max="19" width="10.875" bestFit="1" customWidth="1"/>
    <col min="20" max="20" width="23.25" bestFit="1" customWidth="1"/>
    <col min="21" max="21" width="4" bestFit="1" customWidth="1"/>
    <col min="23" max="23" width="22.25" bestFit="1" customWidth="1"/>
    <col min="24" max="24" width="4" bestFit="1" customWidth="1"/>
    <col min="25" max="25" width="16" bestFit="1" customWidth="1"/>
    <col min="26" max="26" width="41.875" bestFit="1" customWidth="1"/>
    <col min="27" max="27" width="4" bestFit="1" customWidth="1"/>
    <col min="28" max="28" width="15" bestFit="1" customWidth="1"/>
    <col min="30" max="30" width="159.375" bestFit="1" customWidth="1"/>
    <col min="31" max="31" width="12.375" bestFit="1" customWidth="1"/>
    <col min="32" max="32" width="10.875" bestFit="1" customWidth="1"/>
  </cols>
  <sheetData>
    <row r="1" spans="1:32" ht="18" x14ac:dyDescent="0.25">
      <c r="A1" s="66" t="s">
        <v>760</v>
      </c>
      <c r="B1" s="67"/>
      <c r="C1" s="68"/>
      <c r="D1" s="66" t="str">
        <f>CONCATENATE(LEFT(A1,LEN(A1)-1),".H")</f>
        <v>SHS_StandardHandleState..H</v>
      </c>
      <c r="E1" s="67"/>
      <c r="F1" s="67"/>
      <c r="G1" s="68"/>
      <c r="H1" s="66" t="s">
        <v>762</v>
      </c>
      <c r="I1" s="67"/>
      <c r="J1" s="67"/>
      <c r="K1" s="68"/>
      <c r="L1" s="66" t="s">
        <v>761</v>
      </c>
      <c r="M1" s="67"/>
      <c r="N1" s="68"/>
      <c r="O1" s="69" t="s">
        <v>771</v>
      </c>
      <c r="P1" s="70"/>
      <c r="Q1" s="70"/>
      <c r="R1" s="71" t="s">
        <v>770</v>
      </c>
      <c r="S1" s="73" t="s">
        <v>773</v>
      </c>
      <c r="T1" s="66" t="s">
        <v>776</v>
      </c>
      <c r="U1" s="67"/>
      <c r="V1" s="68"/>
      <c r="W1" s="66" t="s">
        <v>777</v>
      </c>
      <c r="X1" s="67"/>
      <c r="Y1" s="68"/>
      <c r="Z1" s="66" t="s">
        <v>794</v>
      </c>
      <c r="AA1" s="67"/>
      <c r="AB1" s="68"/>
      <c r="AD1" s="32" t="s">
        <v>867</v>
      </c>
      <c r="AE1" s="32"/>
      <c r="AF1" s="32"/>
    </row>
    <row r="2" spans="1:32" ht="18" x14ac:dyDescent="0.25">
      <c r="A2" s="32" t="s">
        <v>763</v>
      </c>
      <c r="B2" s="32" t="s">
        <v>476</v>
      </c>
      <c r="C2" s="32" t="s">
        <v>480</v>
      </c>
      <c r="D2" s="32" t="s">
        <v>763</v>
      </c>
      <c r="E2" s="32" t="s">
        <v>476</v>
      </c>
      <c r="F2" s="32" t="s">
        <v>478</v>
      </c>
      <c r="G2" s="32" t="s">
        <v>480</v>
      </c>
      <c r="H2" s="32" t="s">
        <v>764</v>
      </c>
      <c r="I2" s="32" t="s">
        <v>765</v>
      </c>
      <c r="J2" s="36" t="s">
        <v>766</v>
      </c>
      <c r="K2" s="32" t="s">
        <v>767</v>
      </c>
      <c r="L2" s="32" t="s">
        <v>763</v>
      </c>
      <c r="M2" s="32" t="s">
        <v>476</v>
      </c>
      <c r="N2" s="32" t="s">
        <v>768</v>
      </c>
      <c r="O2" s="32"/>
      <c r="P2" s="36" t="s">
        <v>766</v>
      </c>
      <c r="Q2" s="32" t="s">
        <v>767</v>
      </c>
      <c r="R2" s="72"/>
      <c r="S2" s="74"/>
      <c r="T2" s="32" t="s">
        <v>795</v>
      </c>
      <c r="U2" s="32" t="s">
        <v>796</v>
      </c>
      <c r="V2" s="32" t="s">
        <v>478</v>
      </c>
      <c r="W2" s="32" t="s">
        <v>795</v>
      </c>
      <c r="X2" s="32" t="s">
        <v>796</v>
      </c>
      <c r="Y2" s="32" t="s">
        <v>478</v>
      </c>
      <c r="Z2" s="32" t="s">
        <v>795</v>
      </c>
      <c r="AA2" s="32" t="s">
        <v>796</v>
      </c>
      <c r="AB2" s="32" t="s">
        <v>478</v>
      </c>
      <c r="AD2" s="32" t="s">
        <v>763</v>
      </c>
      <c r="AE2" s="32" t="s">
        <v>871</v>
      </c>
      <c r="AF2" s="32" t="s">
        <v>872</v>
      </c>
    </row>
    <row r="3" spans="1:32" x14ac:dyDescent="0.25">
      <c r="A3" s="33"/>
      <c r="B3" s="33"/>
      <c r="C3" s="33"/>
      <c r="D3" s="33" t="s">
        <v>787</v>
      </c>
      <c r="E3" s="33" t="str">
        <f>IFERROR(TRIM(SUBSTITUTE(LEFT(D3,FIND("// ",D3)-1),",","")),"")</f>
        <v/>
      </c>
      <c r="F3" s="33" t="str">
        <f>IF(LEN(E3)&gt;0,IF(ISNUMBER(F2),F2+1,0),"")</f>
        <v/>
      </c>
      <c r="G3" s="33" t="str">
        <f>IFERROR(RIGHT(D3,LEN(D3)-(FIND("// ",D3)+2)),"")</f>
        <v/>
      </c>
      <c r="H3" s="33"/>
      <c r="I3" s="33"/>
      <c r="J3" s="33"/>
      <c r="K3" s="33"/>
      <c r="L3" s="33"/>
      <c r="M3" s="33"/>
      <c r="N3" s="33"/>
      <c r="O3" s="35" t="s">
        <v>769</v>
      </c>
      <c r="P3" s="34">
        <f>(2^32)</f>
        <v>4294967296</v>
      </c>
      <c r="Q3" s="33" t="str">
        <f>IF(LEN(P3)&gt;0,CONCATENATE("0x",DEC2HEX(P3,9)),"")</f>
        <v>0x100000000</v>
      </c>
      <c r="R3" s="33" t="str">
        <f>IF(AND(LEN(J3)&gt;0,LEN(P3)&gt;0),J3=P3,"")</f>
        <v/>
      </c>
      <c r="S3" s="33"/>
      <c r="T3" s="33" t="str">
        <f>IF(LEN($V3)&gt;0,CONCATENATE("IDS_",SUBSTITUTE(UPPER(T$1),CHAR(32),"_"),"_",$V3),"")</f>
        <v/>
      </c>
      <c r="U3" s="33"/>
      <c r="V3" s="33"/>
      <c r="W3" s="33" t="str">
        <f>IF(LEN($V3)&gt;0,CONCATENATE("IDS_",SUBSTITUTE(UPPER(W$1),CHAR(32),"_"),"_",$V3),"")</f>
        <v/>
      </c>
      <c r="X3" s="33"/>
      <c r="Y3" s="33"/>
      <c r="Z3" s="33" t="str">
        <f>IF(LEN($V3)&gt;0,CONCATENATE("IDS_",SUBSTITUTE(UPPER(Z$1),CHAR(32),"_"),"_",$V3),"")</f>
        <v/>
      </c>
      <c r="AA3" s="33"/>
      <c r="AB3" s="33" t="str">
        <f>IF(LEN(C3)&gt;0,CONCATENATE(C3," (",F3,")"),"")</f>
        <v/>
      </c>
      <c r="AD3" s="33" t="str">
        <f t="shared" ref="AD3:AD8" si="0">SUBSTITUTE(SUBSTITUTE(SUBSTITUTE(SUBSTITUTE(PROPER(D3),"Typedef Enum","public enum"),"_",""),";",""),"}","} //")</f>
        <v>public enum ShsHandleState</v>
      </c>
      <c r="AE3" s="33"/>
      <c r="AF3" s="33"/>
    </row>
    <row r="4" spans="1:32" x14ac:dyDescent="0.25">
      <c r="A4" s="33" t="s">
        <v>754</v>
      </c>
      <c r="B4" s="33" t="str">
        <f t="shared" ref="B4:B9" si="1">IFERROR(IF(TRIM(LEFT(A4,FIND("// ",A4)-1))&lt;&gt;"};",TRIM(SUBSTITUTE(LEFT(A4,FIND("// ",A4)-1),",","")),""),"")</f>
        <v/>
      </c>
      <c r="C4" s="33" t="str">
        <f t="shared" ref="C4:C9" si="2">IFERROR(IF(TRIM(LEFT(A4,FIND("// ",A4)-1))&lt;&gt;"};",TRIM(RIGHT(A4,LEN(A4)-FIND("// ",A4)-2)),""),"")</f>
        <v/>
      </c>
      <c r="D4" s="33" t="s">
        <v>788</v>
      </c>
      <c r="E4" s="33" t="str">
        <f t="shared" ref="E4:E9" si="3">IFERROR(TRIM(SUBSTITUTE(LEFT(D4,FIND("// ",D4)-1),",","")),"")</f>
        <v/>
      </c>
      <c r="F4" s="33" t="str">
        <f t="shared" ref="F4:F9" si="4">IF(LEN(E4)&gt;0,IF(ISNUMBER(F3),F3+1,0),"")</f>
        <v/>
      </c>
      <c r="G4" s="33" t="str">
        <f t="shared" ref="G4:G9" si="5">IFERROR(RIGHT(D4,LEN(D4)-(FIND("// ",D4)+2)),"")</f>
        <v/>
      </c>
      <c r="H4" s="33"/>
      <c r="I4" s="33" t="str">
        <f>IF(LEN(H4)&gt;0,IF(LEFT(H4,1)="[",INT(MID(H4,2,FIND("]",H4)-2)),""),"")</f>
        <v/>
      </c>
      <c r="J4" s="33" t="str">
        <f t="shared" ref="J4:J9" si="6">IF(LEN(H4)&gt;0,IF(LEFT(H4,1)="[",INT(RIGHT(H4,LEN(H4)-FIND("=",H4)-1)),""),"")</f>
        <v/>
      </c>
      <c r="K4" s="33" t="str">
        <f>IF(LEN(J4)&gt;0,CONCATENATE("0x",DEC2HEX(J4,8)),"")</f>
        <v/>
      </c>
      <c r="L4" s="33"/>
      <c r="M4" s="33" t="str">
        <f>IF(LEN(L4)&gt;0,TRIM(MID(L4,9,FIND("(",L4)-9)),"")</f>
        <v/>
      </c>
      <c r="N4" s="33" t="str">
        <f>IF(LEN(L4)&gt;0,RIGHT(L4,LEN(L4)-FIND("((",L4)+1),"")</f>
        <v/>
      </c>
      <c r="O4" s="33" t="str">
        <f t="shared" ref="O4:O9" si="7">IF(LEN(N4)&gt;0,INT(MID(N4,FIND(")",N4)+1,LEN(N4)-(FIND(")",N4))-1)),"")</f>
        <v/>
      </c>
      <c r="P4" s="34" t="str">
        <f t="shared" ref="P4:P9" si="8">IF(LEN(N4)&gt;0,DWORD+O4,"")</f>
        <v/>
      </c>
      <c r="Q4" s="33" t="str">
        <f>IF(LEN(P4)&gt;0,CONCATENATE("0x",DEC2HEX(P4,8)),"")</f>
        <v/>
      </c>
      <c r="R4" s="33" t="str">
        <f t="shared" ref="R4:R9" si="9">IF(AND(LEN(J4)&gt;0,LEN(P4)&gt;0),J4=P4,"")</f>
        <v/>
      </c>
      <c r="S4" s="33"/>
      <c r="T4" s="33" t="str">
        <f t="shared" ref="T4:T9" si="10">IF(LEN($V4)&gt;0,CONCATENATE("IDS_",SUBSTITUTE(UPPER(T$1),CHAR(32),"_"),"_",$V4),"")</f>
        <v/>
      </c>
      <c r="U4" s="33"/>
      <c r="V4" s="33"/>
      <c r="W4" s="33" t="str">
        <f t="shared" ref="W4:W9" si="11">IF(LEN($V4)&gt;0,CONCATENATE("IDS_",SUBSTITUTE(UPPER(W$1),CHAR(32),"_"),"_",$V4),"")</f>
        <v/>
      </c>
      <c r="X4" s="33"/>
      <c r="Y4" s="33"/>
      <c r="Z4" s="33" t="str">
        <f t="shared" ref="Z4:Z9" si="12">IF(LEN($V4)&gt;0,CONCATENATE("IDS_",SUBSTITUTE(UPPER(Z$1),CHAR(32),"_"),"_",$V4),"")</f>
        <v/>
      </c>
      <c r="AA4" s="33"/>
      <c r="AB4" s="33" t="str">
        <f t="shared" ref="AB4:AB9" si="13">IF(LEN(C4)&gt;0,CONCATENATE(C4," (",F4,")"),"")</f>
        <v/>
      </c>
      <c r="AD4" s="33" t="str">
        <f t="shared" si="0"/>
        <v>{</v>
      </c>
      <c r="AE4" s="33"/>
      <c r="AF4" s="33"/>
    </row>
    <row r="5" spans="1:32" x14ac:dyDescent="0.25">
      <c r="A5" s="33" t="s">
        <v>755</v>
      </c>
      <c r="B5" s="33" t="str">
        <f t="shared" si="1"/>
        <v/>
      </c>
      <c r="C5" s="33" t="str">
        <f t="shared" si="2"/>
        <v/>
      </c>
      <c r="D5" s="33" t="s">
        <v>789</v>
      </c>
      <c r="E5" s="33" t="str">
        <f t="shared" si="3"/>
        <v>SHS_UNDETERMINABLE</v>
      </c>
      <c r="F5" s="33">
        <f t="shared" si="4"/>
        <v>0</v>
      </c>
      <c r="G5" s="33" t="str">
        <f t="shared" si="5"/>
        <v>Value = 0, indicating that SHS_STANDARD_HANDLE is either SHS_UNDEFINED or out of range</v>
      </c>
      <c r="H5" s="33"/>
      <c r="I5" s="33" t="str">
        <f t="shared" ref="I5:I9" si="14">IF(LEN(H5)&gt;0,IF(LEFT(H5,1)="[",INT(MID(H5,2,FIND("]",H5)-2)),""),"")</f>
        <v/>
      </c>
      <c r="J5" s="33" t="str">
        <f t="shared" si="6"/>
        <v/>
      </c>
      <c r="K5" s="33" t="str">
        <f t="shared" ref="K5:K9" si="15">IF(LEN(J5)&gt;0,CONCATENATE("0x",DEC2HEX(J5,8)),"")</f>
        <v/>
      </c>
      <c r="L5" s="33"/>
      <c r="M5" s="33" t="str">
        <f t="shared" ref="M5:M9" si="16">IF(LEN(L5)&gt;0,TRIM(MID(L5,9,FIND("(",L5)-9)),"")</f>
        <v/>
      </c>
      <c r="N5" s="33" t="str">
        <f t="shared" ref="N5:N9" si="17">IF(LEN(L5)&gt;0,RIGHT(L5,LEN(L5)-FIND("((",L5)+1),"")</f>
        <v/>
      </c>
      <c r="O5" s="33" t="str">
        <f t="shared" si="7"/>
        <v/>
      </c>
      <c r="P5" s="34" t="str">
        <f t="shared" si="8"/>
        <v/>
      </c>
      <c r="Q5" s="33" t="str">
        <f t="shared" ref="Q5:Q9" si="18">IF(LEN(P5)&gt;0,CONCATENATE("0x",DEC2HEX(P5,8)),"")</f>
        <v/>
      </c>
      <c r="R5" s="33" t="str">
        <f t="shared" si="9"/>
        <v/>
      </c>
      <c r="S5" s="33"/>
      <c r="T5" s="33" t="str">
        <f t="shared" si="10"/>
        <v/>
      </c>
      <c r="U5" s="33"/>
      <c r="V5" s="33"/>
      <c r="W5" s="33" t="str">
        <f t="shared" si="11"/>
        <v/>
      </c>
      <c r="X5" s="33"/>
      <c r="Y5" s="33"/>
      <c r="Z5" s="33" t="str">
        <f t="shared" si="12"/>
        <v/>
      </c>
      <c r="AA5" s="33"/>
      <c r="AB5" s="33" t="str">
        <f t="shared" si="13"/>
        <v/>
      </c>
      <c r="AD5" s="33" t="str">
        <f t="shared" si="0"/>
        <v xml:space="preserve">    ShsUndeterminable ,                // Value = 0, Indicating That ShsStandardHandle Is Either ShsUndefined Or Out Of Range</v>
      </c>
      <c r="AE5" s="33"/>
      <c r="AF5" s="33"/>
    </row>
    <row r="6" spans="1:32" x14ac:dyDescent="0.25">
      <c r="A6" s="33" t="s">
        <v>784</v>
      </c>
      <c r="B6" s="33" t="str">
        <f t="shared" si="1"/>
        <v>STD_INPUT_HANDLE</v>
      </c>
      <c r="C6" s="33" t="str">
        <f t="shared" si="2"/>
        <v>SHS_STDIN</v>
      </c>
      <c r="D6" s="33" t="s">
        <v>790</v>
      </c>
      <c r="E6" s="33" t="str">
        <f t="shared" si="3"/>
        <v>SHS_ATTACHED</v>
      </c>
      <c r="F6" s="33">
        <f t="shared" si="4"/>
        <v>1</v>
      </c>
      <c r="G6" s="33" t="str">
        <f t="shared" si="5"/>
        <v>Value = 1, indicating that the handle corresponding to the value of SHS_STANDARD_HANDLE is attached to its console</v>
      </c>
      <c r="H6" s="33" t="s">
        <v>751</v>
      </c>
      <c r="I6" s="33">
        <f t="shared" si="14"/>
        <v>0</v>
      </c>
      <c r="J6" s="34">
        <f t="shared" si="6"/>
        <v>4294967286</v>
      </c>
      <c r="K6" s="33" t="str">
        <f t="shared" si="15"/>
        <v>0xFFFFFFF6</v>
      </c>
      <c r="L6" s="33" t="s">
        <v>757</v>
      </c>
      <c r="M6" s="33" t="str">
        <f t="shared" si="16"/>
        <v>STD_INPUT_HANDLE</v>
      </c>
      <c r="N6" s="33" t="str">
        <f t="shared" si="17"/>
        <v>((DWORD)-10)</v>
      </c>
      <c r="O6" s="33">
        <f t="shared" si="7"/>
        <v>-10</v>
      </c>
      <c r="P6" s="34">
        <f t="shared" si="8"/>
        <v>4294967286</v>
      </c>
      <c r="Q6" s="33" t="str">
        <f t="shared" si="18"/>
        <v>0xFFFFFFF6</v>
      </c>
      <c r="R6" s="33" t="b">
        <f t="shared" si="9"/>
        <v>1</v>
      </c>
      <c r="S6" s="33" t="s">
        <v>772</v>
      </c>
      <c r="T6" s="33" t="str">
        <f t="shared" si="10"/>
        <v>IDS_SHORT_LABEL_STDIN</v>
      </c>
      <c r="U6" s="33">
        <v>3</v>
      </c>
      <c r="V6" s="33" t="s">
        <v>778</v>
      </c>
      <c r="W6" s="33" t="str">
        <f t="shared" si="11"/>
        <v>IDS_LONG_LABEL_STDIN</v>
      </c>
      <c r="X6" s="33">
        <v>6</v>
      </c>
      <c r="Y6" s="33" t="s">
        <v>781</v>
      </c>
      <c r="Z6" s="33" t="str">
        <f t="shared" si="12"/>
        <v>IDS_STANDARD_HANDLE_CONSTANT_NAME_STDIN</v>
      </c>
      <c r="AA6" s="33">
        <v>9</v>
      </c>
      <c r="AB6" s="33" t="str">
        <f t="shared" si="13"/>
        <v>SHS_STDIN (1)</v>
      </c>
      <c r="AD6" s="33" t="str">
        <f t="shared" si="0"/>
        <v xml:space="preserve">    ShsAttached ,                      // Value = 1, Indicating That The Handle Corresponding To The Value Of ShsStandardHandle Is Attached To Its Console</v>
      </c>
      <c r="AE6" s="33" t="str">
        <f>SUBSTITUTE(PROPER(C6),"_","")</f>
        <v>ShsStdin</v>
      </c>
      <c r="AF6" s="33" t="s">
        <v>868</v>
      </c>
    </row>
    <row r="7" spans="1:32" x14ac:dyDescent="0.25">
      <c r="A7" s="33" t="s">
        <v>785</v>
      </c>
      <c r="B7" s="33" t="str">
        <f t="shared" si="1"/>
        <v>STD_OUTPUT_HANDLE</v>
      </c>
      <c r="C7" s="33" t="str">
        <f t="shared" si="2"/>
        <v>SHS_STDOUT</v>
      </c>
      <c r="D7" s="33" t="s">
        <v>791</v>
      </c>
      <c r="E7" s="33" t="str">
        <f t="shared" si="3"/>
        <v>SHS_REDIRECTED</v>
      </c>
      <c r="F7" s="33">
        <f t="shared" si="4"/>
        <v>2</v>
      </c>
      <c r="G7" s="33" t="str">
        <f t="shared" si="5"/>
        <v>Value = 2, indicating that the handle corresponding to the value of SHS_STANDARD_HANDLE is redirected</v>
      </c>
      <c r="H7" s="33" t="s">
        <v>752</v>
      </c>
      <c r="I7" s="33">
        <f t="shared" si="14"/>
        <v>1</v>
      </c>
      <c r="J7" s="34">
        <f t="shared" si="6"/>
        <v>4294967285</v>
      </c>
      <c r="K7" s="33" t="str">
        <f t="shared" si="15"/>
        <v>0xFFFFFFF5</v>
      </c>
      <c r="L7" s="33" t="s">
        <v>758</v>
      </c>
      <c r="M7" s="33" t="str">
        <f t="shared" si="16"/>
        <v>STD_OUTPUT_HANDLE</v>
      </c>
      <c r="N7" s="33" t="str">
        <f t="shared" si="17"/>
        <v>((DWORD)-11)</v>
      </c>
      <c r="O7" s="33">
        <f t="shared" si="7"/>
        <v>-11</v>
      </c>
      <c r="P7" s="34">
        <f t="shared" si="8"/>
        <v>4294967285</v>
      </c>
      <c r="Q7" s="33" t="str">
        <f t="shared" si="18"/>
        <v>0xFFFFFFF5</v>
      </c>
      <c r="R7" s="33" t="b">
        <f t="shared" si="9"/>
        <v>1</v>
      </c>
      <c r="S7" s="33" t="s">
        <v>774</v>
      </c>
      <c r="T7" s="33" t="str">
        <f t="shared" si="10"/>
        <v>IDS_SHORT_LABEL_STDOUT</v>
      </c>
      <c r="U7" s="33">
        <v>4</v>
      </c>
      <c r="V7" s="33" t="s">
        <v>779</v>
      </c>
      <c r="W7" s="33" t="str">
        <f t="shared" si="11"/>
        <v>IDS_LONG_LABEL_STDOUT</v>
      </c>
      <c r="X7" s="33">
        <v>7</v>
      </c>
      <c r="Y7" s="33" t="s">
        <v>782</v>
      </c>
      <c r="Z7" s="33" t="str">
        <f t="shared" si="12"/>
        <v>IDS_STANDARD_HANDLE_CONSTANT_NAME_STDOUT</v>
      </c>
      <c r="AA7" s="33">
        <v>10</v>
      </c>
      <c r="AB7" s="33" t="str">
        <f t="shared" si="13"/>
        <v>SHS_STDOUT (2)</v>
      </c>
      <c r="AD7" s="33" t="str">
        <f t="shared" si="0"/>
        <v xml:space="preserve">    ShsRedirected ,                    // Value = 2, Indicating That The Handle Corresponding To The Value Of ShsStandardHandle Is Redirected</v>
      </c>
      <c r="AE7" s="33" t="str">
        <f t="shared" ref="AE7:AE8" si="19">SUBSTITUTE(PROPER(C7),"_","")</f>
        <v>ShsStdout</v>
      </c>
      <c r="AF7" s="33" t="s">
        <v>869</v>
      </c>
    </row>
    <row r="8" spans="1:32" x14ac:dyDescent="0.25">
      <c r="A8" s="33" t="s">
        <v>786</v>
      </c>
      <c r="B8" s="33" t="str">
        <f t="shared" si="1"/>
        <v>STD_ERROR_HANDLE</v>
      </c>
      <c r="C8" s="33" t="str">
        <f t="shared" si="2"/>
        <v>SHS_STERR</v>
      </c>
      <c r="D8" s="33" t="s">
        <v>792</v>
      </c>
      <c r="E8" s="33" t="str">
        <f t="shared" si="3"/>
        <v>SHS_SYSTEM_ERROR</v>
      </c>
      <c r="F8" s="33">
        <f t="shared" si="4"/>
        <v>3</v>
      </c>
      <c r="G8" s="33" t="str">
        <f t="shared" si="5"/>
        <v>Value = 3, indicating that an internal error occurred. Call GetLastError to learn why.</v>
      </c>
      <c r="H8" s="33" t="s">
        <v>753</v>
      </c>
      <c r="I8" s="33">
        <f t="shared" si="14"/>
        <v>2</v>
      </c>
      <c r="J8" s="34">
        <f t="shared" si="6"/>
        <v>4294967284</v>
      </c>
      <c r="K8" s="33" t="str">
        <f t="shared" si="15"/>
        <v>0xFFFFFFF4</v>
      </c>
      <c r="L8" s="33" t="s">
        <v>759</v>
      </c>
      <c r="M8" s="33" t="str">
        <f t="shared" si="16"/>
        <v>STD_ERROR_HANDLE</v>
      </c>
      <c r="N8" s="33" t="str">
        <f t="shared" si="17"/>
        <v>((DWORD)-12)</v>
      </c>
      <c r="O8" s="33">
        <f t="shared" si="7"/>
        <v>-12</v>
      </c>
      <c r="P8" s="34">
        <f t="shared" si="8"/>
        <v>4294967284</v>
      </c>
      <c r="Q8" s="33" t="str">
        <f t="shared" si="18"/>
        <v>0xFFFFFFF4</v>
      </c>
      <c r="R8" s="33" t="b">
        <f t="shared" si="9"/>
        <v>1</v>
      </c>
      <c r="S8" s="33" t="s">
        <v>775</v>
      </c>
      <c r="T8" s="33" t="str">
        <f t="shared" si="10"/>
        <v>IDS_SHORT_LABEL_STDERR</v>
      </c>
      <c r="U8" s="33">
        <v>5</v>
      </c>
      <c r="V8" s="33" t="s">
        <v>780</v>
      </c>
      <c r="W8" s="33" t="str">
        <f t="shared" si="11"/>
        <v>IDS_LONG_LABEL_STDERR</v>
      </c>
      <c r="X8" s="33">
        <v>8</v>
      </c>
      <c r="Y8" s="33" t="s">
        <v>783</v>
      </c>
      <c r="Z8" s="33" t="str">
        <f t="shared" si="12"/>
        <v>IDS_STANDARD_HANDLE_CONSTANT_NAME_STDERR</v>
      </c>
      <c r="AA8" s="33">
        <v>11</v>
      </c>
      <c r="AB8" s="33" t="str">
        <f t="shared" si="13"/>
        <v>SHS_STERR (3)</v>
      </c>
      <c r="AD8" s="33" t="str">
        <f t="shared" si="0"/>
        <v xml:space="preserve">    ShsSystemError                    // Value = 3, Indicating That An Internal Error Occurred. Call Getlasterror To Learn Why.</v>
      </c>
      <c r="AE8" s="33" t="str">
        <f t="shared" si="19"/>
        <v>ShsSterr</v>
      </c>
      <c r="AF8" s="33" t="s">
        <v>870</v>
      </c>
    </row>
    <row r="9" spans="1:32" x14ac:dyDescent="0.25">
      <c r="A9" s="33" t="s">
        <v>756</v>
      </c>
      <c r="B9" s="33" t="str">
        <f t="shared" si="1"/>
        <v/>
      </c>
      <c r="C9" s="33" t="str">
        <f t="shared" si="2"/>
        <v/>
      </c>
      <c r="D9" s="33" t="s">
        <v>793</v>
      </c>
      <c r="E9" s="33" t="str">
        <f t="shared" si="3"/>
        <v/>
      </c>
      <c r="F9" s="33" t="str">
        <f t="shared" si="4"/>
        <v/>
      </c>
      <c r="G9" s="33" t="str">
        <f t="shared" si="5"/>
        <v/>
      </c>
      <c r="H9" s="33"/>
      <c r="I9" s="33" t="str">
        <f t="shared" si="14"/>
        <v/>
      </c>
      <c r="J9" s="33" t="str">
        <f t="shared" si="6"/>
        <v/>
      </c>
      <c r="K9" s="33" t="str">
        <f t="shared" si="15"/>
        <v/>
      </c>
      <c r="L9" s="33"/>
      <c r="M9" s="33" t="str">
        <f t="shared" si="16"/>
        <v/>
      </c>
      <c r="N9" s="33" t="str">
        <f t="shared" si="17"/>
        <v/>
      </c>
      <c r="O9" s="33" t="str">
        <f t="shared" si="7"/>
        <v/>
      </c>
      <c r="P9" s="34" t="str">
        <f t="shared" si="8"/>
        <v/>
      </c>
      <c r="Q9" s="33" t="str">
        <f t="shared" si="18"/>
        <v/>
      </c>
      <c r="R9" s="33" t="str">
        <f t="shared" si="9"/>
        <v/>
      </c>
      <c r="S9" s="33"/>
      <c r="T9" s="33" t="str">
        <f t="shared" si="10"/>
        <v/>
      </c>
      <c r="U9" s="33"/>
      <c r="V9" s="33"/>
      <c r="W9" s="33" t="str">
        <f t="shared" si="11"/>
        <v/>
      </c>
      <c r="X9" s="33"/>
      <c r="Y9" s="33"/>
      <c r="Z9" s="33" t="str">
        <f t="shared" si="12"/>
        <v/>
      </c>
      <c r="AA9" s="33"/>
      <c r="AB9" s="33" t="str">
        <f t="shared" si="13"/>
        <v/>
      </c>
      <c r="AD9" s="33" t="str">
        <f>SUBSTITUTE(SUBSTITUTE(SUBSTITUTE(SUBSTITUTE(PROPER(D9),"Typedef Enum","public enum"),"_",""),";",""),"}","} //")</f>
        <v xml:space="preserve">} // ShsHandleState </v>
      </c>
      <c r="AE9" s="33"/>
      <c r="AF9" s="33"/>
    </row>
    <row r="11" spans="1:32" ht="18" x14ac:dyDescent="0.25">
      <c r="A11" s="32" t="s">
        <v>800</v>
      </c>
      <c r="B11" s="37" t="s">
        <v>801</v>
      </c>
      <c r="C11" s="38" t="s">
        <v>804</v>
      </c>
      <c r="D11" s="32"/>
      <c r="E11" s="32"/>
      <c r="F11" s="32"/>
      <c r="AD11" s="32"/>
      <c r="AE11" s="32"/>
      <c r="AF11" s="32"/>
    </row>
    <row r="12" spans="1:32" x14ac:dyDescent="0.25">
      <c r="A12" s="33"/>
      <c r="B12" s="39"/>
      <c r="C12" s="39" t="str">
        <f>IF(LEN(B12)&gt;0,LEN(B12),"")</f>
        <v/>
      </c>
      <c r="D12" s="33" t="s">
        <v>802</v>
      </c>
      <c r="E12" s="33"/>
      <c r="F12" s="33"/>
    </row>
    <row r="13" spans="1:32" x14ac:dyDescent="0.25">
      <c r="A13" s="33"/>
      <c r="B13" s="39"/>
      <c r="C13" s="39" t="str">
        <f t="shared" ref="C13:C17" si="20">IF(LEN(B13)&gt;0,LEN(B13),"")</f>
        <v/>
      </c>
      <c r="D13" s="33" t="s">
        <v>788</v>
      </c>
      <c r="E13" s="33"/>
      <c r="F13" s="33"/>
    </row>
    <row r="14" spans="1:32" x14ac:dyDescent="0.25">
      <c r="A14" s="33" t="str">
        <f>T1</f>
        <v>Short Label</v>
      </c>
      <c r="B14" s="39" t="s">
        <v>797</v>
      </c>
      <c r="C14" s="39">
        <f t="shared" si="20"/>
        <v>22</v>
      </c>
      <c r="D14" s="33" t="str">
        <f>CONCATENATE(REPT(CHAR(32),4),B14,", ",REPT(CHAR(32),Longest_Label_Symbol+1-LEN(B14)),"// ",A14)</f>
        <v xml:space="preserve">    SHS_HANDLE_SHORT_LABEL,    // Short Label</v>
      </c>
      <c r="E14" s="33"/>
      <c r="F14" s="33"/>
    </row>
    <row r="15" spans="1:32" x14ac:dyDescent="0.25">
      <c r="A15" s="33" t="str">
        <f>W1</f>
        <v>Long Label</v>
      </c>
      <c r="B15" s="39" t="s">
        <v>798</v>
      </c>
      <c r="C15" s="39">
        <f t="shared" si="20"/>
        <v>21</v>
      </c>
      <c r="D15" s="33" t="str">
        <f>CONCATENATE(REPT(CHAR(32),4),B15,", ",REPT(CHAR(32),Longest_Label_Symbol+1-LEN(B15)),"// ",A15)</f>
        <v xml:space="preserve">    SHS_HANDLE_LONG_LABEL,     // Long Label</v>
      </c>
      <c r="E15" s="33"/>
      <c r="F15" s="33"/>
    </row>
    <row r="16" spans="1:32" x14ac:dyDescent="0.25">
      <c r="A16" s="33" t="str">
        <f>Z1</f>
        <v>Standard Handle Constant Name</v>
      </c>
      <c r="B16" s="39" t="s">
        <v>799</v>
      </c>
      <c r="C16" s="39">
        <f t="shared" si="20"/>
        <v>24</v>
      </c>
      <c r="D16" s="33" t="str">
        <f>CONCATENATE(REPT(CHAR(32),4),B16,", ",REPT(CHAR(32),Longest_Label_Symbol+1-LEN(B16)),"// ",A16)</f>
        <v xml:space="preserve">    SHS_HANDLE_CONSTANT_NAME,  // Standard Handle Constant Name</v>
      </c>
      <c r="E16" s="33"/>
      <c r="F16" s="33"/>
    </row>
    <row r="17" spans="2:6" x14ac:dyDescent="0.25">
      <c r="B17" s="39"/>
      <c r="C17" s="39" t="str">
        <f t="shared" si="20"/>
        <v/>
      </c>
      <c r="D17" s="33" t="s">
        <v>803</v>
      </c>
      <c r="E17" s="33"/>
      <c r="F17" s="33"/>
    </row>
    <row r="19" spans="2:6" ht="18" x14ac:dyDescent="0.25">
      <c r="B19" s="38" t="s">
        <v>805</v>
      </c>
      <c r="C19" s="33">
        <f>MAX(C11:C18)</f>
        <v>24</v>
      </c>
    </row>
  </sheetData>
  <mergeCells count="10">
    <mergeCell ref="W1:Y1"/>
    <mergeCell ref="Z1:AB1"/>
    <mergeCell ref="S1:S2"/>
    <mergeCell ref="D1:G1"/>
    <mergeCell ref="T1:V1"/>
    <mergeCell ref="A1:C1"/>
    <mergeCell ref="H1:K1"/>
    <mergeCell ref="L1:N1"/>
    <mergeCell ref="O1:Q1"/>
    <mergeCell ref="R1:R2"/>
  </mergeCells>
  <conditionalFormatting sqref="D3:G3 A3:A9 D4:D9">
    <cfRule type="expression" dxfId="52" priority="59">
      <formula>LEN(A3)=0</formula>
    </cfRule>
  </conditionalFormatting>
  <conditionalFormatting sqref="S4:S9">
    <cfRule type="expression" dxfId="51" priority="47">
      <formula>LEN(S4)=0</formula>
    </cfRule>
  </conditionalFormatting>
  <conditionalFormatting sqref="B3:C3 H3:O3">
    <cfRule type="expression" dxfId="50" priority="57">
      <formula>LEN(B3)=0</formula>
    </cfRule>
  </conditionalFormatting>
  <conditionalFormatting sqref="B4:C9 H4:O9">
    <cfRule type="expression" dxfId="49" priority="56">
      <formula>LEN(B4)=0</formula>
    </cfRule>
  </conditionalFormatting>
  <conditionalFormatting sqref="Q4:Q9">
    <cfRule type="expression" dxfId="48" priority="54">
      <formula>LEN(Q4)=0</formula>
    </cfRule>
  </conditionalFormatting>
  <conditionalFormatting sqref="Q3">
    <cfRule type="expression" dxfId="47" priority="53">
      <formula>LEN(Q3)=0</formula>
    </cfRule>
  </conditionalFormatting>
  <conditionalFormatting sqref="P3:P9">
    <cfRule type="expression" dxfId="46" priority="52">
      <formula>LEN(P3)=0</formula>
    </cfRule>
  </conditionalFormatting>
  <conditionalFormatting sqref="R3">
    <cfRule type="expression" dxfId="45" priority="51">
      <formula>LEN(R3)=0</formula>
    </cfRule>
  </conditionalFormatting>
  <conditionalFormatting sqref="R4:R9">
    <cfRule type="expression" dxfId="44" priority="49">
      <formula>LEN(R4)=0</formula>
    </cfRule>
  </conditionalFormatting>
  <conditionalFormatting sqref="S3">
    <cfRule type="expression" dxfId="43" priority="48">
      <formula>LEN(S3)=0</formula>
    </cfRule>
  </conditionalFormatting>
  <conditionalFormatting sqref="T3:U3">
    <cfRule type="expression" dxfId="42" priority="46">
      <formula>LEN(T3)=0</formula>
    </cfRule>
  </conditionalFormatting>
  <conditionalFormatting sqref="V3">
    <cfRule type="expression" dxfId="41" priority="44">
      <formula>LEN(V3)=0</formula>
    </cfRule>
  </conditionalFormatting>
  <conditionalFormatting sqref="V4:V5 V9">
    <cfRule type="expression" dxfId="40" priority="43">
      <formula>LEN(V4)=0</formula>
    </cfRule>
  </conditionalFormatting>
  <conditionalFormatting sqref="Y3">
    <cfRule type="expression" dxfId="39" priority="40">
      <formula>LEN(Y3)=0</formula>
    </cfRule>
  </conditionalFormatting>
  <conditionalFormatting sqref="Y4:Y9">
    <cfRule type="expression" dxfId="38" priority="39">
      <formula>LEN(Y4)=0</formula>
    </cfRule>
  </conditionalFormatting>
  <conditionalFormatting sqref="AB3">
    <cfRule type="expression" dxfId="37" priority="36">
      <formula>LEN(AB3)=0</formula>
    </cfRule>
  </conditionalFormatting>
  <conditionalFormatting sqref="V6:V8">
    <cfRule type="expression" dxfId="36" priority="34">
      <formula>LEN(V6)=0</formula>
    </cfRule>
  </conditionalFormatting>
  <conditionalFormatting sqref="E4:E9">
    <cfRule type="expression" dxfId="35" priority="32">
      <formula>LEN(E4)=0</formula>
    </cfRule>
  </conditionalFormatting>
  <conditionalFormatting sqref="Z4:AA9">
    <cfRule type="expression" dxfId="34" priority="21">
      <formula>LEN(Z4)=0</formula>
    </cfRule>
  </conditionalFormatting>
  <conditionalFormatting sqref="G4:G9">
    <cfRule type="expression" dxfId="33" priority="30">
      <formula>LEN(G4)=0</formula>
    </cfRule>
  </conditionalFormatting>
  <conditionalFormatting sqref="F4:F9">
    <cfRule type="expression" dxfId="32" priority="29">
      <formula>LEN(F4)=0</formula>
    </cfRule>
  </conditionalFormatting>
  <conditionalFormatting sqref="AB4:AB9">
    <cfRule type="expression" dxfId="31" priority="28">
      <formula>LEN(AB4)=0</formula>
    </cfRule>
  </conditionalFormatting>
  <conditionalFormatting sqref="T4:U9">
    <cfRule type="expression" dxfId="30" priority="25">
      <formula>LEN(T4)=0</formula>
    </cfRule>
  </conditionalFormatting>
  <conditionalFormatting sqref="W3:X3">
    <cfRule type="expression" dxfId="29" priority="24">
      <formula>LEN(W3)=0</formula>
    </cfRule>
  </conditionalFormatting>
  <conditionalFormatting sqref="W4:X9">
    <cfRule type="expression" dxfId="28" priority="23">
      <formula>LEN(W4)=0</formula>
    </cfRule>
  </conditionalFormatting>
  <conditionalFormatting sqref="Z3:AA3">
    <cfRule type="expression" dxfId="27" priority="22">
      <formula>LEN(Z3)=0</formula>
    </cfRule>
  </conditionalFormatting>
  <conditionalFormatting sqref="D14:F14 A14">
    <cfRule type="expression" dxfId="26" priority="20">
      <formula>LEN(A14)=0</formula>
    </cfRule>
  </conditionalFormatting>
  <conditionalFormatting sqref="B14">
    <cfRule type="expression" dxfId="25" priority="19">
      <formula>LEN(B14)=0</formula>
    </cfRule>
  </conditionalFormatting>
  <conditionalFormatting sqref="A15:A16 E15:F16">
    <cfRule type="expression" dxfId="24" priority="18">
      <formula>LEN(A15)=0</formula>
    </cfRule>
  </conditionalFormatting>
  <conditionalFormatting sqref="B15:B16">
    <cfRule type="expression" dxfId="23" priority="17">
      <formula>LEN(B15)=0</formula>
    </cfRule>
  </conditionalFormatting>
  <conditionalFormatting sqref="D12:F13 A12:A13">
    <cfRule type="expression" dxfId="22" priority="16">
      <formula>LEN(A12)=0</formula>
    </cfRule>
  </conditionalFormatting>
  <conditionalFormatting sqref="B12:B13">
    <cfRule type="expression" dxfId="21" priority="15">
      <formula>LEN(B12)=0</formula>
    </cfRule>
  </conditionalFormatting>
  <conditionalFormatting sqref="E17:F17">
    <cfRule type="expression" dxfId="20" priority="13">
      <formula>LEN(E17)=0</formula>
    </cfRule>
  </conditionalFormatting>
  <conditionalFormatting sqref="B17">
    <cfRule type="expression" dxfId="19" priority="12">
      <formula>LEN(B17)=0</formula>
    </cfRule>
  </conditionalFormatting>
  <conditionalFormatting sqref="D17">
    <cfRule type="expression" dxfId="18" priority="11">
      <formula>LEN(D17)=0</formula>
    </cfRule>
  </conditionalFormatting>
  <conditionalFormatting sqref="C12">
    <cfRule type="expression" dxfId="17" priority="8">
      <formula>LEN(C12)=0</formula>
    </cfRule>
  </conditionalFormatting>
  <conditionalFormatting sqref="C13:C17">
    <cfRule type="expression" dxfId="16" priority="6">
      <formula>LEN(C13)=0</formula>
    </cfRule>
  </conditionalFormatting>
  <conditionalFormatting sqref="C19">
    <cfRule type="expression" dxfId="15" priority="5">
      <formula>LEN(C19)=0</formula>
    </cfRule>
  </conditionalFormatting>
  <conditionalFormatting sqref="D15:D16">
    <cfRule type="expression" dxfId="14" priority="4">
      <formula>LEN(D15)=0</formula>
    </cfRule>
  </conditionalFormatting>
  <conditionalFormatting sqref="AD3:AD9">
    <cfRule type="expression" dxfId="13" priority="3">
      <formula>LEN(AD3)=0</formula>
    </cfRule>
  </conditionalFormatting>
  <conditionalFormatting sqref="AE3:AE9">
    <cfRule type="expression" dxfId="12" priority="2">
      <formula>LEN(AE3)=0</formula>
    </cfRule>
  </conditionalFormatting>
  <conditionalFormatting sqref="AF3:AF9">
    <cfRule type="expression" dxfId="11" priority="1">
      <formula>LEN(AF3)=0</formula>
    </cfRule>
  </conditionalFormatting>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M6"/>
  <sheetViews>
    <sheetView workbookViewId="0">
      <pane xSplit="1" ySplit="2" topLeftCell="B3" activePane="bottomRight" state="frozen"/>
      <selection pane="topRight" activeCell="B1" sqref="B1"/>
      <selection pane="bottomLeft" activeCell="A3" sqref="A3"/>
      <selection pane="bottomRight" activeCell="A6" sqref="A6"/>
    </sheetView>
  </sheetViews>
  <sheetFormatPr defaultRowHeight="15" x14ac:dyDescent="0.25"/>
  <cols>
    <col min="1" max="1" width="19.875" bestFit="1" customWidth="1"/>
    <col min="2" max="2" width="10.625" bestFit="1" customWidth="1"/>
    <col min="3" max="3" width="16.5" bestFit="1" customWidth="1"/>
    <col min="4" max="4" width="96.5" bestFit="1" customWidth="1"/>
  </cols>
  <sheetData>
    <row r="1" spans="1:13" ht="18" x14ac:dyDescent="0.25">
      <c r="A1" s="75" t="s">
        <v>1669</v>
      </c>
      <c r="B1" s="76"/>
      <c r="C1" s="76"/>
      <c r="D1" s="77"/>
      <c r="E1" s="13"/>
      <c r="F1" s="13"/>
      <c r="G1" s="13"/>
      <c r="H1" s="13"/>
      <c r="I1" s="13"/>
      <c r="J1" s="13"/>
      <c r="K1" s="13"/>
      <c r="L1" s="13"/>
      <c r="M1" s="13"/>
    </row>
    <row r="2" spans="1:13" ht="18" x14ac:dyDescent="0.25">
      <c r="A2" s="19" t="s">
        <v>1667</v>
      </c>
      <c r="B2" s="19" t="s">
        <v>766</v>
      </c>
      <c r="C2" s="19" t="s">
        <v>767</v>
      </c>
      <c r="D2" s="19" t="s">
        <v>1668</v>
      </c>
      <c r="E2" s="13"/>
      <c r="F2" s="13"/>
      <c r="G2" s="13"/>
      <c r="H2" s="13"/>
      <c r="I2" s="13"/>
      <c r="J2" s="13"/>
      <c r="K2" s="13"/>
      <c r="L2" s="13"/>
      <c r="M2" s="13"/>
    </row>
    <row r="3" spans="1:13" x14ac:dyDescent="0.25">
      <c r="A3" s="44" t="s">
        <v>1670</v>
      </c>
      <c r="B3" s="44">
        <f>IF(LEN(A3)&gt;0,IF(ISNUMBER(B2),B2+1,0),"")</f>
        <v>0</v>
      </c>
      <c r="C3" s="44" t="str">
        <f>IF(LEN(B3)&gt;0,CONCATENATE("0x",DEC2HEX(B3,8)),"")</f>
        <v>0x00000000</v>
      </c>
      <c r="D3" s="61" t="s">
        <v>1671</v>
      </c>
    </row>
    <row r="4" spans="1:13" x14ac:dyDescent="0.25">
      <c r="A4" s="44" t="s">
        <v>1673</v>
      </c>
      <c r="B4" s="44">
        <f t="shared" ref="B4:B6" si="0">IF(LEN(A4)&gt;0,IF(ISNUMBER(B3),B3+1,0),"")</f>
        <v>1</v>
      </c>
      <c r="C4" s="44" t="str">
        <f t="shared" ref="C4:C6" si="1">IF(LEN(B4)&gt;0,CONCATENATE("0x",DEC2HEX(B4,8)),"")</f>
        <v>0x00000001</v>
      </c>
      <c r="D4" s="61" t="s">
        <v>1674</v>
      </c>
    </row>
    <row r="5" spans="1:13" x14ac:dyDescent="0.25">
      <c r="A5" s="44" t="s">
        <v>1676</v>
      </c>
      <c r="B5" s="44">
        <f t="shared" si="0"/>
        <v>2</v>
      </c>
      <c r="C5" s="44" t="str">
        <f t="shared" si="1"/>
        <v>0x00000002</v>
      </c>
      <c r="D5" s="61" t="s">
        <v>1675</v>
      </c>
    </row>
    <row r="6" spans="1:13" x14ac:dyDescent="0.25">
      <c r="A6" s="44" t="s">
        <v>1678</v>
      </c>
      <c r="B6" s="44">
        <f t="shared" si="0"/>
        <v>3</v>
      </c>
      <c r="C6" s="44" t="str">
        <f t="shared" si="1"/>
        <v>0x00000003</v>
      </c>
      <c r="D6" s="61" t="s">
        <v>1677</v>
      </c>
    </row>
  </sheetData>
  <mergeCells count="1">
    <mergeCell ref="A1:D1"/>
  </mergeCells>
  <pageMargins left="0.7" right="0.7" top="0.75" bottom="0.75" header="0.3" footer="0.3"/>
  <pageSetup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A6" sqref="A6"/>
    </sheetView>
  </sheetViews>
  <sheetFormatPr defaultRowHeight="15" x14ac:dyDescent="0.25"/>
  <cols>
    <col min="1" max="1" width="53.125" bestFit="1" customWidth="1"/>
    <col min="2" max="2" width="41.875" bestFit="1" customWidth="1"/>
    <col min="3" max="3" width="4" bestFit="1" customWidth="1"/>
    <col min="4" max="4" width="80" bestFit="1" customWidth="1"/>
    <col min="5" max="5" width="41.875" bestFit="1" customWidth="1"/>
    <col min="6" max="6" width="34.625" bestFit="1" customWidth="1"/>
    <col min="7" max="7" width="69.625" bestFit="1" customWidth="1"/>
    <col min="8" max="8" width="7.75" bestFit="1" customWidth="1"/>
    <col min="9" max="9" width="27.375" bestFit="1" customWidth="1"/>
    <col min="10" max="10" width="108.875" bestFit="1" customWidth="1"/>
  </cols>
  <sheetData>
    <row r="1" spans="1:10" ht="18" x14ac:dyDescent="0.25">
      <c r="A1" s="66" t="s">
        <v>830</v>
      </c>
      <c r="B1" s="67"/>
      <c r="C1" s="68"/>
      <c r="D1" s="66" t="s">
        <v>832</v>
      </c>
      <c r="E1" s="67"/>
      <c r="F1" s="68"/>
      <c r="G1" s="66" t="s">
        <v>857</v>
      </c>
      <c r="H1" s="67"/>
      <c r="I1" s="67"/>
      <c r="J1" s="68"/>
    </row>
    <row r="2" spans="1:10" ht="18" x14ac:dyDescent="0.25">
      <c r="A2" s="32" t="s">
        <v>858</v>
      </c>
      <c r="B2" s="32" t="s">
        <v>831</v>
      </c>
      <c r="C2" s="32" t="s">
        <v>796</v>
      </c>
      <c r="D2" s="32" t="s">
        <v>858</v>
      </c>
      <c r="E2" s="32" t="s">
        <v>855</v>
      </c>
      <c r="F2" s="32" t="s">
        <v>856</v>
      </c>
      <c r="G2" s="32" t="s">
        <v>859</v>
      </c>
      <c r="H2" s="32" t="s">
        <v>478</v>
      </c>
      <c r="I2" s="32" t="s">
        <v>863</v>
      </c>
      <c r="J2" s="32" t="s">
        <v>864</v>
      </c>
    </row>
    <row r="3" spans="1:10" x14ac:dyDescent="0.25">
      <c r="A3" s="33" t="s">
        <v>817</v>
      </c>
      <c r="B3" s="33" t="s">
        <v>818</v>
      </c>
      <c r="C3" s="33">
        <v>1</v>
      </c>
      <c r="D3" s="33" t="s">
        <v>843</v>
      </c>
      <c r="E3" s="33" t="s">
        <v>818</v>
      </c>
      <c r="F3" s="33" t="s">
        <v>844</v>
      </c>
      <c r="G3" s="33"/>
      <c r="H3" s="33" t="str">
        <f>IF(LEN(G3)&gt;0,C3-1,"")</f>
        <v/>
      </c>
      <c r="I3" s="33"/>
      <c r="J3" s="33" t="str">
        <f>IF(LEN(I3)&gt;0,CONCATENATE("#define ",I3," ( ",G3," )"),"")</f>
        <v/>
      </c>
    </row>
    <row r="4" spans="1:10" x14ac:dyDescent="0.25">
      <c r="A4" s="33" t="s">
        <v>816</v>
      </c>
      <c r="B4" s="33" t="s">
        <v>819</v>
      </c>
      <c r="C4" s="33">
        <v>2</v>
      </c>
      <c r="D4" s="33" t="s">
        <v>842</v>
      </c>
      <c r="E4" s="33" t="s">
        <v>819</v>
      </c>
      <c r="F4" s="33" t="s">
        <v>845</v>
      </c>
      <c r="G4" s="33"/>
      <c r="H4" s="33" t="str">
        <f t="shared" ref="H4:H14" si="0">IF(LEN(G4)&gt;0,C4-1,"")</f>
        <v/>
      </c>
      <c r="I4" s="33"/>
      <c r="J4" s="33" t="str">
        <f t="shared" ref="J4:J14" si="1">IF(LEN(I4)&gt;0,CONCATENATE("#define ",I4," ( ",G4," )"),"")</f>
        <v/>
      </c>
    </row>
    <row r="5" spans="1:10" x14ac:dyDescent="0.25">
      <c r="A5" s="33" t="s">
        <v>815</v>
      </c>
      <c r="B5" s="33" t="s">
        <v>820</v>
      </c>
      <c r="C5" s="33">
        <v>3</v>
      </c>
      <c r="D5" s="33"/>
      <c r="E5" s="33"/>
      <c r="F5" s="33"/>
      <c r="G5" s="33"/>
      <c r="H5" s="33" t="str">
        <f t="shared" si="0"/>
        <v/>
      </c>
      <c r="I5" s="33"/>
      <c r="J5" s="33" t="str">
        <f t="shared" si="1"/>
        <v/>
      </c>
    </row>
    <row r="6" spans="1:10" x14ac:dyDescent="0.25">
      <c r="A6" s="33" t="s">
        <v>814</v>
      </c>
      <c r="B6" s="33" t="s">
        <v>821</v>
      </c>
      <c r="C6" s="33">
        <v>3</v>
      </c>
      <c r="D6" s="33" t="s">
        <v>841</v>
      </c>
      <c r="E6" s="33" t="s">
        <v>821</v>
      </c>
      <c r="F6" s="33" t="s">
        <v>846</v>
      </c>
      <c r="G6" s="33" t="str">
        <f>CONCATENATE("OrdinalToArrayIndexP6C ( ",B6," )")</f>
        <v>OrdinalToArrayIndexP6C ( IDS_SHORT_LABEL_STDIN )</v>
      </c>
      <c r="H6" s="33">
        <f t="shared" si="0"/>
        <v>2</v>
      </c>
      <c r="I6" s="33" t="s">
        <v>862</v>
      </c>
      <c r="J6" s="33" t="str">
        <f t="shared" si="1"/>
        <v>#define SHS_SHORT_LABEL_BASE ( OrdinalToArrayIndexP6C ( IDS_SHORT_LABEL_STDIN ) )</v>
      </c>
    </row>
    <row r="7" spans="1:10" x14ac:dyDescent="0.25">
      <c r="A7" s="33" t="s">
        <v>813</v>
      </c>
      <c r="B7" s="33" t="s">
        <v>822</v>
      </c>
      <c r="C7" s="33">
        <v>4</v>
      </c>
      <c r="D7" s="33" t="s">
        <v>840</v>
      </c>
      <c r="E7" s="33" t="s">
        <v>822</v>
      </c>
      <c r="F7" s="33" t="s">
        <v>847</v>
      </c>
      <c r="G7" s="33" t="str">
        <f t="shared" ref="G7:G14" si="2">CONCATENATE("OrdinalToArrayIndexP6C ( ",B7," )")</f>
        <v>OrdinalToArrayIndexP6C ( IDS_SHORT_LABEL_STDOUT )</v>
      </c>
      <c r="H7" s="33">
        <f t="shared" si="0"/>
        <v>3</v>
      </c>
      <c r="I7" s="33"/>
      <c r="J7" s="33" t="str">
        <f t="shared" si="1"/>
        <v/>
      </c>
    </row>
    <row r="8" spans="1:10" x14ac:dyDescent="0.25">
      <c r="A8" s="33" t="s">
        <v>812</v>
      </c>
      <c r="B8" s="33" t="s">
        <v>823</v>
      </c>
      <c r="C8" s="33">
        <v>5</v>
      </c>
      <c r="D8" s="33" t="s">
        <v>839</v>
      </c>
      <c r="E8" s="33" t="s">
        <v>823</v>
      </c>
      <c r="F8" s="33" t="s">
        <v>848</v>
      </c>
      <c r="G8" s="33" t="str">
        <f t="shared" si="2"/>
        <v>OrdinalToArrayIndexP6C ( IDS_SHORT_LABEL_STDERR )</v>
      </c>
      <c r="H8" s="33">
        <f t="shared" si="0"/>
        <v>4</v>
      </c>
      <c r="I8" s="33"/>
      <c r="J8" s="33" t="str">
        <f t="shared" si="1"/>
        <v/>
      </c>
    </row>
    <row r="9" spans="1:10" x14ac:dyDescent="0.25">
      <c r="A9" s="33" t="s">
        <v>811</v>
      </c>
      <c r="B9" s="33" t="s">
        <v>824</v>
      </c>
      <c r="C9" s="33">
        <v>6</v>
      </c>
      <c r="D9" s="33" t="s">
        <v>838</v>
      </c>
      <c r="E9" s="33" t="s">
        <v>824</v>
      </c>
      <c r="F9" s="33" t="s">
        <v>849</v>
      </c>
      <c r="G9" s="33" t="str">
        <f t="shared" si="2"/>
        <v>OrdinalToArrayIndexP6C ( IDS_LONG_LABEL_STDIN )</v>
      </c>
      <c r="H9" s="33">
        <f t="shared" si="0"/>
        <v>5</v>
      </c>
      <c r="I9" s="33" t="s">
        <v>861</v>
      </c>
      <c r="J9" s="33" t="str">
        <f t="shared" si="1"/>
        <v>#define SHS_LONG_LABEL_BASE ( OrdinalToArrayIndexP6C ( IDS_LONG_LABEL_STDIN ) )</v>
      </c>
    </row>
    <row r="10" spans="1:10" x14ac:dyDescent="0.25">
      <c r="A10" s="33" t="s">
        <v>810</v>
      </c>
      <c r="B10" s="33" t="s">
        <v>825</v>
      </c>
      <c r="C10" s="33">
        <v>7</v>
      </c>
      <c r="D10" s="33" t="s">
        <v>837</v>
      </c>
      <c r="E10" s="33" t="s">
        <v>825</v>
      </c>
      <c r="F10" s="33" t="s">
        <v>850</v>
      </c>
      <c r="G10" s="33" t="str">
        <f t="shared" si="2"/>
        <v>OrdinalToArrayIndexP6C ( IDS_LONG_LABEL_STDOUT )</v>
      </c>
      <c r="H10" s="33">
        <f t="shared" si="0"/>
        <v>6</v>
      </c>
      <c r="I10" s="33"/>
      <c r="J10" s="33" t="str">
        <f t="shared" si="1"/>
        <v/>
      </c>
    </row>
    <row r="11" spans="1:10" x14ac:dyDescent="0.25">
      <c r="A11" s="33" t="s">
        <v>809</v>
      </c>
      <c r="B11" s="33" t="s">
        <v>826</v>
      </c>
      <c r="C11" s="33">
        <v>8</v>
      </c>
      <c r="D11" s="33" t="s">
        <v>836</v>
      </c>
      <c r="E11" s="33" t="s">
        <v>826</v>
      </c>
      <c r="F11" s="33" t="s">
        <v>851</v>
      </c>
      <c r="G11" s="33" t="str">
        <f t="shared" si="2"/>
        <v>OrdinalToArrayIndexP6C ( IDS_LONG_LABEL_STDERR )</v>
      </c>
      <c r="H11" s="33">
        <f t="shared" si="0"/>
        <v>7</v>
      </c>
      <c r="I11" s="33"/>
      <c r="J11" s="33" t="str">
        <f t="shared" si="1"/>
        <v/>
      </c>
    </row>
    <row r="12" spans="1:10" x14ac:dyDescent="0.25">
      <c r="A12" s="33" t="s">
        <v>808</v>
      </c>
      <c r="B12" s="33" t="s">
        <v>827</v>
      </c>
      <c r="C12" s="33">
        <v>9</v>
      </c>
      <c r="D12" s="33" t="s">
        <v>833</v>
      </c>
      <c r="E12" s="33" t="s">
        <v>827</v>
      </c>
      <c r="F12" s="33" t="s">
        <v>852</v>
      </c>
      <c r="G12" s="33" t="str">
        <f t="shared" si="2"/>
        <v>OrdinalToArrayIndexP6C ( IDS_STANDARD_HANDLE_CONSTANT_NAME_STDIN )</v>
      </c>
      <c r="H12" s="33">
        <f t="shared" si="0"/>
        <v>8</v>
      </c>
      <c r="I12" s="33" t="s">
        <v>860</v>
      </c>
      <c r="J12" s="33" t="str">
        <f t="shared" si="1"/>
        <v>#define SHS_ENUMERATION_LABEL_BASE ( OrdinalToArrayIndexP6C ( IDS_STANDARD_HANDLE_CONSTANT_NAME_STDIN ) )</v>
      </c>
    </row>
    <row r="13" spans="1:10" x14ac:dyDescent="0.25">
      <c r="A13" s="33" t="s">
        <v>806</v>
      </c>
      <c r="B13" s="33" t="s">
        <v>828</v>
      </c>
      <c r="C13" s="33">
        <v>10</v>
      </c>
      <c r="D13" s="33" t="s">
        <v>834</v>
      </c>
      <c r="E13" s="33" t="s">
        <v>828</v>
      </c>
      <c r="F13" s="33" t="s">
        <v>853</v>
      </c>
      <c r="G13" s="33" t="str">
        <f t="shared" si="2"/>
        <v>OrdinalToArrayIndexP6C ( IDS_STANDARD_HANDLE_CONSTANT_NAME_STDOUT )</v>
      </c>
      <c r="H13" s="33">
        <f t="shared" si="0"/>
        <v>9</v>
      </c>
      <c r="I13" s="33"/>
      <c r="J13" s="33" t="str">
        <f t="shared" si="1"/>
        <v/>
      </c>
    </row>
    <row r="14" spans="1:10" x14ac:dyDescent="0.25">
      <c r="A14" s="33" t="s">
        <v>807</v>
      </c>
      <c r="B14" s="33" t="s">
        <v>829</v>
      </c>
      <c r="C14" s="33">
        <v>11</v>
      </c>
      <c r="D14" s="33" t="s">
        <v>835</v>
      </c>
      <c r="E14" s="33" t="s">
        <v>829</v>
      </c>
      <c r="F14" s="33" t="s">
        <v>854</v>
      </c>
      <c r="G14" s="33" t="str">
        <f t="shared" si="2"/>
        <v>OrdinalToArrayIndexP6C ( IDS_STANDARD_HANDLE_CONSTANT_NAME_STDERR )</v>
      </c>
      <c r="H14" s="33">
        <f t="shared" si="0"/>
        <v>10</v>
      </c>
      <c r="I14" s="33"/>
      <c r="J14" s="33" t="str">
        <f t="shared" si="1"/>
        <v/>
      </c>
    </row>
  </sheetData>
  <mergeCells count="3">
    <mergeCell ref="A1:C1"/>
    <mergeCell ref="D1:F1"/>
    <mergeCell ref="G1:J1"/>
  </mergeCells>
  <conditionalFormatting sqref="A3:H14">
    <cfRule type="expression" dxfId="10" priority="3">
      <formula>LEN(A3)=0</formula>
    </cfRule>
  </conditionalFormatting>
  <conditionalFormatting sqref="I3:I14">
    <cfRule type="expression" dxfId="9" priority="2">
      <formula>LEN(I3)=0</formula>
    </cfRule>
  </conditionalFormatting>
  <conditionalFormatting sqref="J3:J14">
    <cfRule type="expression" dxfId="8" priority="1">
      <formula>LEN(J3)=0</formula>
    </cfRule>
  </conditionalFormatting>
  <pageMargins left="0.7" right="0.7" top="0.75" bottom="0.75" header="0.3" footer="0.3"/>
  <pageSetup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sqref="A1:E1"/>
    </sheetView>
  </sheetViews>
  <sheetFormatPr defaultRowHeight="15" x14ac:dyDescent="0.25"/>
  <cols>
    <col min="1" max="1" width="33.625" customWidth="1"/>
    <col min="2" max="2" width="19.125" bestFit="1" customWidth="1"/>
    <col min="3" max="3" width="6.25" bestFit="1" customWidth="1"/>
    <col min="4" max="4" width="6.5" bestFit="1" customWidth="1"/>
    <col min="5" max="5" width="8.75" bestFit="1" customWidth="1"/>
    <col min="6" max="6" width="22.25" bestFit="1" customWidth="1"/>
    <col min="7" max="7" width="6.25" bestFit="1" customWidth="1"/>
    <col min="8" max="8" width="6.5" bestFit="1" customWidth="1"/>
    <col min="9" max="9" width="8.75" bestFit="1" customWidth="1"/>
    <col min="10" max="10" width="32.5" bestFit="1" customWidth="1"/>
  </cols>
  <sheetData>
    <row r="1" spans="1:10" ht="30" x14ac:dyDescent="0.4">
      <c r="A1" s="78" t="s">
        <v>916</v>
      </c>
      <c r="B1" s="79"/>
      <c r="C1" s="79"/>
      <c r="D1" s="79"/>
      <c r="E1" s="80"/>
      <c r="F1" s="78" t="s">
        <v>921</v>
      </c>
      <c r="G1" s="79"/>
      <c r="H1" s="79"/>
      <c r="I1" s="79"/>
      <c r="J1" s="79"/>
    </row>
    <row r="2" spans="1:10" ht="18" x14ac:dyDescent="0.25">
      <c r="A2" s="17" t="s">
        <v>917</v>
      </c>
      <c r="B2" s="17" t="s">
        <v>476</v>
      </c>
      <c r="C2" s="17" t="s">
        <v>918</v>
      </c>
      <c r="D2" s="17" t="s">
        <v>919</v>
      </c>
      <c r="E2" s="17" t="s">
        <v>920</v>
      </c>
      <c r="F2" s="17" t="s">
        <v>476</v>
      </c>
      <c r="G2" s="17" t="s">
        <v>918</v>
      </c>
      <c r="H2" s="17" t="s">
        <v>919</v>
      </c>
      <c r="I2" s="17" t="s">
        <v>920</v>
      </c>
      <c r="J2" s="17" t="str">
        <f>A2</f>
        <v>VBScript Definition</v>
      </c>
    </row>
    <row r="3" spans="1:10" x14ac:dyDescent="0.25">
      <c r="A3" s="18" t="s">
        <v>912</v>
      </c>
      <c r="B3" s="18" t="str">
        <f>TRIM(MID(A3,6,FIND("=",A3)-6))</f>
        <v>SW_AR_SHORTCUTFILE</v>
      </c>
      <c r="C3" s="18">
        <f>INT(TRIM(RIGHT(A3,LEN(A3)-FIND("=",A3))))</f>
        <v>0</v>
      </c>
      <c r="D3" s="18" t="str">
        <f>CONCATENATE("0x",DEC2HEX(AC3,2))</f>
        <v>0x00</v>
      </c>
      <c r="E3" s="18" t="str">
        <f>DEC2BIN(C3,4)</f>
        <v>0000</v>
      </c>
      <c r="F3" s="18" t="str">
        <f>SUBSTITUTE(B3,"SW_AR_","HAVE_ARG_")</f>
        <v>HAVE_ARG_SHORTCUTFILE</v>
      </c>
      <c r="G3" s="18">
        <f>IF(ISNUMBER(G2),G2*2,1)</f>
        <v>1</v>
      </c>
      <c r="H3" s="18" t="str">
        <f>CONCATENATE("0x",DEC2HEX(AG3,2))</f>
        <v>0x00</v>
      </c>
      <c r="I3" s="18" t="str">
        <f>DEC2BIN(G3,4)</f>
        <v>0001</v>
      </c>
      <c r="J3" s="18" t="str">
        <f>CONCATENATE("Const ",F3," = ",G3)</f>
        <v>Const HAVE_ARG_SHORTCUTFILE = 1</v>
      </c>
    </row>
    <row r="4" spans="1:10" x14ac:dyDescent="0.25">
      <c r="A4" s="18" t="s">
        <v>913</v>
      </c>
      <c r="B4" s="18" t="str">
        <f t="shared" ref="B4:B6" si="0">TRIM(MID(A4,6,FIND("=",A4)-6))</f>
        <v>SW_AR_SHORTCUTTARG</v>
      </c>
      <c r="C4" s="18">
        <f t="shared" ref="C4:C6" si="1">INT(TRIM(RIGHT(A4,LEN(A4)-FIND("=",A4))))</f>
        <v>1</v>
      </c>
      <c r="D4" s="18" t="str">
        <f t="shared" ref="D4:D6" si="2">CONCATENATE("0x",DEC2HEX(AC4,2))</f>
        <v>0x00</v>
      </c>
      <c r="E4" s="18" t="str">
        <f t="shared" ref="E4:E6" si="3">DEC2BIN(C4,4)</f>
        <v>0001</v>
      </c>
      <c r="F4" s="18" t="str">
        <f t="shared" ref="F4:F6" si="4">SUBSTITUTE(B4,"SW_AR_","HAVE_ARG_")</f>
        <v>HAVE_ARG_SHORTCUTTARG</v>
      </c>
      <c r="G4" s="18">
        <f t="shared" ref="G4:G6" si="5">IF(ISNUMBER(G3),G3*2,1)</f>
        <v>2</v>
      </c>
      <c r="H4" s="18" t="str">
        <f t="shared" ref="H4:H6" si="6">CONCATENATE("0x",DEC2HEX(AG4,2))</f>
        <v>0x00</v>
      </c>
      <c r="I4" s="18" t="str">
        <f t="shared" ref="I4:I6" si="7">DEC2BIN(G4,4)</f>
        <v>0010</v>
      </c>
      <c r="J4" s="18" t="str">
        <f t="shared" ref="J4:J9" si="8">CONCATENATE("Const ",F4," = ",G4)</f>
        <v>Const HAVE_ARG_SHORTCUTTARG = 2</v>
      </c>
    </row>
    <row r="5" spans="1:10" x14ac:dyDescent="0.25">
      <c r="A5" s="18" t="s">
        <v>914</v>
      </c>
      <c r="B5" s="18" t="str">
        <f t="shared" si="0"/>
        <v>SW_AR_SHORTCUTWDIR</v>
      </c>
      <c r="C5" s="18">
        <f t="shared" si="1"/>
        <v>2</v>
      </c>
      <c r="D5" s="18" t="str">
        <f t="shared" si="2"/>
        <v>0x00</v>
      </c>
      <c r="E5" s="18" t="str">
        <f t="shared" si="3"/>
        <v>0010</v>
      </c>
      <c r="F5" s="18" t="str">
        <f t="shared" si="4"/>
        <v>HAVE_ARG_SHORTCUTWDIR</v>
      </c>
      <c r="G5" s="18">
        <f t="shared" si="5"/>
        <v>4</v>
      </c>
      <c r="H5" s="18" t="str">
        <f t="shared" si="6"/>
        <v>0x00</v>
      </c>
      <c r="I5" s="18" t="str">
        <f t="shared" si="7"/>
        <v>0100</v>
      </c>
      <c r="J5" s="18" t="str">
        <f t="shared" si="8"/>
        <v>Const HAVE_ARG_SHORTCUTWDIR = 4</v>
      </c>
    </row>
    <row r="6" spans="1:10" x14ac:dyDescent="0.25">
      <c r="A6" s="18" t="s">
        <v>915</v>
      </c>
      <c r="B6" s="18" t="str">
        <f t="shared" si="0"/>
        <v>SW_AR_SHORTCUTARGS</v>
      </c>
      <c r="C6" s="18">
        <f t="shared" si="1"/>
        <v>3</v>
      </c>
      <c r="D6" s="18" t="str">
        <f t="shared" si="2"/>
        <v>0x00</v>
      </c>
      <c r="E6" s="18" t="str">
        <f t="shared" si="3"/>
        <v>0011</v>
      </c>
      <c r="F6" s="18" t="str">
        <f t="shared" si="4"/>
        <v>HAVE_ARG_SHORTCUTARGS</v>
      </c>
      <c r="G6" s="18">
        <f t="shared" si="5"/>
        <v>8</v>
      </c>
      <c r="H6" s="18" t="str">
        <f t="shared" si="6"/>
        <v>0x00</v>
      </c>
      <c r="I6" s="18" t="str">
        <f t="shared" si="7"/>
        <v>1000</v>
      </c>
      <c r="J6" s="18" t="str">
        <f t="shared" si="8"/>
        <v>Const HAVE_ARG_SHORTCUTARGS = 8</v>
      </c>
    </row>
    <row r="7" spans="1:10" x14ac:dyDescent="0.25">
      <c r="A7" s="18"/>
      <c r="B7" s="18"/>
      <c r="C7" s="18"/>
      <c r="D7" s="18"/>
      <c r="E7" s="18"/>
      <c r="F7" s="18"/>
      <c r="G7" s="18"/>
      <c r="H7" s="18"/>
      <c r="I7" s="18"/>
      <c r="J7" s="18"/>
    </row>
    <row r="8" spans="1:10" x14ac:dyDescent="0.25">
      <c r="A8" s="18"/>
      <c r="B8" s="18"/>
      <c r="C8" s="18"/>
      <c r="D8" s="18"/>
      <c r="E8" s="18"/>
      <c r="F8" s="18" t="s">
        <v>922</v>
      </c>
      <c r="G8" s="18">
        <f>HAVE_ARG_SHORTCUTFILE+HAVE_ARG_SHORTCUTTARG</f>
        <v>3</v>
      </c>
      <c r="H8" s="18" t="str">
        <f t="shared" ref="H8" si="9">CONCATENATE("0x",DEC2HEX(AG8,2))</f>
        <v>0x00</v>
      </c>
      <c r="I8" s="18" t="str">
        <f t="shared" ref="I8" si="10">DEC2BIN(G8,4)</f>
        <v>0011</v>
      </c>
      <c r="J8" s="18" t="str">
        <f t="shared" si="8"/>
        <v>Const HAVE_ARG_REQUIRED_ALL = 3</v>
      </c>
    </row>
    <row r="9" spans="1:10" x14ac:dyDescent="0.25">
      <c r="A9" s="18"/>
      <c r="B9" s="18"/>
      <c r="C9" s="18"/>
      <c r="D9" s="18"/>
      <c r="E9" s="18"/>
      <c r="F9" s="18" t="s">
        <v>923</v>
      </c>
      <c r="G9" s="18">
        <f>SUM(G2:G7)</f>
        <v>15</v>
      </c>
      <c r="H9" s="18" t="str">
        <f t="shared" ref="H9" si="11">CONCATENATE("0x",DEC2HEX(AG9,2))</f>
        <v>0x00</v>
      </c>
      <c r="I9" s="18" t="str">
        <f t="shared" ref="I9" si="12">DEC2BIN(G9,4)</f>
        <v>1111</v>
      </c>
      <c r="J9" s="18" t="str">
        <f t="shared" si="8"/>
        <v>Const HAVE_ARG_ALL_PERIOD = 15</v>
      </c>
    </row>
    <row r="10" spans="1:10" x14ac:dyDescent="0.25">
      <c r="A10" s="18"/>
      <c r="B10" s="18"/>
      <c r="C10" s="18"/>
      <c r="D10" s="18"/>
      <c r="E10" s="18"/>
      <c r="F10" s="18"/>
      <c r="G10" s="18"/>
      <c r="H10" s="18"/>
      <c r="I10" s="18"/>
      <c r="J10" s="18"/>
    </row>
  </sheetData>
  <mergeCells count="2">
    <mergeCell ref="A1:E1"/>
    <mergeCell ref="F1:J1"/>
  </mergeCells>
  <conditionalFormatting sqref="A7">
    <cfRule type="expression" dxfId="7" priority="4">
      <formula>LEN(A7)=0</formula>
    </cfRule>
  </conditionalFormatting>
  <conditionalFormatting sqref="A8:A10">
    <cfRule type="expression" dxfId="6" priority="3">
      <formula>LEN(A8)=0</formula>
    </cfRule>
  </conditionalFormatting>
  <conditionalFormatting sqref="B7:J7">
    <cfRule type="expression" dxfId="5" priority="2">
      <formula>LEN(B7)=0</formula>
    </cfRule>
  </conditionalFormatting>
  <conditionalFormatting sqref="B8:J10">
    <cfRule type="expression" dxfId="4" priority="1">
      <formula>LEN(B8)=0</formula>
    </cfRule>
  </conditionalFormatting>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F1" workbookViewId="0">
      <selection activeCell="F16" sqref="F16"/>
    </sheetView>
  </sheetViews>
  <sheetFormatPr defaultRowHeight="15" x14ac:dyDescent="0.25"/>
  <cols>
    <col min="1" max="1" width="32.625" bestFit="1" customWidth="1"/>
    <col min="2" max="2" width="90.25" bestFit="1" customWidth="1"/>
    <col min="3" max="3" width="12.875" bestFit="1" customWidth="1"/>
    <col min="4" max="4" width="95.75" bestFit="1" customWidth="1"/>
    <col min="5" max="5" width="90.25" bestFit="1" customWidth="1"/>
    <col min="6" max="6" width="67.875" bestFit="1" customWidth="1"/>
    <col min="7" max="7" width="14.25" bestFit="1" customWidth="1"/>
  </cols>
  <sheetData>
    <row r="1" spans="1:9" ht="18" x14ac:dyDescent="0.25">
      <c r="A1" s="13" t="s">
        <v>927</v>
      </c>
      <c r="B1" t="s">
        <v>928</v>
      </c>
    </row>
    <row r="2" spans="1:9" ht="18" x14ac:dyDescent="0.25">
      <c r="A2" s="13" t="s">
        <v>951</v>
      </c>
      <c r="B2" t="s">
        <v>950</v>
      </c>
    </row>
    <row r="4" spans="1:9" ht="18" x14ac:dyDescent="0.25">
      <c r="A4" s="81" t="s">
        <v>948</v>
      </c>
      <c r="B4" s="81"/>
      <c r="C4" s="81"/>
      <c r="D4" s="13" t="s">
        <v>949</v>
      </c>
    </row>
    <row r="5" spans="1:9" ht="18" x14ac:dyDescent="0.25">
      <c r="A5" s="13" t="s">
        <v>933</v>
      </c>
      <c r="B5" s="13" t="s">
        <v>934</v>
      </c>
      <c r="C5" s="13" t="s">
        <v>947</v>
      </c>
      <c r="D5" s="13" t="s">
        <v>940</v>
      </c>
      <c r="E5" s="13" t="s">
        <v>941</v>
      </c>
      <c r="F5" s="13" t="s">
        <v>943</v>
      </c>
      <c r="G5" s="13" t="s">
        <v>635</v>
      </c>
      <c r="H5" s="13" t="s">
        <v>1076</v>
      </c>
      <c r="I5" s="13"/>
    </row>
    <row r="6" spans="1:9" ht="18" x14ac:dyDescent="0.25">
      <c r="A6" s="13"/>
      <c r="B6" s="13"/>
      <c r="D6" s="41" t="s">
        <v>939</v>
      </c>
      <c r="E6" s="41" t="s">
        <v>942</v>
      </c>
      <c r="F6" s="41" t="s">
        <v>944</v>
      </c>
      <c r="G6" s="41" t="s">
        <v>945</v>
      </c>
      <c r="H6" s="41"/>
      <c r="I6" s="41"/>
    </row>
    <row r="7" spans="1:9" x14ac:dyDescent="0.25">
      <c r="A7" t="s">
        <v>929</v>
      </c>
      <c r="B7" s="40" t="str">
        <f>CONCATENATE(Scripts_Directory_name,"\",A7)</f>
        <v>C:\Users\DAVE\Documents\Visual Studio 2013\Projects\WizardWrx_Libs\DLLServices2\scripts\RedirectionDrills_NONE.lnk</v>
      </c>
      <c r="C7" t="s">
        <v>938</v>
      </c>
      <c r="D7" s="40" t="str">
        <f>CONCATENATE(Scripts_Directory_name,"\",SUBSTITUTE(A7,"RedirectionDrills","StandardHandlesLabDrills"))</f>
        <v>C:\Users\DAVE\Documents\Visual Studio 2013\Projects\WizardWrx_Libs\DLLServices2\scripts\StandardHandlesLabDrills_NONE.lnk</v>
      </c>
      <c r="E7" s="40" t="s">
        <v>946</v>
      </c>
      <c r="F7" s="40" t="str">
        <f>Scripts_Directory_name</f>
        <v>C:\Users\DAVE\Documents\Visual Studio 2013\Projects\WizardWrx_Libs\DLLServices2\scripts</v>
      </c>
      <c r="G7" s="40" t="str">
        <f>C7</f>
        <v>NONE</v>
      </c>
      <c r="H7" t="str">
        <f>CONCATENATE(Shortcut_Maker_Command,CHAR(32),CHAR(34),D$6,D7,CHAR(34),CHAR(32),CHAR(34),E$6,E7,CHAR(34),CHAR(32),CHAR(34),F$6,F7,CHAR(34),CHAR(32),G$6,G7)</f>
        <v>cscript C:\bin\MakeShortcut.vbs "-fC:\Users\DAVE\Documents\Visual Studio 2013\Projects\WizardWrx_Libs\DLLServices2\scripts\StandardHandlesLabDrills_NONE.lnk" "-tC:\Users\DAVE\Documents\Visual Studio 2013\Projects\WizardWrx_Libs\DLLServices2\scripts\StandardHandlesLabDrills.CMD" "-wC:\Users\DAVE\Documents\Visual Studio 2013\Projects\WizardWrx_Libs\DLLServices2\scripts" -aNONE</v>
      </c>
    </row>
    <row r="8" spans="1:9" x14ac:dyDescent="0.25">
      <c r="A8" t="s">
        <v>930</v>
      </c>
      <c r="B8" s="40" t="str">
        <f>CONCATENATE(Scripts_Directory_name,"\",A8)</f>
        <v>C:\Users\DAVE\Documents\Visual Studio 2013\Projects\WizardWrx_Libs\DLLServices2\scripts\RedirectionDrills_STDERR.lnk</v>
      </c>
      <c r="C8" t="s">
        <v>937</v>
      </c>
      <c r="D8" s="40" t="str">
        <f>CONCATENATE(Scripts_Directory_name,"\",SUBSTITUTE(A8,"RedirectionDrills","StandardHandlesLabDrills"))</f>
        <v>C:\Users\DAVE\Documents\Visual Studio 2013\Projects\WizardWrx_Libs\DLLServices2\scripts\StandardHandlesLabDrills_STDERR.lnk</v>
      </c>
      <c r="E8" s="40" t="s">
        <v>946</v>
      </c>
      <c r="F8" s="40" t="str">
        <f>Scripts_Directory_name</f>
        <v>C:\Users\DAVE\Documents\Visual Studio 2013\Projects\WizardWrx_Libs\DLLServices2\scripts</v>
      </c>
      <c r="G8" s="40" t="str">
        <f t="shared" ref="G8:G10" si="0">C8</f>
        <v>ERR</v>
      </c>
      <c r="H8" t="str">
        <f>CONCATENATE(Shortcut_Maker_Command,CHAR(32),CHAR(34),D$6,D8,CHAR(34),CHAR(32),CHAR(34),E$6,E8,CHAR(34),CHAR(32),CHAR(34),F$6,F8,CHAR(34),CHAR(32),G$6,G8)</f>
        <v>cscript C:\bin\MakeShortcut.vbs "-fC:\Users\DAVE\Documents\Visual Studio 2013\Projects\WizardWrx_Libs\DLLServices2\scripts\StandardHandlesLabDrills_STDERR.lnk" "-tC:\Users\DAVE\Documents\Visual Studio 2013\Projects\WizardWrx_Libs\DLLServices2\scripts\StandardHandlesLabDrills.CMD" "-wC:\Users\DAVE\Documents\Visual Studio 2013\Projects\WizardWrx_Libs\DLLServices2\scripts" -aERR</v>
      </c>
    </row>
    <row r="9" spans="1:9" x14ac:dyDescent="0.25">
      <c r="A9" t="s">
        <v>931</v>
      </c>
      <c r="B9" s="40" t="str">
        <f>CONCATENATE(Scripts_Directory_name,"\",A9)</f>
        <v>C:\Users\DAVE\Documents\Visual Studio 2013\Projects\WizardWrx_Libs\DLLServices2\scripts\RedirectionDrills_STDIN.lnk</v>
      </c>
      <c r="C9" t="s">
        <v>936</v>
      </c>
      <c r="D9" s="40" t="str">
        <f>CONCATENATE(Scripts_Directory_name,"\",SUBSTITUTE(A9,"RedirectionDrills","StandardHandlesLabDrills"))</f>
        <v>C:\Users\DAVE\Documents\Visual Studio 2013\Projects\WizardWrx_Libs\DLLServices2\scripts\StandardHandlesLabDrills_STDIN.lnk</v>
      </c>
      <c r="E9" s="40" t="s">
        <v>946</v>
      </c>
      <c r="F9" s="40" t="str">
        <f>Scripts_Directory_name</f>
        <v>C:\Users\DAVE\Documents\Visual Studio 2013\Projects\WizardWrx_Libs\DLLServices2\scripts</v>
      </c>
      <c r="G9" s="40" t="str">
        <f t="shared" si="0"/>
        <v>IN</v>
      </c>
      <c r="H9" t="str">
        <f>CONCATENATE(Shortcut_Maker_Command,CHAR(32),CHAR(34),D$6,D9,CHAR(34),CHAR(32),CHAR(34),E$6,E9,CHAR(34),CHAR(32),CHAR(34),F$6,F9,CHAR(34),CHAR(32),G$6,G9)</f>
        <v>cscript C:\bin\MakeShortcut.vbs "-fC:\Users\DAVE\Documents\Visual Studio 2013\Projects\WizardWrx_Libs\DLLServices2\scripts\StandardHandlesLabDrills_STDIN.lnk" "-tC:\Users\DAVE\Documents\Visual Studio 2013\Projects\WizardWrx_Libs\DLLServices2\scripts\StandardHandlesLabDrills.CMD" "-wC:\Users\DAVE\Documents\Visual Studio 2013\Projects\WizardWrx_Libs\DLLServices2\scripts" -aIN</v>
      </c>
    </row>
    <row r="10" spans="1:9" x14ac:dyDescent="0.25">
      <c r="A10" t="s">
        <v>932</v>
      </c>
      <c r="B10" s="40" t="str">
        <f>CONCATENATE(Scripts_Directory_name,"\",A10)</f>
        <v>C:\Users\DAVE\Documents\Visual Studio 2013\Projects\WizardWrx_Libs\DLLServices2\scripts\RedirectionDrills_STDOUT.lnk</v>
      </c>
      <c r="C10" t="s">
        <v>935</v>
      </c>
      <c r="D10" s="40" t="str">
        <f>CONCATENATE(Scripts_Directory_name,"\",SUBSTITUTE(A10,"RedirectionDrills","StandardHandlesLabDrills"))</f>
        <v>C:\Users\DAVE\Documents\Visual Studio 2013\Projects\WizardWrx_Libs\DLLServices2\scripts\StandardHandlesLabDrills_STDOUT.lnk</v>
      </c>
      <c r="E10" s="40" t="s">
        <v>946</v>
      </c>
      <c r="F10" s="40" t="str">
        <f>Scripts_Directory_name</f>
        <v>C:\Users\DAVE\Documents\Visual Studio 2013\Projects\WizardWrx_Libs\DLLServices2\scripts</v>
      </c>
      <c r="G10" s="40" t="str">
        <f t="shared" si="0"/>
        <v>OUT</v>
      </c>
      <c r="H10" t="str">
        <f>CONCATENATE(Shortcut_Maker_Command,CHAR(32),CHAR(34),D$6,D10,CHAR(34),CHAR(32),CHAR(34),E$6,E10,CHAR(34),CHAR(32),CHAR(34),F$6,F10,CHAR(34),CHAR(32),G$6,G10)</f>
        <v>cscript C:\bin\MakeShortcut.vbs "-fC:\Users\DAVE\Documents\Visual Studio 2013\Projects\WizardWrx_Libs\DLLServices2\scripts\StandardHandlesLabDrills_STDOUT.lnk" "-tC:\Users\DAVE\Documents\Visual Studio 2013\Projects\WizardWrx_Libs\DLLServices2\scripts\StandardHandlesLabDrills.CMD" "-wC:\Users\DAVE\Documents\Visual Studio 2013\Projects\WizardWrx_Libs\DLLServices2\scripts" -aOUT</v>
      </c>
    </row>
  </sheetData>
  <mergeCells count="1">
    <mergeCell ref="A4:C4"/>
  </mergeCells>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
  <sheetViews>
    <sheetView workbookViewId="0">
      <pane xSplit="1" ySplit="2" topLeftCell="F116" activePane="bottomRight" state="frozen"/>
      <selection pane="topRight" activeCell="B1" sqref="B1"/>
      <selection pane="bottomLeft" activeCell="A2" sqref="A2"/>
      <selection pane="bottomRight" activeCell="H131" sqref="H131"/>
    </sheetView>
  </sheetViews>
  <sheetFormatPr defaultRowHeight="15" x14ac:dyDescent="0.25"/>
  <cols>
    <col min="1" max="1" width="7.125" bestFit="1" customWidth="1"/>
    <col min="2" max="3" width="22.25" bestFit="1" customWidth="1"/>
    <col min="4" max="4" width="22.25" customWidth="1"/>
    <col min="5" max="5" width="129.5" bestFit="1" customWidth="1"/>
    <col min="6" max="6" width="18.125" bestFit="1" customWidth="1"/>
    <col min="7" max="7" width="127.375" bestFit="1" customWidth="1"/>
  </cols>
  <sheetData>
    <row r="1" spans="1:8" ht="18" x14ac:dyDescent="0.25">
      <c r="A1" s="13" t="s">
        <v>1072</v>
      </c>
      <c r="G1" s="13" t="s">
        <v>1073</v>
      </c>
    </row>
    <row r="2" spans="1:8" ht="18" x14ac:dyDescent="0.25">
      <c r="A2" s="13" t="s">
        <v>1067</v>
      </c>
      <c r="B2" s="13" t="s">
        <v>1068</v>
      </c>
      <c r="C2" s="13" t="s">
        <v>1069</v>
      </c>
      <c r="D2" s="13" t="s">
        <v>1070</v>
      </c>
      <c r="E2" s="13" t="s">
        <v>478</v>
      </c>
      <c r="F2" s="13" t="s">
        <v>106</v>
      </c>
      <c r="G2" s="13" t="s">
        <v>478</v>
      </c>
      <c r="H2" s="13" t="s">
        <v>106</v>
      </c>
    </row>
    <row r="3" spans="1:8" x14ac:dyDescent="0.25">
      <c r="A3" t="s">
        <v>952</v>
      </c>
      <c r="B3" t="s">
        <v>953</v>
      </c>
      <c r="E3" t="s">
        <v>954</v>
      </c>
      <c r="F3" t="s">
        <v>955</v>
      </c>
    </row>
    <row r="4" spans="1:8" x14ac:dyDescent="0.25">
      <c r="A4" t="s">
        <v>956</v>
      </c>
      <c r="C4" t="s">
        <v>957</v>
      </c>
    </row>
    <row r="5" spans="1:8" x14ac:dyDescent="0.25">
      <c r="B5" t="s">
        <v>958</v>
      </c>
      <c r="E5" t="s">
        <v>959</v>
      </c>
      <c r="F5" t="s">
        <v>960</v>
      </c>
    </row>
    <row r="6" spans="1:8" x14ac:dyDescent="0.25">
      <c r="B6" t="s">
        <v>961</v>
      </c>
      <c r="E6" t="s">
        <v>959</v>
      </c>
      <c r="F6" t="s">
        <v>960</v>
      </c>
    </row>
    <row r="7" spans="1:8" x14ac:dyDescent="0.25">
      <c r="B7" t="s">
        <v>962</v>
      </c>
      <c r="E7" t="s">
        <v>963</v>
      </c>
      <c r="F7" t="s">
        <v>960</v>
      </c>
    </row>
    <row r="8" spans="1:8" x14ac:dyDescent="0.25">
      <c r="B8" t="s">
        <v>964</v>
      </c>
      <c r="E8" t="s">
        <v>963</v>
      </c>
      <c r="F8" t="s">
        <v>960</v>
      </c>
    </row>
    <row r="9" spans="1:8" x14ac:dyDescent="0.25">
      <c r="B9" t="s">
        <v>965</v>
      </c>
      <c r="E9" t="s">
        <v>966</v>
      </c>
      <c r="F9" t="s">
        <v>960</v>
      </c>
    </row>
    <row r="10" spans="1:8" x14ac:dyDescent="0.25">
      <c r="B10" t="s">
        <v>967</v>
      </c>
      <c r="E10" t="s">
        <v>966</v>
      </c>
      <c r="F10" t="s">
        <v>960</v>
      </c>
    </row>
    <row r="11" spans="1:8" x14ac:dyDescent="0.25">
      <c r="A11" t="s">
        <v>952</v>
      </c>
      <c r="B11" t="s">
        <v>926</v>
      </c>
      <c r="E11" t="s">
        <v>954</v>
      </c>
      <c r="F11" t="s">
        <v>968</v>
      </c>
    </row>
    <row r="12" spans="1:8" x14ac:dyDescent="0.25">
      <c r="A12" t="s">
        <v>952</v>
      </c>
      <c r="C12">
        <v>0</v>
      </c>
      <c r="E12" t="s">
        <v>954</v>
      </c>
      <c r="F12" t="s">
        <v>968</v>
      </c>
    </row>
    <row r="13" spans="1:8" x14ac:dyDescent="0.25">
      <c r="D13">
        <v>0</v>
      </c>
      <c r="E13" t="s">
        <v>969</v>
      </c>
      <c r="F13" t="s">
        <v>970</v>
      </c>
    </row>
    <row r="14" spans="1:8" x14ac:dyDescent="0.25">
      <c r="D14">
        <v>1</v>
      </c>
      <c r="E14" t="s">
        <v>971</v>
      </c>
      <c r="F14" t="s">
        <v>970</v>
      </c>
    </row>
    <row r="15" spans="1:8" x14ac:dyDescent="0.25">
      <c r="D15">
        <v>2</v>
      </c>
      <c r="E15" t="s">
        <v>966</v>
      </c>
      <c r="F15" t="s">
        <v>960</v>
      </c>
    </row>
    <row r="16" spans="1:8" x14ac:dyDescent="0.25">
      <c r="D16">
        <v>3</v>
      </c>
      <c r="F16" t="s">
        <v>970</v>
      </c>
    </row>
    <row r="17" spans="1:6" x14ac:dyDescent="0.25">
      <c r="A17" t="s">
        <v>952</v>
      </c>
      <c r="C17">
        <v>1</v>
      </c>
      <c r="E17" t="s">
        <v>954</v>
      </c>
      <c r="F17" t="s">
        <v>968</v>
      </c>
    </row>
    <row r="18" spans="1:6" x14ac:dyDescent="0.25">
      <c r="D18">
        <v>0</v>
      </c>
      <c r="E18" t="s">
        <v>972</v>
      </c>
      <c r="F18" t="s">
        <v>970</v>
      </c>
    </row>
    <row r="19" spans="1:6" x14ac:dyDescent="0.25">
      <c r="D19">
        <v>1</v>
      </c>
      <c r="E19" t="s">
        <v>973</v>
      </c>
      <c r="F19" t="s">
        <v>970</v>
      </c>
    </row>
    <row r="20" spans="1:6" x14ac:dyDescent="0.25">
      <c r="D20">
        <v>2</v>
      </c>
      <c r="E20" t="s">
        <v>974</v>
      </c>
      <c r="F20" t="s">
        <v>960</v>
      </c>
    </row>
    <row r="21" spans="1:6" x14ac:dyDescent="0.25">
      <c r="D21">
        <v>3</v>
      </c>
      <c r="F21" t="s">
        <v>970</v>
      </c>
    </row>
    <row r="22" spans="1:6" x14ac:dyDescent="0.25">
      <c r="A22" t="s">
        <v>952</v>
      </c>
      <c r="C22">
        <v>2</v>
      </c>
      <c r="E22" t="s">
        <v>954</v>
      </c>
      <c r="F22" t="s">
        <v>968</v>
      </c>
    </row>
    <row r="23" spans="1:6" x14ac:dyDescent="0.25">
      <c r="D23">
        <v>0</v>
      </c>
      <c r="E23" t="s">
        <v>975</v>
      </c>
      <c r="F23" t="s">
        <v>970</v>
      </c>
    </row>
    <row r="24" spans="1:6" x14ac:dyDescent="0.25">
      <c r="D24">
        <v>1</v>
      </c>
      <c r="E24" t="s">
        <v>976</v>
      </c>
      <c r="F24" t="s">
        <v>970</v>
      </c>
    </row>
    <row r="25" spans="1:6" x14ac:dyDescent="0.25">
      <c r="D25">
        <v>2</v>
      </c>
      <c r="E25" t="s">
        <v>977</v>
      </c>
      <c r="F25" t="s">
        <v>960</v>
      </c>
    </row>
    <row r="26" spans="1:6" x14ac:dyDescent="0.25">
      <c r="D26">
        <v>3</v>
      </c>
      <c r="F26" t="s">
        <v>970</v>
      </c>
    </row>
    <row r="27" spans="1:6" x14ac:dyDescent="0.25">
      <c r="A27" t="s">
        <v>952</v>
      </c>
      <c r="C27">
        <v>3</v>
      </c>
      <c r="E27" t="s">
        <v>954</v>
      </c>
      <c r="F27" t="s">
        <v>968</v>
      </c>
    </row>
    <row r="28" spans="1:6" x14ac:dyDescent="0.25">
      <c r="D28">
        <v>0</v>
      </c>
      <c r="E28" t="s">
        <v>978</v>
      </c>
      <c r="F28" t="s">
        <v>970</v>
      </c>
    </row>
    <row r="29" spans="1:6" x14ac:dyDescent="0.25">
      <c r="D29">
        <v>1</v>
      </c>
      <c r="E29" t="s">
        <v>979</v>
      </c>
      <c r="F29" t="s">
        <v>970</v>
      </c>
    </row>
    <row r="30" spans="1:6" x14ac:dyDescent="0.25">
      <c r="D30">
        <v>2</v>
      </c>
      <c r="E30" t="s">
        <v>980</v>
      </c>
      <c r="F30" t="s">
        <v>960</v>
      </c>
    </row>
    <row r="31" spans="1:6" x14ac:dyDescent="0.25">
      <c r="D31">
        <v>3</v>
      </c>
      <c r="F31" t="s">
        <v>970</v>
      </c>
    </row>
    <row r="32" spans="1:6" x14ac:dyDescent="0.25">
      <c r="C32" t="s">
        <v>981</v>
      </c>
      <c r="E32" t="s">
        <v>982</v>
      </c>
      <c r="F32" t="s">
        <v>970</v>
      </c>
    </row>
    <row r="33" spans="3:6" x14ac:dyDescent="0.25">
      <c r="C33" t="s">
        <v>983</v>
      </c>
      <c r="E33" t="b">
        <v>0</v>
      </c>
      <c r="F33" t="s">
        <v>984</v>
      </c>
    </row>
    <row r="34" spans="3:6" x14ac:dyDescent="0.25">
      <c r="C34" t="s">
        <v>985</v>
      </c>
      <c r="E34" t="s">
        <v>959</v>
      </c>
      <c r="F34" t="s">
        <v>960</v>
      </c>
    </row>
    <row r="35" spans="3:6" x14ac:dyDescent="0.25">
      <c r="C35" t="s">
        <v>986</v>
      </c>
      <c r="E35" t="s">
        <v>966</v>
      </c>
      <c r="F35" t="s">
        <v>960</v>
      </c>
    </row>
    <row r="36" spans="3:6" x14ac:dyDescent="0.25">
      <c r="C36" t="s">
        <v>987</v>
      </c>
      <c r="E36" t="s">
        <v>974</v>
      </c>
      <c r="F36" t="s">
        <v>960</v>
      </c>
    </row>
    <row r="37" spans="3:6" x14ac:dyDescent="0.25">
      <c r="C37" t="s">
        <v>988</v>
      </c>
      <c r="E37" t="s">
        <v>959</v>
      </c>
      <c r="F37" t="s">
        <v>960</v>
      </c>
    </row>
    <row r="38" spans="3:6" x14ac:dyDescent="0.25">
      <c r="C38" t="s">
        <v>923</v>
      </c>
      <c r="E38" t="s">
        <v>989</v>
      </c>
      <c r="F38" t="s">
        <v>960</v>
      </c>
    </row>
    <row r="39" spans="3:6" x14ac:dyDescent="0.25">
      <c r="C39" t="s">
        <v>990</v>
      </c>
      <c r="E39" t="s">
        <v>959</v>
      </c>
      <c r="F39" t="s">
        <v>960</v>
      </c>
    </row>
    <row r="40" spans="3:6" x14ac:dyDescent="0.25">
      <c r="C40" t="s">
        <v>922</v>
      </c>
      <c r="E40" t="s">
        <v>991</v>
      </c>
      <c r="F40" t="s">
        <v>960</v>
      </c>
    </row>
    <row r="41" spans="3:6" x14ac:dyDescent="0.25">
      <c r="C41" t="s">
        <v>992</v>
      </c>
      <c r="E41" t="s">
        <v>980</v>
      </c>
      <c r="F41" t="s">
        <v>960</v>
      </c>
    </row>
    <row r="42" spans="3:6" x14ac:dyDescent="0.25">
      <c r="C42" t="s">
        <v>993</v>
      </c>
      <c r="E42" t="s">
        <v>966</v>
      </c>
      <c r="F42" t="s">
        <v>960</v>
      </c>
    </row>
    <row r="43" spans="3:6" x14ac:dyDescent="0.25">
      <c r="C43" t="s">
        <v>994</v>
      </c>
      <c r="E43" t="s">
        <v>974</v>
      </c>
      <c r="F43" t="s">
        <v>960</v>
      </c>
    </row>
    <row r="44" spans="3:6" x14ac:dyDescent="0.25">
      <c r="C44" t="s">
        <v>995</v>
      </c>
      <c r="E44" t="s">
        <v>977</v>
      </c>
      <c r="F44" t="s">
        <v>960</v>
      </c>
    </row>
    <row r="45" spans="3:6" x14ac:dyDescent="0.25">
      <c r="C45" t="s">
        <v>996</v>
      </c>
      <c r="E45" t="s">
        <v>959</v>
      </c>
      <c r="F45" t="s">
        <v>960</v>
      </c>
    </row>
    <row r="46" spans="3:6" x14ac:dyDescent="0.25">
      <c r="C46" t="s">
        <v>997</v>
      </c>
      <c r="E46" t="s">
        <v>959</v>
      </c>
      <c r="F46" t="s">
        <v>998</v>
      </c>
    </row>
    <row r="47" spans="3:6" x14ac:dyDescent="0.25">
      <c r="C47" t="s">
        <v>999</v>
      </c>
      <c r="E47" t="s">
        <v>991</v>
      </c>
      <c r="F47" t="s">
        <v>998</v>
      </c>
    </row>
    <row r="48" spans="3:6" x14ac:dyDescent="0.25">
      <c r="C48" t="s">
        <v>1000</v>
      </c>
      <c r="E48" t="s">
        <v>959</v>
      </c>
      <c r="F48" t="s">
        <v>960</v>
      </c>
    </row>
    <row r="49" spans="1:6" x14ac:dyDescent="0.25">
      <c r="C49" t="s">
        <v>1001</v>
      </c>
      <c r="E49" t="s">
        <v>1002</v>
      </c>
      <c r="F49" t="s">
        <v>1003</v>
      </c>
    </row>
    <row r="50" spans="1:6" x14ac:dyDescent="0.25">
      <c r="C50" t="s">
        <v>1004</v>
      </c>
      <c r="E50" t="s">
        <v>959</v>
      </c>
      <c r="F50" t="s">
        <v>960</v>
      </c>
    </row>
    <row r="51" spans="1:6" x14ac:dyDescent="0.25">
      <c r="C51" t="s">
        <v>1005</v>
      </c>
      <c r="E51" t="s">
        <v>959</v>
      </c>
      <c r="F51" t="s">
        <v>960</v>
      </c>
    </row>
    <row r="52" spans="1:6" x14ac:dyDescent="0.25">
      <c r="C52" t="s">
        <v>1006</v>
      </c>
      <c r="E52" t="s">
        <v>959</v>
      </c>
      <c r="F52" t="s">
        <v>960</v>
      </c>
    </row>
    <row r="53" spans="1:6" x14ac:dyDescent="0.25">
      <c r="C53" t="s">
        <v>1007</v>
      </c>
      <c r="E53" t="s">
        <v>963</v>
      </c>
      <c r="F53" t="s">
        <v>960</v>
      </c>
    </row>
    <row r="54" spans="1:6" x14ac:dyDescent="0.25">
      <c r="A54" t="s">
        <v>956</v>
      </c>
      <c r="C54" t="s">
        <v>1008</v>
      </c>
      <c r="E54" t="s">
        <v>954</v>
      </c>
      <c r="F54" t="s">
        <v>955</v>
      </c>
    </row>
    <row r="55" spans="1:6" x14ac:dyDescent="0.25">
      <c r="C55" t="s">
        <v>1009</v>
      </c>
      <c r="E55" t="s">
        <v>1002</v>
      </c>
      <c r="F55" t="s">
        <v>1003</v>
      </c>
    </row>
    <row r="56" spans="1:6" x14ac:dyDescent="0.25">
      <c r="C56" t="s">
        <v>1010</v>
      </c>
      <c r="E56" t="s">
        <v>1002</v>
      </c>
      <c r="F56" t="s">
        <v>1003</v>
      </c>
    </row>
    <row r="57" spans="1:6" x14ac:dyDescent="0.25">
      <c r="C57" t="s">
        <v>1011</v>
      </c>
      <c r="E57" t="s">
        <v>966</v>
      </c>
      <c r="F57" t="s">
        <v>960</v>
      </c>
    </row>
    <row r="58" spans="1:6" x14ac:dyDescent="0.25">
      <c r="C58" t="s">
        <v>1012</v>
      </c>
      <c r="E58">
        <v>1</v>
      </c>
      <c r="F58" t="s">
        <v>970</v>
      </c>
    </row>
    <row r="59" spans="1:6" x14ac:dyDescent="0.25">
      <c r="C59" t="s">
        <v>1013</v>
      </c>
      <c r="E59" t="s">
        <v>1002</v>
      </c>
      <c r="F59" t="s">
        <v>1003</v>
      </c>
    </row>
    <row r="60" spans="1:6" x14ac:dyDescent="0.25">
      <c r="C60" t="s">
        <v>1014</v>
      </c>
      <c r="E60" t="s">
        <v>966</v>
      </c>
      <c r="F60" t="s">
        <v>960</v>
      </c>
    </row>
    <row r="61" spans="1:6" x14ac:dyDescent="0.25">
      <c r="C61" t="s">
        <v>1015</v>
      </c>
      <c r="E61" t="s">
        <v>959</v>
      </c>
      <c r="F61" t="s">
        <v>960</v>
      </c>
    </row>
    <row r="62" spans="1:6" x14ac:dyDescent="0.25">
      <c r="C62" t="s">
        <v>1016</v>
      </c>
      <c r="E62" t="s">
        <v>974</v>
      </c>
      <c r="F62" t="s">
        <v>960</v>
      </c>
    </row>
    <row r="63" spans="1:6" x14ac:dyDescent="0.25">
      <c r="C63" t="s">
        <v>1017</v>
      </c>
      <c r="E63" t="s">
        <v>991</v>
      </c>
      <c r="F63" t="s">
        <v>960</v>
      </c>
    </row>
    <row r="64" spans="1:6" x14ac:dyDescent="0.25">
      <c r="C64" t="s">
        <v>1018</v>
      </c>
      <c r="E64" t="s">
        <v>978</v>
      </c>
      <c r="F64" t="s">
        <v>970</v>
      </c>
    </row>
    <row r="65" spans="1:6" x14ac:dyDescent="0.25">
      <c r="C65" t="s">
        <v>1019</v>
      </c>
      <c r="E65" t="s">
        <v>969</v>
      </c>
      <c r="F65" t="s">
        <v>970</v>
      </c>
    </row>
    <row r="66" spans="1:6" x14ac:dyDescent="0.25">
      <c r="C66" t="s">
        <v>1020</v>
      </c>
      <c r="E66" t="s">
        <v>972</v>
      </c>
      <c r="F66" t="s">
        <v>970</v>
      </c>
    </row>
    <row r="67" spans="1:6" x14ac:dyDescent="0.25">
      <c r="C67" t="s">
        <v>1021</v>
      </c>
      <c r="E67" t="s">
        <v>975</v>
      </c>
      <c r="F67" t="s">
        <v>970</v>
      </c>
    </row>
    <row r="68" spans="1:6" x14ac:dyDescent="0.25">
      <c r="C68" t="s">
        <v>1022</v>
      </c>
      <c r="E68" t="s">
        <v>979</v>
      </c>
      <c r="F68" t="s">
        <v>970</v>
      </c>
    </row>
    <row r="69" spans="1:6" x14ac:dyDescent="0.25">
      <c r="C69" t="s">
        <v>1023</v>
      </c>
      <c r="E69" t="s">
        <v>971</v>
      </c>
      <c r="F69" t="s">
        <v>970</v>
      </c>
    </row>
    <row r="70" spans="1:6" x14ac:dyDescent="0.25">
      <c r="C70" t="s">
        <v>1024</v>
      </c>
      <c r="E70" t="s">
        <v>973</v>
      </c>
      <c r="F70" t="s">
        <v>970</v>
      </c>
    </row>
    <row r="71" spans="1:6" x14ac:dyDescent="0.25">
      <c r="C71" t="s">
        <v>1025</v>
      </c>
      <c r="E71" t="s">
        <v>976</v>
      </c>
      <c r="F71" t="s">
        <v>970</v>
      </c>
    </row>
    <row r="72" spans="1:6" x14ac:dyDescent="0.25">
      <c r="C72" t="s">
        <v>1026</v>
      </c>
      <c r="E72" t="s">
        <v>991</v>
      </c>
      <c r="F72" t="s">
        <v>960</v>
      </c>
    </row>
    <row r="73" spans="1:6" x14ac:dyDescent="0.25">
      <c r="C73" t="s">
        <v>1027</v>
      </c>
      <c r="E73" t="s">
        <v>959</v>
      </c>
      <c r="F73" t="s">
        <v>960</v>
      </c>
    </row>
    <row r="74" spans="1:6" x14ac:dyDescent="0.25">
      <c r="C74" t="s">
        <v>1028</v>
      </c>
      <c r="E74" t="s">
        <v>966</v>
      </c>
      <c r="F74" t="s">
        <v>960</v>
      </c>
    </row>
    <row r="75" spans="1:6" x14ac:dyDescent="0.25">
      <c r="C75" t="s">
        <v>1029</v>
      </c>
      <c r="E75" t="s">
        <v>974</v>
      </c>
      <c r="F75" t="s">
        <v>960</v>
      </c>
    </row>
    <row r="76" spans="1:6" x14ac:dyDescent="0.25">
      <c r="C76" t="s">
        <v>1030</v>
      </c>
      <c r="E76" t="s">
        <v>991</v>
      </c>
      <c r="F76" t="s">
        <v>960</v>
      </c>
    </row>
    <row r="77" spans="1:6" x14ac:dyDescent="0.25">
      <c r="C77" t="s">
        <v>1031</v>
      </c>
      <c r="E77" t="s">
        <v>974</v>
      </c>
      <c r="F77" t="s">
        <v>960</v>
      </c>
    </row>
    <row r="78" spans="1:6" x14ac:dyDescent="0.25">
      <c r="C78" t="s">
        <v>1032</v>
      </c>
      <c r="E78" t="s">
        <v>966</v>
      </c>
      <c r="F78" t="s">
        <v>960</v>
      </c>
    </row>
    <row r="79" spans="1:6" x14ac:dyDescent="0.25">
      <c r="A79" t="s">
        <v>952</v>
      </c>
      <c r="C79" t="s">
        <v>1033</v>
      </c>
      <c r="E79" t="s">
        <v>954</v>
      </c>
      <c r="F79" t="s">
        <v>955</v>
      </c>
    </row>
    <row r="80" spans="1:6" x14ac:dyDescent="0.25">
      <c r="A80" t="s">
        <v>956</v>
      </c>
      <c r="C80" t="s">
        <v>957</v>
      </c>
    </row>
    <row r="81" spans="1:6" x14ac:dyDescent="0.25">
      <c r="A81" t="s">
        <v>956</v>
      </c>
      <c r="C81" t="s">
        <v>5</v>
      </c>
      <c r="E81" t="s">
        <v>954</v>
      </c>
      <c r="F81" t="s">
        <v>955</v>
      </c>
    </row>
    <row r="82" spans="1:6" x14ac:dyDescent="0.25">
      <c r="A82" t="s">
        <v>952</v>
      </c>
      <c r="C82" t="s">
        <v>635</v>
      </c>
      <c r="E82" t="s">
        <v>954</v>
      </c>
      <c r="F82" t="s">
        <v>955</v>
      </c>
    </row>
    <row r="83" spans="1:6" x14ac:dyDescent="0.25">
      <c r="A83" t="s">
        <v>956</v>
      </c>
      <c r="C83" t="s">
        <v>957</v>
      </c>
    </row>
    <row r="84" spans="1:6" x14ac:dyDescent="0.25">
      <c r="C84" t="s">
        <v>1034</v>
      </c>
      <c r="E84" t="s">
        <v>977</v>
      </c>
      <c r="F84" t="s">
        <v>998</v>
      </c>
    </row>
    <row r="85" spans="1:6" x14ac:dyDescent="0.25">
      <c r="A85" t="s">
        <v>956</v>
      </c>
      <c r="C85" t="s">
        <v>1035</v>
      </c>
      <c r="E85" t="s">
        <v>954</v>
      </c>
      <c r="F85" t="s">
        <v>955</v>
      </c>
    </row>
    <row r="86" spans="1:6" x14ac:dyDescent="0.25">
      <c r="A86" t="s">
        <v>956</v>
      </c>
      <c r="C86" t="s">
        <v>1036</v>
      </c>
      <c r="E86" t="s">
        <v>954</v>
      </c>
      <c r="F86" t="s">
        <v>955</v>
      </c>
    </row>
    <row r="87" spans="1:6" x14ac:dyDescent="0.25">
      <c r="C87" t="s">
        <v>1037</v>
      </c>
      <c r="E87" t="s">
        <v>1038</v>
      </c>
      <c r="F87" t="s">
        <v>998</v>
      </c>
    </row>
    <row r="88" spans="1:6" x14ac:dyDescent="0.25">
      <c r="C88" t="s">
        <v>1039</v>
      </c>
      <c r="E88" t="s">
        <v>1040</v>
      </c>
      <c r="F88" t="s">
        <v>970</v>
      </c>
    </row>
    <row r="89" spans="1:6" x14ac:dyDescent="0.25">
      <c r="C89" t="s">
        <v>1041</v>
      </c>
      <c r="E89" t="b">
        <v>1</v>
      </c>
      <c r="F89" t="s">
        <v>984</v>
      </c>
    </row>
    <row r="90" spans="1:6" x14ac:dyDescent="0.25">
      <c r="C90" t="s">
        <v>476</v>
      </c>
      <c r="E90" t="s">
        <v>1042</v>
      </c>
      <c r="F90" t="s">
        <v>970</v>
      </c>
    </row>
    <row r="91" spans="1:6" x14ac:dyDescent="0.25">
      <c r="C91" t="s">
        <v>1043</v>
      </c>
      <c r="E91" t="s">
        <v>1044</v>
      </c>
      <c r="F91" t="s">
        <v>970</v>
      </c>
    </row>
    <row r="92" spans="1:6" x14ac:dyDescent="0.25">
      <c r="C92" t="s">
        <v>1045</v>
      </c>
      <c r="E92" t="s">
        <v>1046</v>
      </c>
      <c r="F92" t="s">
        <v>970</v>
      </c>
    </row>
    <row r="93" spans="1:6" x14ac:dyDescent="0.25">
      <c r="C93" t="s">
        <v>1047</v>
      </c>
      <c r="E93" t="s">
        <v>1048</v>
      </c>
      <c r="F93" t="s">
        <v>970</v>
      </c>
    </row>
    <row r="94" spans="1:6" x14ac:dyDescent="0.25">
      <c r="A94" t="s">
        <v>956</v>
      </c>
      <c r="C94" t="s">
        <v>1049</v>
      </c>
      <c r="E94" t="s">
        <v>954</v>
      </c>
      <c r="F94" t="s">
        <v>1050</v>
      </c>
    </row>
    <row r="95" spans="1:6" x14ac:dyDescent="0.25">
      <c r="A95" t="s">
        <v>956</v>
      </c>
      <c r="C95" t="s">
        <v>1051</v>
      </c>
      <c r="E95" t="s">
        <v>954</v>
      </c>
      <c r="F95" t="s">
        <v>1050</v>
      </c>
    </row>
    <row r="96" spans="1:6" x14ac:dyDescent="0.25">
      <c r="A96" t="s">
        <v>956</v>
      </c>
      <c r="C96" t="s">
        <v>1052</v>
      </c>
      <c r="E96" t="s">
        <v>954</v>
      </c>
      <c r="F96" t="s">
        <v>1050</v>
      </c>
    </row>
    <row r="97" spans="1:6" x14ac:dyDescent="0.25">
      <c r="C97" t="s">
        <v>1053</v>
      </c>
      <c r="E97" t="s">
        <v>959</v>
      </c>
      <c r="F97" t="s">
        <v>998</v>
      </c>
    </row>
    <row r="98" spans="1:6" x14ac:dyDescent="0.25">
      <c r="C98" t="s">
        <v>1054</v>
      </c>
      <c r="E98">
        <v>5.8</v>
      </c>
      <c r="F98" t="s">
        <v>970</v>
      </c>
    </row>
    <row r="99" spans="1:6" x14ac:dyDescent="0.25">
      <c r="C99" t="s">
        <v>1055</v>
      </c>
      <c r="E99" t="s">
        <v>1056</v>
      </c>
      <c r="F99" t="s">
        <v>960</v>
      </c>
    </row>
    <row r="100" spans="1:6" x14ac:dyDescent="0.25">
      <c r="A100" t="s">
        <v>956</v>
      </c>
      <c r="C100" t="s">
        <v>1057</v>
      </c>
      <c r="E100" t="s">
        <v>954</v>
      </c>
      <c r="F100" t="s">
        <v>955</v>
      </c>
    </row>
    <row r="101" spans="1:6" x14ac:dyDescent="0.25">
      <c r="C101" t="s">
        <v>1058</v>
      </c>
      <c r="E101" t="s">
        <v>1002</v>
      </c>
      <c r="F101" t="s">
        <v>1003</v>
      </c>
    </row>
    <row r="102" spans="1:6" x14ac:dyDescent="0.25">
      <c r="C102" t="s">
        <v>1059</v>
      </c>
      <c r="E102" t="s">
        <v>1002</v>
      </c>
      <c r="F102" t="s">
        <v>1003</v>
      </c>
    </row>
    <row r="103" spans="1:6" x14ac:dyDescent="0.25">
      <c r="C103" t="s">
        <v>1060</v>
      </c>
      <c r="E103" t="s">
        <v>1002</v>
      </c>
      <c r="F103" t="s">
        <v>1003</v>
      </c>
    </row>
    <row r="104" spans="1:6" x14ac:dyDescent="0.25">
      <c r="C104" t="s">
        <v>1061</v>
      </c>
      <c r="E104" t="s">
        <v>1002</v>
      </c>
      <c r="F104" t="s">
        <v>1003</v>
      </c>
    </row>
    <row r="105" spans="1:6" x14ac:dyDescent="0.25">
      <c r="C105" t="s">
        <v>1062</v>
      </c>
      <c r="E105" t="s">
        <v>1002</v>
      </c>
      <c r="F105" t="s">
        <v>1003</v>
      </c>
    </row>
    <row r="106" spans="1:6" x14ac:dyDescent="0.25">
      <c r="C106" t="s">
        <v>1063</v>
      </c>
      <c r="E106" t="s">
        <v>1002</v>
      </c>
      <c r="F106" t="s">
        <v>1003</v>
      </c>
    </row>
    <row r="107" spans="1:6" x14ac:dyDescent="0.25">
      <c r="C107" t="s">
        <v>1064</v>
      </c>
      <c r="E107" t="s">
        <v>1002</v>
      </c>
      <c r="F107" t="s">
        <v>1003</v>
      </c>
    </row>
    <row r="108" spans="1:6" x14ac:dyDescent="0.25">
      <c r="C108" t="s">
        <v>1065</v>
      </c>
      <c r="E108" t="s">
        <v>959</v>
      </c>
      <c r="F108" t="s">
        <v>960</v>
      </c>
    </row>
    <row r="109" spans="1:6" x14ac:dyDescent="0.25">
      <c r="A109" t="s">
        <v>952</v>
      </c>
      <c r="C109" t="s">
        <v>1066</v>
      </c>
      <c r="E109" t="s">
        <v>954</v>
      </c>
      <c r="F109" t="s">
        <v>968</v>
      </c>
    </row>
    <row r="110" spans="1:6" x14ac:dyDescent="0.25">
      <c r="A110" t="s">
        <v>952</v>
      </c>
      <c r="C110">
        <v>0</v>
      </c>
      <c r="E110" t="s">
        <v>954</v>
      </c>
      <c r="F110" t="s">
        <v>968</v>
      </c>
    </row>
    <row r="111" spans="1:6" x14ac:dyDescent="0.25">
      <c r="C111">
        <v>0</v>
      </c>
      <c r="E111" t="s">
        <v>969</v>
      </c>
      <c r="F111" t="s">
        <v>970</v>
      </c>
    </row>
    <row r="112" spans="1:6" x14ac:dyDescent="0.25">
      <c r="D112">
        <v>0</v>
      </c>
      <c r="E112" t="s">
        <v>971</v>
      </c>
      <c r="F112" t="s">
        <v>970</v>
      </c>
    </row>
    <row r="113" spans="1:11" x14ac:dyDescent="0.25">
      <c r="D113">
        <v>1</v>
      </c>
      <c r="E113" t="s">
        <v>966</v>
      </c>
      <c r="F113" t="s">
        <v>960</v>
      </c>
    </row>
    <row r="114" spans="1:11" x14ac:dyDescent="0.25">
      <c r="D114">
        <v>2</v>
      </c>
      <c r="F114" t="s">
        <v>970</v>
      </c>
    </row>
    <row r="115" spans="1:11" x14ac:dyDescent="0.25">
      <c r="A115" t="s">
        <v>952</v>
      </c>
      <c r="D115">
        <v>3</v>
      </c>
      <c r="E115" t="s">
        <v>954</v>
      </c>
      <c r="F115" t="s">
        <v>968</v>
      </c>
      <c r="G115" t="s">
        <v>1071</v>
      </c>
      <c r="H115" t="s">
        <v>970</v>
      </c>
      <c r="K115" t="s">
        <v>970</v>
      </c>
    </row>
    <row r="116" spans="1:11" x14ac:dyDescent="0.25">
      <c r="C116">
        <v>1</v>
      </c>
      <c r="E116" t="s">
        <v>972</v>
      </c>
      <c r="F116" t="s">
        <v>970</v>
      </c>
    </row>
    <row r="117" spans="1:11" x14ac:dyDescent="0.25">
      <c r="D117">
        <v>0</v>
      </c>
      <c r="E117" t="s">
        <v>973</v>
      </c>
      <c r="F117" t="s">
        <v>970</v>
      </c>
    </row>
    <row r="118" spans="1:11" x14ac:dyDescent="0.25">
      <c r="D118">
        <v>1</v>
      </c>
      <c r="E118" t="s">
        <v>974</v>
      </c>
      <c r="F118" t="s">
        <v>960</v>
      </c>
    </row>
    <row r="119" spans="1:11" x14ac:dyDescent="0.25">
      <c r="D119">
        <v>2</v>
      </c>
      <c r="F119" t="s">
        <v>970</v>
      </c>
    </row>
    <row r="120" spans="1:11" x14ac:dyDescent="0.25">
      <c r="A120" t="s">
        <v>952</v>
      </c>
      <c r="D120">
        <v>3</v>
      </c>
      <c r="E120" t="s">
        <v>954</v>
      </c>
      <c r="F120" t="s">
        <v>968</v>
      </c>
      <c r="G120" t="s">
        <v>1074</v>
      </c>
      <c r="H120" t="s">
        <v>970</v>
      </c>
    </row>
    <row r="121" spans="1:11" x14ac:dyDescent="0.25">
      <c r="C121">
        <v>2</v>
      </c>
      <c r="E121" t="s">
        <v>975</v>
      </c>
      <c r="F121" t="s">
        <v>970</v>
      </c>
    </row>
    <row r="122" spans="1:11" x14ac:dyDescent="0.25">
      <c r="D122">
        <v>0</v>
      </c>
      <c r="E122" t="s">
        <v>976</v>
      </c>
      <c r="F122" t="s">
        <v>970</v>
      </c>
    </row>
    <row r="123" spans="1:11" x14ac:dyDescent="0.25">
      <c r="D123">
        <v>1</v>
      </c>
      <c r="E123" t="s">
        <v>977</v>
      </c>
      <c r="F123" t="s">
        <v>960</v>
      </c>
    </row>
    <row r="124" spans="1:11" x14ac:dyDescent="0.25">
      <c r="D124">
        <v>2</v>
      </c>
      <c r="F124" t="s">
        <v>970</v>
      </c>
    </row>
    <row r="125" spans="1:11" x14ac:dyDescent="0.25">
      <c r="A125" t="s">
        <v>952</v>
      </c>
      <c r="D125">
        <v>3</v>
      </c>
      <c r="E125" t="s">
        <v>954</v>
      </c>
      <c r="F125" t="s">
        <v>968</v>
      </c>
      <c r="G125" t="s">
        <v>1075</v>
      </c>
      <c r="H125" t="s">
        <v>970</v>
      </c>
    </row>
    <row r="126" spans="1:11" x14ac:dyDescent="0.25">
      <c r="C126">
        <v>3</v>
      </c>
      <c r="E126" t="s">
        <v>978</v>
      </c>
      <c r="F126" t="s">
        <v>970</v>
      </c>
    </row>
    <row r="127" spans="1:11" x14ac:dyDescent="0.25">
      <c r="D127">
        <v>0</v>
      </c>
      <c r="E127" t="s">
        <v>979</v>
      </c>
      <c r="F127" t="s">
        <v>970</v>
      </c>
    </row>
    <row r="128" spans="1:11" x14ac:dyDescent="0.25">
      <c r="D128">
        <v>1</v>
      </c>
      <c r="E128" t="s">
        <v>980</v>
      </c>
      <c r="F128" t="s">
        <v>960</v>
      </c>
    </row>
    <row r="129" spans="4:8" x14ac:dyDescent="0.25">
      <c r="D129">
        <v>2</v>
      </c>
      <c r="F129" t="s">
        <v>970</v>
      </c>
    </row>
    <row r="130" spans="4:8" x14ac:dyDescent="0.25">
      <c r="D130">
        <v>3</v>
      </c>
      <c r="F130" t="s">
        <v>970</v>
      </c>
      <c r="G130" t="s">
        <v>938</v>
      </c>
      <c r="H130" t="s">
        <v>970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election activeCell="E1" sqref="E1"/>
    </sheetView>
  </sheetViews>
  <sheetFormatPr defaultRowHeight="15" x14ac:dyDescent="0.25"/>
  <cols>
    <col min="1" max="1" width="75.875" bestFit="1" customWidth="1"/>
    <col min="2" max="3" width="28.375" bestFit="1" customWidth="1"/>
  </cols>
  <sheetData>
    <row r="1" spans="1:5" ht="18" x14ac:dyDescent="0.25">
      <c r="A1" s="42" t="s">
        <v>1134</v>
      </c>
      <c r="B1" s="42" t="s">
        <v>1135</v>
      </c>
      <c r="C1" s="42" t="s">
        <v>1136</v>
      </c>
      <c r="D1" s="42" t="s">
        <v>1137</v>
      </c>
      <c r="E1" s="42" t="s">
        <v>478</v>
      </c>
    </row>
    <row r="2" spans="1:5" x14ac:dyDescent="0.25">
      <c r="A2" s="26" t="s">
        <v>1132</v>
      </c>
      <c r="B2" s="26" t="s">
        <v>1106</v>
      </c>
      <c r="C2" s="26" t="s">
        <v>1133</v>
      </c>
      <c r="D2" s="26">
        <v>1</v>
      </c>
      <c r="E2" s="26">
        <f>IF(ISNUMBER(E1),E1+D2,D2)</f>
        <v>1</v>
      </c>
    </row>
    <row r="3" spans="1:5" x14ac:dyDescent="0.25">
      <c r="A3" s="26" t="s">
        <v>1079</v>
      </c>
      <c r="B3" s="43" t="s">
        <v>1105</v>
      </c>
      <c r="C3" s="43" t="s">
        <v>1106</v>
      </c>
      <c r="D3" s="26">
        <v>1</v>
      </c>
      <c r="E3" s="26">
        <f t="shared" ref="E3:E28" si="0">IF(ISNUMBER(E2),E2+D3,D3)</f>
        <v>2</v>
      </c>
    </row>
    <row r="4" spans="1:5" x14ac:dyDescent="0.25">
      <c r="A4" s="26" t="s">
        <v>1080</v>
      </c>
      <c r="B4" s="43" t="s">
        <v>1107</v>
      </c>
      <c r="C4" s="43" t="s">
        <v>1105</v>
      </c>
      <c r="D4" s="26">
        <v>1</v>
      </c>
      <c r="E4" s="26">
        <f t="shared" si="0"/>
        <v>3</v>
      </c>
    </row>
    <row r="5" spans="1:5" x14ac:dyDescent="0.25">
      <c r="A5" s="26" t="s">
        <v>1081</v>
      </c>
      <c r="B5" s="43" t="s">
        <v>1108</v>
      </c>
      <c r="C5" s="43" t="s">
        <v>1107</v>
      </c>
      <c r="D5" s="26">
        <v>1</v>
      </c>
      <c r="E5" s="26">
        <f t="shared" si="0"/>
        <v>4</v>
      </c>
    </row>
    <row r="6" spans="1:5" x14ac:dyDescent="0.25">
      <c r="A6" s="26" t="s">
        <v>1082</v>
      </c>
      <c r="B6" s="43" t="s">
        <v>1109</v>
      </c>
      <c r="C6" s="43" t="s">
        <v>1108</v>
      </c>
      <c r="D6" s="26">
        <v>1</v>
      </c>
      <c r="E6" s="26">
        <f t="shared" si="0"/>
        <v>5</v>
      </c>
    </row>
    <row r="7" spans="1:5" x14ac:dyDescent="0.25">
      <c r="A7" s="26" t="s">
        <v>1083</v>
      </c>
      <c r="B7" s="43" t="s">
        <v>1110</v>
      </c>
      <c r="C7" s="43" t="s">
        <v>1109</v>
      </c>
      <c r="D7" s="26">
        <v>1</v>
      </c>
      <c r="E7" s="26">
        <f t="shared" si="0"/>
        <v>6</v>
      </c>
    </row>
    <row r="8" spans="1:5" x14ac:dyDescent="0.25">
      <c r="A8" s="26" t="s">
        <v>1084</v>
      </c>
      <c r="B8" s="43" t="s">
        <v>1111</v>
      </c>
      <c r="C8" s="43" t="s">
        <v>1110</v>
      </c>
      <c r="D8" s="26">
        <v>1</v>
      </c>
      <c r="E8" s="26">
        <f t="shared" si="0"/>
        <v>7</v>
      </c>
    </row>
    <row r="9" spans="1:5" x14ac:dyDescent="0.25">
      <c r="A9" s="26" t="s">
        <v>1085</v>
      </c>
      <c r="B9" s="43" t="s">
        <v>1112</v>
      </c>
      <c r="C9" s="43" t="s">
        <v>1111</v>
      </c>
      <c r="D9" s="26">
        <v>1</v>
      </c>
      <c r="E9" s="26">
        <f t="shared" si="0"/>
        <v>8</v>
      </c>
    </row>
    <row r="10" spans="1:5" x14ac:dyDescent="0.25">
      <c r="A10" s="26" t="s">
        <v>1086</v>
      </c>
      <c r="B10" s="43" t="s">
        <v>1113</v>
      </c>
      <c r="C10" s="43" t="s">
        <v>1112</v>
      </c>
      <c r="D10" s="26">
        <v>1</v>
      </c>
      <c r="E10" s="26">
        <f t="shared" si="0"/>
        <v>9</v>
      </c>
    </row>
    <row r="11" spans="1:5" x14ac:dyDescent="0.25">
      <c r="A11" s="26" t="s">
        <v>1087</v>
      </c>
      <c r="B11" s="43" t="s">
        <v>1114</v>
      </c>
      <c r="C11" s="43" t="s">
        <v>1113</v>
      </c>
      <c r="D11" s="26">
        <v>1</v>
      </c>
      <c r="E11" s="26">
        <f t="shared" si="0"/>
        <v>10</v>
      </c>
    </row>
    <row r="12" spans="1:5" x14ac:dyDescent="0.25">
      <c r="A12" s="26" t="s">
        <v>1088</v>
      </c>
      <c r="B12" s="43" t="s">
        <v>1115</v>
      </c>
      <c r="C12" s="43" t="s">
        <v>1114</v>
      </c>
      <c r="D12" s="26">
        <v>1</v>
      </c>
      <c r="E12" s="26">
        <f t="shared" si="0"/>
        <v>11</v>
      </c>
    </row>
    <row r="13" spans="1:5" x14ac:dyDescent="0.25">
      <c r="A13" s="26" t="s">
        <v>1089</v>
      </c>
      <c r="B13" s="43" t="s">
        <v>1116</v>
      </c>
      <c r="C13" s="43" t="s">
        <v>1115</v>
      </c>
      <c r="D13" s="26">
        <v>1</v>
      </c>
      <c r="E13" s="26">
        <f t="shared" si="0"/>
        <v>12</v>
      </c>
    </row>
    <row r="14" spans="1:5" x14ac:dyDescent="0.25">
      <c r="A14" s="26" t="s">
        <v>1090</v>
      </c>
      <c r="B14" s="43" t="s">
        <v>1117</v>
      </c>
      <c r="C14" s="43" t="s">
        <v>1116</v>
      </c>
      <c r="D14" s="26">
        <v>1</v>
      </c>
      <c r="E14" s="26">
        <f t="shared" si="0"/>
        <v>13</v>
      </c>
    </row>
    <row r="15" spans="1:5" x14ac:dyDescent="0.25">
      <c r="A15" s="26" t="s">
        <v>1091</v>
      </c>
      <c r="B15" s="43" t="s">
        <v>1118</v>
      </c>
      <c r="C15" s="43" t="s">
        <v>1117</v>
      </c>
      <c r="D15" s="26">
        <v>1</v>
      </c>
      <c r="E15" s="26">
        <f t="shared" si="0"/>
        <v>14</v>
      </c>
    </row>
    <row r="16" spans="1:5" x14ac:dyDescent="0.25">
      <c r="A16" s="26" t="s">
        <v>1092</v>
      </c>
      <c r="B16" s="43" t="s">
        <v>1119</v>
      </c>
      <c r="C16" s="43" t="s">
        <v>1118</v>
      </c>
      <c r="D16" s="26">
        <v>1</v>
      </c>
      <c r="E16" s="26">
        <f t="shared" si="0"/>
        <v>15</v>
      </c>
    </row>
    <row r="17" spans="1:5" x14ac:dyDescent="0.25">
      <c r="A17" s="26" t="s">
        <v>1093</v>
      </c>
      <c r="B17" s="43" t="s">
        <v>1120</v>
      </c>
      <c r="C17" s="43" t="s">
        <v>1119</v>
      </c>
      <c r="D17" s="26">
        <v>1</v>
      </c>
      <c r="E17" s="26">
        <f t="shared" si="0"/>
        <v>16</v>
      </c>
    </row>
    <row r="18" spans="1:5" x14ac:dyDescent="0.25">
      <c r="A18" s="26" t="s">
        <v>1094</v>
      </c>
      <c r="B18" s="43" t="s">
        <v>1121</v>
      </c>
      <c r="C18" s="43" t="s">
        <v>1120</v>
      </c>
      <c r="D18" s="26">
        <v>1</v>
      </c>
      <c r="E18" s="26">
        <f t="shared" si="0"/>
        <v>17</v>
      </c>
    </row>
    <row r="19" spans="1:5" x14ac:dyDescent="0.25">
      <c r="A19" s="26" t="s">
        <v>1095</v>
      </c>
      <c r="B19" s="43" t="s">
        <v>1122</v>
      </c>
      <c r="C19" s="43" t="s">
        <v>1121</v>
      </c>
      <c r="D19" s="26">
        <v>1</v>
      </c>
      <c r="E19" s="26">
        <f t="shared" si="0"/>
        <v>18</v>
      </c>
    </row>
    <row r="20" spans="1:5" x14ac:dyDescent="0.25">
      <c r="A20" s="26" t="s">
        <v>1096</v>
      </c>
      <c r="B20" s="43" t="s">
        <v>1123</v>
      </c>
      <c r="C20" s="43" t="s">
        <v>1122</v>
      </c>
      <c r="D20" s="26">
        <v>1</v>
      </c>
      <c r="E20" s="26">
        <f t="shared" si="0"/>
        <v>19</v>
      </c>
    </row>
    <row r="21" spans="1:5" x14ac:dyDescent="0.25">
      <c r="A21" s="26" t="s">
        <v>1097</v>
      </c>
      <c r="B21" s="43" t="s">
        <v>1124</v>
      </c>
      <c r="C21" s="43" t="s">
        <v>1123</v>
      </c>
      <c r="D21" s="26">
        <v>1</v>
      </c>
      <c r="E21" s="26">
        <f t="shared" si="0"/>
        <v>20</v>
      </c>
    </row>
    <row r="22" spans="1:5" x14ac:dyDescent="0.25">
      <c r="A22" s="26" t="s">
        <v>1098</v>
      </c>
      <c r="B22" s="43" t="s">
        <v>1125</v>
      </c>
      <c r="C22" s="43" t="s">
        <v>1124</v>
      </c>
      <c r="D22" s="26">
        <v>1</v>
      </c>
      <c r="E22" s="26">
        <f t="shared" si="0"/>
        <v>21</v>
      </c>
    </row>
    <row r="23" spans="1:5" x14ac:dyDescent="0.25">
      <c r="A23" s="26" t="s">
        <v>1099</v>
      </c>
      <c r="B23" s="43" t="s">
        <v>1126</v>
      </c>
      <c r="C23" s="43" t="s">
        <v>1125</v>
      </c>
      <c r="D23" s="26">
        <v>1</v>
      </c>
      <c r="E23" s="26">
        <f t="shared" si="0"/>
        <v>22</v>
      </c>
    </row>
    <row r="24" spans="1:5" x14ac:dyDescent="0.25">
      <c r="A24" s="26" t="s">
        <v>1100</v>
      </c>
      <c r="B24" s="43" t="s">
        <v>1127</v>
      </c>
      <c r="C24" s="43" t="s">
        <v>1126</v>
      </c>
      <c r="D24" s="26">
        <v>1</v>
      </c>
      <c r="E24" s="26">
        <f t="shared" si="0"/>
        <v>23</v>
      </c>
    </row>
    <row r="25" spans="1:5" x14ac:dyDescent="0.25">
      <c r="A25" s="26" t="s">
        <v>1101</v>
      </c>
      <c r="B25" s="43" t="s">
        <v>1128</v>
      </c>
      <c r="C25" s="43" t="s">
        <v>1127</v>
      </c>
      <c r="D25" s="26">
        <v>1</v>
      </c>
      <c r="E25" s="26">
        <f t="shared" si="0"/>
        <v>24</v>
      </c>
    </row>
    <row r="26" spans="1:5" x14ac:dyDescent="0.25">
      <c r="A26" s="26" t="s">
        <v>1102</v>
      </c>
      <c r="B26" s="43" t="s">
        <v>1129</v>
      </c>
      <c r="C26" s="43" t="s">
        <v>1128</v>
      </c>
      <c r="D26" s="26">
        <v>1</v>
      </c>
      <c r="E26" s="26">
        <f t="shared" si="0"/>
        <v>25</v>
      </c>
    </row>
    <row r="27" spans="1:5" x14ac:dyDescent="0.25">
      <c r="A27" s="26" t="s">
        <v>1103</v>
      </c>
      <c r="B27" s="43" t="s">
        <v>1130</v>
      </c>
      <c r="C27" s="43" t="s">
        <v>1129</v>
      </c>
      <c r="D27" s="26">
        <v>1</v>
      </c>
      <c r="E27" s="26">
        <f t="shared" si="0"/>
        <v>26</v>
      </c>
    </row>
    <row r="28" spans="1:5" x14ac:dyDescent="0.25">
      <c r="A28" s="26" t="s">
        <v>1104</v>
      </c>
      <c r="B28" s="43" t="s">
        <v>1131</v>
      </c>
      <c r="C28" s="43" t="s">
        <v>1130</v>
      </c>
      <c r="D28" s="26">
        <v>1</v>
      </c>
      <c r="E28" s="26">
        <f t="shared" si="0"/>
        <v>27</v>
      </c>
    </row>
  </sheetData>
  <pageMargins left="0.7" right="0.7" top="0.75" bottom="0.75" header="0.3" footer="0.3"/>
  <pageSetup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heetViews>
  <sheetFormatPr defaultRowHeight="15" x14ac:dyDescent="0.25"/>
  <cols>
    <col min="1" max="1" width="107.875" bestFit="1" customWidth="1"/>
    <col min="2" max="2" width="36.625" bestFit="1" customWidth="1"/>
    <col min="3" max="3" width="8.625" bestFit="1" customWidth="1"/>
    <col min="4" max="4" width="2.875" bestFit="1" customWidth="1"/>
    <col min="5" max="5" width="53.125" bestFit="1" customWidth="1"/>
    <col min="6" max="6" width="40.75" bestFit="1" customWidth="1"/>
    <col min="7" max="7" width="4" bestFit="1" customWidth="1"/>
  </cols>
  <sheetData>
    <row r="1" spans="1:7" ht="18" x14ac:dyDescent="0.25">
      <c r="A1" s="13" t="s">
        <v>1146</v>
      </c>
      <c r="B1" s="13" t="s">
        <v>1135</v>
      </c>
      <c r="C1" s="13" t="str">
        <f>CONCATENATE(" _T ( ",CHAR(34))</f>
        <v xml:space="preserve"> _T ( "</v>
      </c>
      <c r="D1" s="13" t="str">
        <f>CONCATENATE(CHAR(34), " )")</f>
        <v>" )</v>
      </c>
      <c r="E1" s="13" t="s">
        <v>970</v>
      </c>
      <c r="F1" s="13" t="s">
        <v>1147</v>
      </c>
      <c r="G1" s="13" t="s">
        <v>796</v>
      </c>
    </row>
    <row r="2" spans="1:7" x14ac:dyDescent="0.25">
      <c r="A2" t="s">
        <v>1139</v>
      </c>
      <c r="B2" t="str">
        <f>TRIM(MID(A2,9,FIND("_T (",A2)-9))</f>
        <v>WFCU_ERRMSG_MISSING_PROMPT_TEMPLATE</v>
      </c>
      <c r="C2">
        <f>FIND(C$1,A2)</f>
        <v>44</v>
      </c>
      <c r="D2">
        <f>FIND(D$1,A2,C2+1)</f>
        <v>97</v>
      </c>
      <c r="E2" t="str">
        <f>MID(A2,LEN(C$1)+C2,D2-C2-LEN($C$1))</f>
        <v>Error loading default prompt message template.</v>
      </c>
      <c r="F2" t="str">
        <f>CONCATENATE("IDS_",B2)</f>
        <v>IDS_WFCU_ERRMSG_MISSING_PROMPT_TEMPLATE</v>
      </c>
      <c r="G2">
        <f>IF(ISNUMBER(C1),C1+1,12)</f>
        <v>12</v>
      </c>
    </row>
    <row r="3" spans="1:7" x14ac:dyDescent="0.25">
      <c r="A3" t="s">
        <v>1140</v>
      </c>
      <c r="B3" t="str">
        <f t="shared" ref="B3:B8" si="0">TRIM(MID(A3,9,FIND("_T (",A3)-9))</f>
        <v>WFCU_ERRMSG_MISSING_DEFAULT_PROMPT</v>
      </c>
      <c r="C3">
        <f t="shared" ref="C3:C8" si="1">FIND(C$1,A3)</f>
        <v>44</v>
      </c>
      <c r="D3">
        <f t="shared" ref="D3:D8" si="2">FIND(D$1,A3,C3+1)</f>
        <v>85</v>
      </c>
      <c r="E3" t="str">
        <f t="shared" ref="E3:E8" si="3">MID(A3,LEN(C$1)+C3,D3-C3-LEN($C$1))</f>
        <v>Error loading default prompt text.</v>
      </c>
      <c r="F3" t="str">
        <f t="shared" ref="F3:F8" si="4">CONCATENATE("IDS_",B3)</f>
        <v>IDS_WFCU_ERRMSG_MISSING_DEFAULT_PROMPT</v>
      </c>
      <c r="G3">
        <f t="shared" ref="G3:G8" si="5">IF(ISNUMBER(C2),C2+1,12)</f>
        <v>45</v>
      </c>
    </row>
    <row r="4" spans="1:7" x14ac:dyDescent="0.25">
      <c r="A4" t="s">
        <v>1141</v>
      </c>
      <c r="B4" t="str">
        <f t="shared" si="0"/>
        <v>WFCU_ERRMSG_GETSTDHANDLE</v>
      </c>
      <c r="C4">
        <f t="shared" si="1"/>
        <v>44</v>
      </c>
      <c r="D4">
        <f t="shared" si="2"/>
        <v>102</v>
      </c>
      <c r="E4" t="str">
        <f t="shared" si="3"/>
        <v>Error reported by Windows API function GetStdHandle</v>
      </c>
      <c r="F4" t="str">
        <f t="shared" si="4"/>
        <v>IDS_WFCU_ERRMSG_GETSTDHANDLE</v>
      </c>
      <c r="G4">
        <f t="shared" si="5"/>
        <v>45</v>
      </c>
    </row>
    <row r="5" spans="1:7" x14ac:dyDescent="0.25">
      <c r="A5" t="s">
        <v>1142</v>
      </c>
      <c r="B5" t="str">
        <f t="shared" si="0"/>
        <v>WFCU_ERRMSG_OUT_OF_MEMORY</v>
      </c>
      <c r="C5">
        <f t="shared" si="1"/>
        <v>44</v>
      </c>
      <c r="D5">
        <f t="shared" si="2"/>
        <v>72</v>
      </c>
      <c r="E5" t="str">
        <f t="shared" si="3"/>
        <v>\nOut of memory\n\a\n</v>
      </c>
      <c r="F5" t="str">
        <f t="shared" si="4"/>
        <v>IDS_WFCU_ERRMSG_OUT_OF_MEMORY</v>
      </c>
      <c r="G5">
        <f t="shared" si="5"/>
        <v>45</v>
      </c>
    </row>
    <row r="6" spans="1:7" x14ac:dyDescent="0.25">
      <c r="A6" t="s">
        <v>1143</v>
      </c>
      <c r="B6" t="str">
        <f t="shared" si="0"/>
        <v>WFCU_ERRMSG_WRITE_CONSOLE</v>
      </c>
      <c r="C6">
        <f t="shared" si="1"/>
        <v>44</v>
      </c>
      <c r="D6">
        <f t="shared" si="2"/>
        <v>102</v>
      </c>
      <c r="E6" t="str">
        <f t="shared" si="3"/>
        <v>Error reported by Windows API function WriteConsole</v>
      </c>
      <c r="F6" t="str">
        <f t="shared" si="4"/>
        <v>IDS_WFCU_ERRMSG_WRITE_CONSOLE</v>
      </c>
      <c r="G6">
        <f t="shared" si="5"/>
        <v>45</v>
      </c>
    </row>
    <row r="7" spans="1:7" x14ac:dyDescent="0.25">
      <c r="A7" t="s">
        <v>1144</v>
      </c>
      <c r="B7" t="str">
        <f t="shared" si="0"/>
        <v>WFCU_ERRMSG_HEAP_CORRUPTED</v>
      </c>
      <c r="C7">
        <f t="shared" si="1"/>
        <v>44</v>
      </c>
      <c r="D7">
        <f t="shared" si="2"/>
        <v>98</v>
      </c>
      <c r="E7" t="str">
        <f t="shared" si="3"/>
        <v>Error reported by Windows API function HeapFree</v>
      </c>
      <c r="F7" t="str">
        <f t="shared" si="4"/>
        <v>IDS_WFCU_ERRMSG_HEAP_CORRUPTED</v>
      </c>
      <c r="G7">
        <f t="shared" si="5"/>
        <v>45</v>
      </c>
    </row>
    <row r="8" spans="1:7" x14ac:dyDescent="0.25">
      <c r="A8" t="s">
        <v>1145</v>
      </c>
      <c r="B8" t="str">
        <f t="shared" si="0"/>
        <v>WFCU_ERRMSG_BEEP</v>
      </c>
      <c r="C8">
        <f t="shared" si="1"/>
        <v>44</v>
      </c>
      <c r="D8">
        <f t="shared" si="2"/>
        <v>94</v>
      </c>
      <c r="E8" t="str">
        <f t="shared" si="3"/>
        <v>Error reported by Windows API function Beep</v>
      </c>
      <c r="F8" t="str">
        <f t="shared" si="4"/>
        <v>IDS_WFCU_ERRMSG_BEEP</v>
      </c>
      <c r="G8">
        <f t="shared" si="5"/>
        <v>45</v>
      </c>
    </row>
  </sheetData>
  <pageMargins left="0.7" right="0.7" top="0.75" bottom="0.75" header="0.3" footer="0.3"/>
  <pageSetup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C1" workbookViewId="0">
      <selection activeCell="F5" sqref="F5"/>
    </sheetView>
  </sheetViews>
  <sheetFormatPr defaultRowHeight="15" x14ac:dyDescent="0.25"/>
  <cols>
    <col min="1" max="1" width="14.75" bestFit="1" customWidth="1"/>
    <col min="2" max="2" width="28.375" bestFit="1" customWidth="1"/>
    <col min="3" max="3" width="22.25" bestFit="1" customWidth="1"/>
    <col min="4" max="4" width="28.375" bestFit="1" customWidth="1"/>
    <col min="5" max="5" width="7.5" bestFit="1" customWidth="1"/>
    <col min="6" max="6" width="52.125" bestFit="1" customWidth="1"/>
    <col min="7" max="7" width="94.375" bestFit="1" customWidth="1"/>
  </cols>
  <sheetData>
    <row r="1" spans="1:7" ht="18" x14ac:dyDescent="0.25">
      <c r="A1" s="71" t="s">
        <v>5</v>
      </c>
      <c r="B1" s="71" t="s">
        <v>1151</v>
      </c>
      <c r="C1" s="71" t="s">
        <v>1152</v>
      </c>
      <c r="D1" s="66" t="s">
        <v>1163</v>
      </c>
      <c r="E1" s="67"/>
      <c r="F1" s="67"/>
      <c r="G1" s="68"/>
    </row>
    <row r="2" spans="1:7" ht="18" x14ac:dyDescent="0.25">
      <c r="A2" s="72"/>
      <c r="B2" s="72"/>
      <c r="C2" s="72"/>
      <c r="D2" s="32" t="s">
        <v>476</v>
      </c>
      <c r="E2" s="32" t="s">
        <v>1164</v>
      </c>
      <c r="F2" s="32" t="s">
        <v>1158</v>
      </c>
      <c r="G2" s="32" t="s">
        <v>1159</v>
      </c>
    </row>
    <row r="3" spans="1:7" x14ac:dyDescent="0.25">
      <c r="A3" s="8" t="s">
        <v>1148</v>
      </c>
      <c r="B3" s="8" t="s">
        <v>1149</v>
      </c>
      <c r="C3" s="8" t="s">
        <v>1150</v>
      </c>
      <c r="D3" s="8" t="s">
        <v>1157</v>
      </c>
      <c r="E3" s="8" t="b">
        <v>1</v>
      </c>
      <c r="F3" s="8" t="str">
        <f>C3</f>
        <v>FB_FIRST_BUFFER_INDEX</v>
      </c>
      <c r="G3" s="8" t="str">
        <f>IF(AND(LEN(D3)&gt;0,LEN(F3)&gt;0),CONCATENATE("#define ",D3,REPT(CHAR(32),33-LEN(D3)),F3),"")</f>
        <v>#define WFCU_SPRINTF_BUFFER              FB_FIRST_BUFFER_INDEX</v>
      </c>
    </row>
    <row r="4" spans="1:7" x14ac:dyDescent="0.25">
      <c r="A4" s="8" t="s">
        <v>1153</v>
      </c>
      <c r="B4" s="8" t="s">
        <v>1154</v>
      </c>
      <c r="C4" s="8" t="s">
        <v>1150</v>
      </c>
      <c r="D4" s="8" t="s">
        <v>1160</v>
      </c>
      <c r="E4" s="8" t="b">
        <v>1</v>
      </c>
      <c r="F4" s="8" t="str">
        <f>F3</f>
        <v>FB_FIRST_BUFFER_INDEX</v>
      </c>
      <c r="G4" s="8" t="str">
        <f t="shared" ref="G4:G11" si="0">IF(AND(LEN(D4)&gt;0,LEN(F4)&gt;0),CONCATENATE("#define ",D4,REPT(CHAR(32),33-LEN(D4)),F4),"")</f>
        <v>#define WFCU_PROMPT_TEMPLATE_BUFFER      FB_FIRST_BUFFER_INDEX</v>
      </c>
    </row>
    <row r="5" spans="1:7" x14ac:dyDescent="0.25">
      <c r="A5" s="8" t="s">
        <v>1153</v>
      </c>
      <c r="B5" s="8" t="s">
        <v>1155</v>
      </c>
      <c r="C5" s="8" t="s">
        <v>1150</v>
      </c>
      <c r="D5" s="8" t="s">
        <v>1161</v>
      </c>
      <c r="E5" s="8" t="b">
        <v>1</v>
      </c>
      <c r="F5" s="8"/>
      <c r="G5" s="8" t="str">
        <f t="shared" si="0"/>
        <v/>
      </c>
    </row>
    <row r="6" spans="1:7" x14ac:dyDescent="0.25">
      <c r="A6" s="8" t="s">
        <v>1153</v>
      </c>
      <c r="B6" s="8" t="s">
        <v>1156</v>
      </c>
      <c r="C6" s="8" t="s">
        <v>1150</v>
      </c>
      <c r="D6" s="8" t="s">
        <v>1162</v>
      </c>
      <c r="E6" s="8" t="b">
        <v>1</v>
      </c>
      <c r="F6" s="8" t="str">
        <f>CONCATENATE(D5," + ARRAY_NEXT_ELEMENT_P6C")</f>
        <v>WFCU_PROMPT_MESSAGE_BUFFER + ARRAY_NEXT_ELEMENT_P6C</v>
      </c>
      <c r="G6" s="8" t="str">
        <f t="shared" si="0"/>
        <v>#define WFCU_ERROR_MESSAGE_BUFFER        WFCU_PROMPT_MESSAGE_BUFFER + ARRAY_NEXT_ELEMENT_P6C</v>
      </c>
    </row>
    <row r="7" spans="1:7" x14ac:dyDescent="0.25">
      <c r="A7" s="8"/>
      <c r="B7" s="8"/>
      <c r="C7" s="8"/>
      <c r="D7" s="8"/>
      <c r="E7" s="8"/>
      <c r="F7" s="8"/>
      <c r="G7" s="8" t="str">
        <f t="shared" si="0"/>
        <v/>
      </c>
    </row>
    <row r="8" spans="1:7" x14ac:dyDescent="0.25">
      <c r="A8" s="8"/>
      <c r="B8" s="8"/>
      <c r="C8" s="8"/>
      <c r="D8" s="8"/>
      <c r="E8" s="8"/>
      <c r="F8" s="8"/>
      <c r="G8" s="8" t="str">
        <f t="shared" si="0"/>
        <v/>
      </c>
    </row>
    <row r="9" spans="1:7" x14ac:dyDescent="0.25">
      <c r="A9" s="8"/>
      <c r="B9" s="8"/>
      <c r="C9" s="8"/>
      <c r="D9" s="8"/>
      <c r="E9" s="8"/>
      <c r="F9" s="8"/>
      <c r="G9" s="8" t="str">
        <f t="shared" si="0"/>
        <v/>
      </c>
    </row>
    <row r="10" spans="1:7" x14ac:dyDescent="0.25">
      <c r="A10" s="8"/>
      <c r="B10" s="8"/>
      <c r="C10" s="8"/>
      <c r="D10" s="8"/>
      <c r="E10" s="8"/>
      <c r="F10" s="8"/>
      <c r="G10" s="8" t="str">
        <f t="shared" si="0"/>
        <v/>
      </c>
    </row>
    <row r="11" spans="1:7" x14ac:dyDescent="0.25">
      <c r="A11" s="8"/>
      <c r="B11" s="8"/>
      <c r="C11" s="8"/>
      <c r="D11" s="8"/>
      <c r="E11" s="8"/>
      <c r="F11" s="8"/>
      <c r="G11" s="8" t="str">
        <f t="shared" si="0"/>
        <v/>
      </c>
    </row>
  </sheetData>
  <mergeCells count="4">
    <mergeCell ref="A1:A2"/>
    <mergeCell ref="B1:B2"/>
    <mergeCell ref="C1:C2"/>
    <mergeCell ref="D1:G1"/>
  </mergeCells>
  <pageMargins left="0.7" right="0.7" top="0.75" bottom="0.75" header="0.3" footer="0.3"/>
  <pageSetup orientation="portrait"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G13"/>
  <sheetViews>
    <sheetView workbookViewId="0">
      <selection activeCell="B4" sqref="B4"/>
    </sheetView>
  </sheetViews>
  <sheetFormatPr defaultRowHeight="15" x14ac:dyDescent="0.25"/>
  <cols>
    <col min="1" max="1" width="83.125" bestFit="1" customWidth="1"/>
    <col min="2" max="2" width="29.5" bestFit="1" customWidth="1"/>
    <col min="3" max="3" width="11.875" bestFit="1" customWidth="1"/>
    <col min="4" max="4" width="23.25" bestFit="1" customWidth="1"/>
    <col min="5" max="5" width="11.875" bestFit="1" customWidth="1"/>
    <col min="6" max="6" width="16.5" bestFit="1" customWidth="1"/>
    <col min="7" max="7" width="11.875" bestFit="1" customWidth="1"/>
  </cols>
  <sheetData>
    <row r="1" spans="1:7" ht="18" x14ac:dyDescent="0.25">
      <c r="A1" s="19" t="s">
        <v>1196</v>
      </c>
      <c r="B1" s="19" t="s">
        <v>801</v>
      </c>
      <c r="C1" s="44" t="s">
        <v>1195</v>
      </c>
      <c r="D1" s="44" t="s">
        <v>1178</v>
      </c>
      <c r="E1" s="45">
        <f>HEX2DEC(MID(C1,3,8))</f>
        <v>536870912</v>
      </c>
      <c r="F1" s="19" t="s">
        <v>767</v>
      </c>
      <c r="G1" s="19" t="s">
        <v>766</v>
      </c>
    </row>
    <row r="2" spans="1:7" x14ac:dyDescent="0.25">
      <c r="A2" s="44" t="s">
        <v>1165</v>
      </c>
      <c r="B2" s="44"/>
      <c r="C2" s="44"/>
      <c r="D2" s="44"/>
      <c r="E2" s="44"/>
      <c r="F2" s="44"/>
      <c r="G2" s="44"/>
    </row>
    <row r="3" spans="1:7" x14ac:dyDescent="0.25">
      <c r="A3" s="44" t="s">
        <v>1166</v>
      </c>
      <c r="B3" s="44"/>
      <c r="C3" s="44"/>
      <c r="D3" s="44"/>
      <c r="E3" s="44"/>
      <c r="F3" s="44"/>
      <c r="G3" s="44"/>
    </row>
    <row r="4" spans="1:7" x14ac:dyDescent="0.25">
      <c r="A4" s="44" t="s">
        <v>1167</v>
      </c>
      <c r="B4" s="44" t="s">
        <v>1177</v>
      </c>
      <c r="C4" s="44" t="s">
        <v>1133</v>
      </c>
      <c r="D4" s="44" t="s">
        <v>1178</v>
      </c>
      <c r="E4" s="45">
        <f>HEX2DEC(MID(C4,3,8))</f>
        <v>1</v>
      </c>
      <c r="F4" s="44" t="str">
        <f t="shared" ref="F4:F12" si="0">CONCATENATE("0x",DEC2HEX(APPLICATION_ERROR_MASK+E4,8),"L")</f>
        <v>0x20000001L</v>
      </c>
      <c r="G4" s="45">
        <f t="shared" ref="G4:G12" si="1">APPLICATION_ERROR_MASK+E4</f>
        <v>536870913</v>
      </c>
    </row>
    <row r="5" spans="1:7" x14ac:dyDescent="0.25">
      <c r="A5" s="44" t="s">
        <v>1168</v>
      </c>
      <c r="B5" s="44" t="s">
        <v>1179</v>
      </c>
      <c r="C5" s="44" t="s">
        <v>1180</v>
      </c>
      <c r="D5" s="44" t="s">
        <v>1178</v>
      </c>
      <c r="E5" s="45">
        <f t="shared" ref="E5:E12" si="2">HEX2DEC(MID(C5,3,8))</f>
        <v>2</v>
      </c>
      <c r="F5" s="44" t="str">
        <f t="shared" si="0"/>
        <v>0x20000002L</v>
      </c>
      <c r="G5" s="45">
        <f t="shared" si="1"/>
        <v>536870914</v>
      </c>
    </row>
    <row r="6" spans="1:7" x14ac:dyDescent="0.25">
      <c r="A6" s="44" t="s">
        <v>1169</v>
      </c>
      <c r="B6" s="44" t="s">
        <v>1181</v>
      </c>
      <c r="C6" s="44" t="s">
        <v>1182</v>
      </c>
      <c r="D6" s="44" t="s">
        <v>1178</v>
      </c>
      <c r="E6" s="45">
        <f t="shared" si="2"/>
        <v>4</v>
      </c>
      <c r="F6" s="44" t="str">
        <f t="shared" si="0"/>
        <v>0x20000004L</v>
      </c>
      <c r="G6" s="45">
        <f t="shared" si="1"/>
        <v>536870916</v>
      </c>
    </row>
    <row r="7" spans="1:7" x14ac:dyDescent="0.25">
      <c r="A7" s="44" t="s">
        <v>1170</v>
      </c>
      <c r="B7" s="44" t="s">
        <v>1183</v>
      </c>
      <c r="C7" s="44" t="s">
        <v>1184</v>
      </c>
      <c r="D7" s="44" t="s">
        <v>1178</v>
      </c>
      <c r="E7" s="45">
        <f t="shared" si="2"/>
        <v>8</v>
      </c>
      <c r="F7" s="44" t="str">
        <f t="shared" si="0"/>
        <v>0x20000008L</v>
      </c>
      <c r="G7" s="45">
        <f t="shared" si="1"/>
        <v>536870920</v>
      </c>
    </row>
    <row r="8" spans="1:7" x14ac:dyDescent="0.25">
      <c r="A8" s="44" t="s">
        <v>1171</v>
      </c>
      <c r="B8" s="44" t="s">
        <v>1185</v>
      </c>
      <c r="C8" s="44" t="s">
        <v>1186</v>
      </c>
      <c r="D8" s="44" t="s">
        <v>1178</v>
      </c>
      <c r="E8" s="45">
        <f t="shared" si="2"/>
        <v>16</v>
      </c>
      <c r="F8" s="44" t="str">
        <f t="shared" si="0"/>
        <v>0x20000010L</v>
      </c>
      <c r="G8" s="45">
        <f t="shared" si="1"/>
        <v>536870928</v>
      </c>
    </row>
    <row r="9" spans="1:7" x14ac:dyDescent="0.25">
      <c r="A9" s="44" t="s">
        <v>1172</v>
      </c>
      <c r="B9" s="44" t="s">
        <v>1187</v>
      </c>
      <c r="C9" s="44" t="s">
        <v>1188</v>
      </c>
      <c r="D9" s="44" t="s">
        <v>1178</v>
      </c>
      <c r="E9" s="45">
        <f t="shared" si="2"/>
        <v>32</v>
      </c>
      <c r="F9" s="44" t="str">
        <f t="shared" si="0"/>
        <v>0x20000020L</v>
      </c>
      <c r="G9" s="45">
        <f t="shared" si="1"/>
        <v>536870944</v>
      </c>
    </row>
    <row r="10" spans="1:7" x14ac:dyDescent="0.25">
      <c r="A10" s="44" t="s">
        <v>1173</v>
      </c>
      <c r="B10" s="44" t="s">
        <v>1189</v>
      </c>
      <c r="C10" s="44" t="s">
        <v>1190</v>
      </c>
      <c r="D10" s="44" t="s">
        <v>1178</v>
      </c>
      <c r="E10" s="45">
        <f t="shared" si="2"/>
        <v>64</v>
      </c>
      <c r="F10" s="44" t="str">
        <f t="shared" si="0"/>
        <v>0x20000040L</v>
      </c>
      <c r="G10" s="45">
        <f t="shared" si="1"/>
        <v>536870976</v>
      </c>
    </row>
    <row r="11" spans="1:7" x14ac:dyDescent="0.25">
      <c r="A11" s="44" t="s">
        <v>1174</v>
      </c>
      <c r="B11" s="44" t="s">
        <v>1191</v>
      </c>
      <c r="C11" s="44" t="s">
        <v>1192</v>
      </c>
      <c r="D11" s="44" t="s">
        <v>1178</v>
      </c>
      <c r="E11" s="45">
        <f t="shared" si="2"/>
        <v>128</v>
      </c>
      <c r="F11" s="44" t="str">
        <f t="shared" si="0"/>
        <v>0x20000080L</v>
      </c>
      <c r="G11" s="45">
        <f t="shared" si="1"/>
        <v>536871040</v>
      </c>
    </row>
    <row r="12" spans="1:7" x14ac:dyDescent="0.25">
      <c r="A12" s="44" t="s">
        <v>1175</v>
      </c>
      <c r="B12" s="44" t="s">
        <v>1193</v>
      </c>
      <c r="C12" s="44" t="s">
        <v>1194</v>
      </c>
      <c r="D12" s="44" t="s">
        <v>1178</v>
      </c>
      <c r="E12" s="45">
        <f t="shared" si="2"/>
        <v>256</v>
      </c>
      <c r="F12" s="44" t="str">
        <f t="shared" si="0"/>
        <v>0x20000100L</v>
      </c>
      <c r="G12" s="45">
        <f t="shared" si="1"/>
        <v>536871168</v>
      </c>
    </row>
    <row r="13" spans="1:7" x14ac:dyDescent="0.25">
      <c r="A13" s="44" t="s">
        <v>1176</v>
      </c>
      <c r="B13" s="44"/>
      <c r="C13" s="44"/>
      <c r="D13" s="44"/>
      <c r="E13" s="45"/>
      <c r="F13" s="44"/>
      <c r="G13" s="45"/>
    </row>
  </sheetData>
  <pageMargins left="0.7" right="0.7" top="0.75" bottom="0.75" header="0.3" footer="0.3"/>
  <pageSetup orientation="portrait"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E8" sqref="E8"/>
    </sheetView>
  </sheetViews>
  <sheetFormatPr defaultRowHeight="15" x14ac:dyDescent="0.25"/>
  <cols>
    <col min="1" max="1" width="59.75" bestFit="1" customWidth="1"/>
    <col min="2" max="2" width="21.25" bestFit="1" customWidth="1"/>
    <col min="3" max="3" width="7.75" bestFit="1" customWidth="1"/>
    <col min="4" max="4" width="27.375" bestFit="1" customWidth="1"/>
    <col min="5" max="5" width="15.875" bestFit="1" customWidth="1"/>
    <col min="6" max="6" width="34.625" bestFit="1" customWidth="1"/>
  </cols>
  <sheetData>
    <row r="1" spans="1:6" ht="18" x14ac:dyDescent="0.25">
      <c r="A1" s="24" t="s">
        <v>1202</v>
      </c>
      <c r="B1" s="24" t="s">
        <v>476</v>
      </c>
      <c r="C1" s="24" t="s">
        <v>478</v>
      </c>
      <c r="D1" s="24" t="s">
        <v>1213</v>
      </c>
      <c r="E1" s="24" t="s">
        <v>1214</v>
      </c>
      <c r="F1" s="24" t="s">
        <v>1215</v>
      </c>
    </row>
    <row r="2" spans="1:6" x14ac:dyDescent="0.25">
      <c r="A2" s="26" t="s">
        <v>1200</v>
      </c>
      <c r="B2" s="26"/>
      <c r="C2" s="26"/>
      <c r="D2" s="26"/>
      <c r="E2" s="26"/>
      <c r="F2" s="26" t="s">
        <v>1216</v>
      </c>
    </row>
    <row r="3" spans="1:6" x14ac:dyDescent="0.25">
      <c r="A3" s="26" t="s">
        <v>788</v>
      </c>
      <c r="B3" s="26"/>
      <c r="C3" s="26"/>
      <c r="D3" s="26"/>
      <c r="E3" s="26"/>
      <c r="F3" s="26" t="s">
        <v>788</v>
      </c>
    </row>
    <row r="4" spans="1:6" x14ac:dyDescent="0.25">
      <c r="A4" s="26" t="s">
        <v>1203</v>
      </c>
      <c r="B4" s="26" t="s">
        <v>1208</v>
      </c>
      <c r="C4" s="26">
        <v>0</v>
      </c>
      <c r="D4" s="26" t="str">
        <f>CONCATENATE("IDS_TEST_NAME",RIGHT(B4,LEN(B4)-7))</f>
        <v xml:space="preserve">IDS_TEST_NAME_ALL </v>
      </c>
      <c r="E4" s="26" t="str">
        <f>PROPER(RIGHT(B4,LEN(B4)-8))</f>
        <v xml:space="preserve">All </v>
      </c>
      <c r="F4" s="26" t="str">
        <f>CONCATENATE(D4,",")</f>
        <v>IDS_TEST_NAME_ALL ,</v>
      </c>
    </row>
    <row r="5" spans="1:6" x14ac:dyDescent="0.25">
      <c r="A5" s="26" t="s">
        <v>1204</v>
      </c>
      <c r="B5" s="26" t="s">
        <v>1209</v>
      </c>
      <c r="C5" s="26">
        <v>1</v>
      </c>
      <c r="D5" s="26" t="str">
        <f t="shared" ref="D5:D8" si="0">CONCATENATE("IDS_TEST_NAME",RIGHT(B5,LEN(B5)-7))</f>
        <v xml:space="preserve">IDS_TEST_NAME_BEEPERS </v>
      </c>
      <c r="E5" s="26" t="str">
        <f t="shared" ref="E5:E8" si="1">PROPER(RIGHT(B5,LEN(B5)-8))</f>
        <v xml:space="preserve">Beepers </v>
      </c>
      <c r="F5" s="26" t="str">
        <f t="shared" ref="F5:F8" si="2">CONCATENATE(D5,",")</f>
        <v>IDS_TEST_NAME_BEEPERS ,</v>
      </c>
    </row>
    <row r="6" spans="1:6" x14ac:dyDescent="0.25">
      <c r="A6" s="26" t="s">
        <v>1205</v>
      </c>
      <c r="B6" s="26" t="s">
        <v>1210</v>
      </c>
      <c r="C6" s="26">
        <v>2</v>
      </c>
      <c r="D6" s="26" t="str">
        <f t="shared" si="0"/>
        <v xml:space="preserve">IDS_TEST_NAME_ENCODINGS </v>
      </c>
      <c r="E6" s="26" t="str">
        <f t="shared" si="1"/>
        <v xml:space="preserve">Encodings </v>
      </c>
      <c r="F6" s="26" t="str">
        <f t="shared" si="2"/>
        <v>IDS_TEST_NAME_ENCODINGS ,</v>
      </c>
    </row>
    <row r="7" spans="1:6" x14ac:dyDescent="0.25">
      <c r="A7" s="26" t="s">
        <v>1206</v>
      </c>
      <c r="B7" s="26" t="s">
        <v>1211</v>
      </c>
      <c r="C7" s="26">
        <v>3</v>
      </c>
      <c r="D7" s="26" t="str">
        <f t="shared" si="0"/>
        <v xml:space="preserve">IDS_TEST_NAME_HEREDOCS </v>
      </c>
      <c r="E7" s="26" t="str">
        <f t="shared" si="1"/>
        <v xml:space="preserve">Heredocs </v>
      </c>
      <c r="F7" s="26" t="str">
        <f t="shared" si="2"/>
        <v>IDS_TEST_NAME_HEREDOCS ,</v>
      </c>
    </row>
    <row r="8" spans="1:6" x14ac:dyDescent="0.25">
      <c r="A8" s="26" t="s">
        <v>1207</v>
      </c>
      <c r="B8" s="26" t="s">
        <v>1212</v>
      </c>
      <c r="C8" s="26">
        <v>4</v>
      </c>
      <c r="D8" s="26" t="str">
        <f t="shared" si="0"/>
        <v xml:space="preserve">IDS_TEST_NAME_REDIRECIONS </v>
      </c>
      <c r="E8" s="26" t="str">
        <f t="shared" si="1"/>
        <v xml:space="preserve">Redirecions </v>
      </c>
      <c r="F8" s="26" t="str">
        <f t="shared" si="2"/>
        <v>IDS_TEST_NAME_REDIRECIONS ,</v>
      </c>
    </row>
    <row r="9" spans="1:6" x14ac:dyDescent="0.25">
      <c r="A9" s="26" t="s">
        <v>1201</v>
      </c>
      <c r="B9" s="26"/>
      <c r="C9" s="26"/>
      <c r="D9" s="26"/>
      <c r="E9" s="26"/>
      <c r="F9" s="26" t="s">
        <v>1217</v>
      </c>
    </row>
  </sheetData>
  <pageMargins left="0.7" right="0.7" top="0.75" bottom="0.75" header="0.3" footer="0.3"/>
  <pageSetup orientation="portrait"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9"/>
  <sheetViews>
    <sheetView topLeftCell="B1" workbookViewId="0">
      <pane xSplit="1" ySplit="7" topLeftCell="C8" activePane="bottomRight" state="frozen"/>
      <selection activeCell="B1" sqref="B1"/>
      <selection pane="topRight" activeCell="C1" sqref="C1"/>
      <selection pane="bottomLeft" activeCell="B8" sqref="B8"/>
      <selection pane="bottomRight"/>
    </sheetView>
  </sheetViews>
  <sheetFormatPr defaultRowHeight="15" x14ac:dyDescent="0.25"/>
  <cols>
    <col min="1" max="1" width="122.625" bestFit="1" customWidth="1"/>
    <col min="2" max="2" width="82" bestFit="1" customWidth="1"/>
    <col min="3" max="3" width="64.5" bestFit="1" customWidth="1"/>
    <col min="4" max="4" width="10.875" bestFit="1" customWidth="1"/>
    <col min="5" max="5" width="20.125" bestFit="1" customWidth="1"/>
  </cols>
  <sheetData>
    <row r="1" spans="1:5" ht="18" x14ac:dyDescent="0.25">
      <c r="A1" s="50" t="s">
        <v>1551</v>
      </c>
      <c r="B1" s="46" t="s">
        <v>1552</v>
      </c>
      <c r="C1" s="46"/>
      <c r="D1" s="46"/>
      <c r="E1" s="50" t="s">
        <v>1549</v>
      </c>
    </row>
    <row r="2" spans="1:5" ht="18" x14ac:dyDescent="0.25">
      <c r="A2" s="50" t="s">
        <v>1556</v>
      </c>
      <c r="B2" s="47" t="s">
        <v>1539</v>
      </c>
      <c r="C2" s="82" t="s">
        <v>1566</v>
      </c>
      <c r="D2" s="82"/>
      <c r="E2" s="48">
        <f>[1]!dtmFileDateInfo(DLLServices2_Library_Build_Log)</f>
        <v>42305.644907407404</v>
      </c>
    </row>
    <row r="3" spans="1:5" ht="18" x14ac:dyDescent="0.25">
      <c r="A3" s="50" t="s">
        <v>1560</v>
      </c>
      <c r="B3" s="47" t="s">
        <v>1557</v>
      </c>
      <c r="C3" s="82" t="s">
        <v>1563</v>
      </c>
      <c r="D3" s="82"/>
      <c r="E3" s="48">
        <f>[1]!dtmFileDateInfo(DLLServices2_Library_Build_Log)</f>
        <v>42305.644907407404</v>
      </c>
    </row>
    <row r="4" spans="1:5" ht="18" x14ac:dyDescent="0.25">
      <c r="A4" s="50" t="s">
        <v>1561</v>
      </c>
      <c r="B4" s="47" t="s">
        <v>1558</v>
      </c>
      <c r="C4" s="82" t="s">
        <v>1564</v>
      </c>
      <c r="D4" s="82"/>
      <c r="E4" s="48">
        <f>[1]!dtmFileDateInfo(DLLServices2_Library_Build_Log)</f>
        <v>42305.644907407404</v>
      </c>
    </row>
    <row r="5" spans="1:5" ht="18" x14ac:dyDescent="0.25">
      <c r="A5" s="50" t="s">
        <v>1562</v>
      </c>
      <c r="B5" s="47" t="s">
        <v>1559</v>
      </c>
      <c r="C5" s="82" t="s">
        <v>1565</v>
      </c>
      <c r="D5" s="82"/>
      <c r="E5" s="48">
        <f>[1]!dtmFileDateInfo(DLLServices2_Library_Build_Log)</f>
        <v>42305.644907407404</v>
      </c>
    </row>
    <row r="7" spans="1:5" ht="18" x14ac:dyDescent="0.25">
      <c r="A7" s="50" t="s">
        <v>1553</v>
      </c>
      <c r="B7" s="50" t="s">
        <v>1554</v>
      </c>
      <c r="C7" s="50" t="s">
        <v>1555</v>
      </c>
      <c r="D7" s="51" t="s">
        <v>1550</v>
      </c>
      <c r="E7" s="50" t="s">
        <v>1549</v>
      </c>
    </row>
    <row r="8" spans="1:5" x14ac:dyDescent="0.25">
      <c r="A8" s="47" t="s">
        <v>1548</v>
      </c>
      <c r="B8" s="46" t="str">
        <f>IF(LEN([1]!GetFolder(A8))&gt;LEN(Solution_Directory_Name),RIGHT([1]!GetFolder(A8),LEN([1]!GetFolder(A8))-LEN(Solution_Directory_Name)),"")</f>
        <v/>
      </c>
      <c r="C8" s="46" t="str">
        <f>[1]!GetFile(A8)</f>
        <v>DLLServices2.SLN</v>
      </c>
      <c r="D8" s="49">
        <v>3953</v>
      </c>
      <c r="E8" s="48">
        <v>42177.724791666667</v>
      </c>
    </row>
    <row r="9" spans="1:5" x14ac:dyDescent="0.25">
      <c r="A9" s="47" t="s">
        <v>1547</v>
      </c>
      <c r="B9" s="46" t="str">
        <f>IF(LEN([1]!GetFolder(A9))&gt;LEN(Solution_Directory_Name),RIGHT([1]!GetFolder(A9),LEN([1]!GetFolder(A9))-LEN(Solution_Directory_Name)),"")</f>
        <v/>
      </c>
      <c r="C9" s="46" t="str">
        <f>[1]!GetFile(A9)</f>
        <v>LockVisualStudio20xxProperties.CMD.lnk</v>
      </c>
      <c r="D9" s="49">
        <v>604</v>
      </c>
      <c r="E9" s="48">
        <v>41907.986550925925</v>
      </c>
    </row>
    <row r="10" spans="1:5" x14ac:dyDescent="0.25">
      <c r="A10" s="47" t="s">
        <v>1546</v>
      </c>
      <c r="B10" s="46" t="str">
        <f>IF(LEN([1]!GetFolder(A10))&gt;LEN(Solution_Directory_Name),RIGHT([1]!GetFolder(A10),LEN([1]!GetFolder(A10))-LEN(Solution_Directory_Name)),"")</f>
        <v/>
      </c>
      <c r="C10" s="46" t="str">
        <f>[1]!GetFile(A10)</f>
        <v>StandardHandlesLab Solution.lnk</v>
      </c>
      <c r="D10" s="49">
        <v>1531</v>
      </c>
      <c r="E10" s="48">
        <v>42193.782233796293</v>
      </c>
    </row>
    <row r="11" spans="1:5" x14ac:dyDescent="0.25">
      <c r="A11" s="47" t="s">
        <v>1545</v>
      </c>
      <c r="B11" s="46" t="str">
        <f>IF(LEN([1]!GetFolder(A11))&gt;LEN(Solution_Directory_Name),RIGHT([1]!GetFolder(A11),LEN([1]!GetFolder(A11))-LEN(Solution_Directory_Name)),"")</f>
        <v/>
      </c>
      <c r="C11" s="46" t="str">
        <f>[1]!GetFile(A11)</f>
        <v>UnlockVisualStudio20xxProperties.CMD.lnk</v>
      </c>
      <c r="D11" s="49">
        <v>614</v>
      </c>
      <c r="E11" s="48">
        <v>41907.985763888886</v>
      </c>
    </row>
    <row r="12" spans="1:5" x14ac:dyDescent="0.25">
      <c r="A12" s="47" t="s">
        <v>1544</v>
      </c>
      <c r="B12" s="46" t="str">
        <f>IF(LEN([1]!GetFolder(A12))&gt;LEN(Solution_Directory_Name),RIGHT([1]!GetFolder(A12),LEN([1]!GetFolder(A12))-LEN(Solution_Directory_Name)),"")</f>
        <v/>
      </c>
      <c r="C12" s="46" t="str">
        <f>[1]!GetFile(A12)</f>
        <v>WWConAid Solution Directory.lnk</v>
      </c>
      <c r="D12" s="49">
        <v>1520</v>
      </c>
      <c r="E12" s="48">
        <v>42193.929108796299</v>
      </c>
    </row>
    <row r="13" spans="1:5" x14ac:dyDescent="0.25">
      <c r="A13" s="47" t="s">
        <v>1543</v>
      </c>
      <c r="B13" s="46" t="str">
        <f>IF(LEN([1]!GetFolder(A13))&gt;LEN(Solution_Directory_Name),RIGHT([1]!GetFolder(A13),LEN([1]!GetFolder(A13))-LEN(Solution_Directory_Name)),"")</f>
        <v/>
      </c>
      <c r="C13" s="46" t="str">
        <f>[1]!GetFile(A13)</f>
        <v>WWConAid.dsw.lnk</v>
      </c>
      <c r="D13" s="49">
        <v>1301</v>
      </c>
      <c r="E13" s="48">
        <v>42193.922731481478</v>
      </c>
    </row>
    <row r="14" spans="1:5" x14ac:dyDescent="0.25">
      <c r="A14" s="47" t="s">
        <v>1542</v>
      </c>
      <c r="B14" s="46" t="str">
        <f>IF(LEN([1]!GetFolder(A14))&gt;LEN(Solution_Directory_Name),RIGHT([1]!GetFolder(A14),LEN([1]!GetFolder(A14))-LEN(Solution_Directory_Name)),"")</f>
        <v/>
      </c>
      <c r="C14" s="46" t="str">
        <f>[1]!GetFile(A14)</f>
        <v>WWConAid.sln.lnk</v>
      </c>
      <c r="D14" s="49">
        <v>1301</v>
      </c>
      <c r="E14" s="48">
        <v>42193.929664351854</v>
      </c>
    </row>
    <row r="15" spans="1:5" x14ac:dyDescent="0.25">
      <c r="A15" s="47" t="s">
        <v>1541</v>
      </c>
      <c r="B15" s="46" t="str">
        <f>IF(LEN([1]!GetFolder(A15))&gt;LEN(Solution_Directory_Name),RIGHT([1]!GetFolder(A15),LEN([1]!GetFolder(A15))-LEN(Solution_Directory_Name)),"")</f>
        <v>\DLLServices2</v>
      </c>
      <c r="C15" s="46" t="str">
        <f>[1]!GetFile(A15)</f>
        <v>ArrayInfo.cs</v>
      </c>
      <c r="D15" s="49">
        <v>10433</v>
      </c>
      <c r="E15" s="48">
        <v>42247.003518518519</v>
      </c>
    </row>
    <row r="16" spans="1:5" x14ac:dyDescent="0.25">
      <c r="A16" s="47" t="s">
        <v>1540</v>
      </c>
      <c r="B16" s="46" t="str">
        <f>IF(LEN([1]!GetFolder(A16))&gt;LEN(Solution_Directory_Name),RIGHT([1]!GetFolder(A16),LEN([1]!GetFolder(A16))-LEN(Solution_Directory_Name)),"")</f>
        <v>\DLLServices2</v>
      </c>
      <c r="C16" s="46" t="str">
        <f>[1]!GetFile(A16)</f>
        <v>AssemblyLocatorBase.cs</v>
      </c>
      <c r="D16" s="49">
        <v>26864</v>
      </c>
      <c r="E16" s="48">
        <v>42175.627766203703</v>
      </c>
    </row>
    <row r="17" spans="1:5" x14ac:dyDescent="0.25">
      <c r="A17" s="47" t="s">
        <v>1539</v>
      </c>
      <c r="B17" s="46" t="str">
        <f>IF(LEN([1]!GetFolder(A17))&gt;LEN(Solution_Directory_Name),RIGHT([1]!GetFolder(A17),LEN([1]!GetFolder(A17))-LEN(Solution_Directory_Name)),"")</f>
        <v>\DLLServices2</v>
      </c>
      <c r="C17" s="46" t="str">
        <f>[1]!GetFile(A17)</f>
        <v>BuildHistory.LOG</v>
      </c>
      <c r="D17" s="49">
        <v>74578</v>
      </c>
      <c r="E17" s="48">
        <v>42282.825543981482</v>
      </c>
    </row>
    <row r="18" spans="1:5" x14ac:dyDescent="0.25">
      <c r="A18" s="47" t="s">
        <v>1538</v>
      </c>
      <c r="B18" s="46" t="str">
        <f>IF(LEN([1]!GetFolder(A18))&gt;LEN(Solution_Directory_Name),RIGHT([1]!GetFolder(A18),LEN([1]!GetFolder(A18))-LEN(Solution_Directory_Name)),"")</f>
        <v>\DLLServices2</v>
      </c>
      <c r="C18" s="46" t="str">
        <f>[1]!GetFile(A18)</f>
        <v>CmdLneArgsBasic.cs</v>
      </c>
      <c r="D18" s="49">
        <v>159037</v>
      </c>
      <c r="E18" s="48">
        <v>42178.424768518518</v>
      </c>
    </row>
    <row r="19" spans="1:5" x14ac:dyDescent="0.25">
      <c r="A19" s="47" t="s">
        <v>1537</v>
      </c>
      <c r="B19" s="46" t="str">
        <f>IF(LEN([1]!GetFolder(A19))&gt;LEN(Solution_Directory_Name),RIGHT([1]!GetFolder(A19),LEN([1]!GetFolder(A19))-LEN(Solution_Directory_Name)),"")</f>
        <v>\DLLServices2</v>
      </c>
      <c r="C19" s="46" t="str">
        <f>[1]!GetFile(A19)</f>
        <v>CSVFileInfo.cs</v>
      </c>
      <c r="D19" s="49">
        <v>8618</v>
      </c>
      <c r="E19" s="48">
        <v>42175.523425925923</v>
      </c>
    </row>
    <row r="20" spans="1:5" x14ac:dyDescent="0.25">
      <c r="A20" s="47" t="s">
        <v>1536</v>
      </c>
      <c r="B20" s="46" t="str">
        <f>IF(LEN([1]!GetFolder(A20))&gt;LEN(Solution_Directory_Name),RIGHT([1]!GetFolder(A20),LEN([1]!GetFolder(A20))-LEN(Solution_Directory_Name)),"")</f>
        <v>\DLLServices2</v>
      </c>
      <c r="C20" s="46" t="str">
        <f>[1]!GetFile(A20)</f>
        <v>DisplayFormats.cs</v>
      </c>
      <c r="D20" s="49">
        <v>16325</v>
      </c>
      <c r="E20" s="48">
        <v>42175.508750000001</v>
      </c>
    </row>
    <row r="21" spans="1:5" x14ac:dyDescent="0.25">
      <c r="A21" s="47" t="s">
        <v>1535</v>
      </c>
      <c r="B21" s="46" t="str">
        <f>IF(LEN([1]!GetFolder(A21))&gt;LEN(Solution_Directory_Name),RIGHT([1]!GetFolder(A21),LEN([1]!GetFolder(A21))-LEN(Solution_Directory_Name)),"")</f>
        <v>\DLLServices2</v>
      </c>
      <c r="C21" s="46" t="str">
        <f>[1]!GetFile(A21)</f>
        <v>DLLServices2.csproj</v>
      </c>
      <c r="D21" s="49">
        <v>5536</v>
      </c>
      <c r="E21" s="48">
        <v>42242.852407407408</v>
      </c>
    </row>
    <row r="22" spans="1:5" x14ac:dyDescent="0.25">
      <c r="A22" s="47" t="s">
        <v>1534</v>
      </c>
      <c r="B22" s="46" t="str">
        <f>IF(LEN([1]!GetFolder(A22))&gt;LEN(Solution_Directory_Name),RIGHT([1]!GetFolder(A22),LEN([1]!GetFolder(A22))-LEN(Solution_Directory_Name)),"")</f>
        <v>\DLLServices2</v>
      </c>
      <c r="C22" s="46" t="str">
        <f>[1]!GetFile(A22)</f>
        <v>ErrorMessagesInColor.cs</v>
      </c>
      <c r="D22" s="49">
        <v>107242</v>
      </c>
      <c r="E22" s="48">
        <v>42178.411840277775</v>
      </c>
    </row>
    <row r="23" spans="1:5" x14ac:dyDescent="0.25">
      <c r="A23" s="47" t="s">
        <v>1533</v>
      </c>
      <c r="B23" s="46" t="str">
        <f>IF(LEN([1]!GetFolder(A23))&gt;LEN(Solution_Directory_Name),RIGHT([1]!GetFolder(A23),LEN([1]!GetFolder(A23))-LEN(Solution_Directory_Name)),"")</f>
        <v>\DLLServices2</v>
      </c>
      <c r="C23" s="46" t="str">
        <f>[1]!GetFile(A23)</f>
        <v>ExceptionLogger.cs</v>
      </c>
      <c r="D23" s="49">
        <v>116611</v>
      </c>
      <c r="E23" s="48">
        <v>42248.58452546296</v>
      </c>
    </row>
    <row r="24" spans="1:5" x14ac:dyDescent="0.25">
      <c r="A24" s="47" t="s">
        <v>1532</v>
      </c>
      <c r="B24" s="46" t="str">
        <f>IF(LEN([1]!GetFolder(A24))&gt;LEN(Solution_Directory_Name),RIGHT([1]!GetFolder(A24),LEN([1]!GetFolder(A24))-LEN(Solution_Directory_Name)),"")</f>
        <v>\DLLServices2</v>
      </c>
      <c r="C24" s="46" t="str">
        <f>[1]!GetFile(A24)</f>
        <v>FileIOFlags.cs</v>
      </c>
      <c r="D24" s="49">
        <v>4743</v>
      </c>
      <c r="E24" s="48">
        <v>42175.480381944442</v>
      </c>
    </row>
    <row r="25" spans="1:5" x14ac:dyDescent="0.25">
      <c r="A25" s="47" t="s">
        <v>1531</v>
      </c>
      <c r="B25" s="46" t="str">
        <f>IF(LEN([1]!GetFolder(A25))&gt;LEN(Solution_Directory_Name),RIGHT([1]!GetFolder(A25),LEN([1]!GetFolder(A25))-LEN(Solution_Directory_Name)),"")</f>
        <v>\DLLServices2</v>
      </c>
      <c r="C25" s="46" t="str">
        <f>[1]!GetFile(A25)</f>
        <v>IniFileReader.cs</v>
      </c>
      <c r="D25" s="49">
        <v>12293</v>
      </c>
      <c r="E25" s="48">
        <v>42175.480381944442</v>
      </c>
    </row>
    <row r="26" spans="1:5" x14ac:dyDescent="0.25">
      <c r="A26" s="47" t="s">
        <v>1530</v>
      </c>
      <c r="B26" s="46" t="str">
        <f>IF(LEN([1]!GetFolder(A26))&gt;LEN(Solution_Directory_Name),RIGHT([1]!GetFolder(A26),LEN([1]!GetFolder(A26))-LEN(Solution_Directory_Name)),"")</f>
        <v>\DLLServices2</v>
      </c>
      <c r="C26" s="46" t="str">
        <f>[1]!GetFile(A26)</f>
        <v>IP6CUtilLib1.cs</v>
      </c>
      <c r="D26" s="49">
        <v>18214</v>
      </c>
      <c r="E26" s="48">
        <v>42195.028958333336</v>
      </c>
    </row>
    <row r="27" spans="1:5" x14ac:dyDescent="0.25">
      <c r="A27" s="47" t="s">
        <v>1529</v>
      </c>
      <c r="B27" s="46" t="str">
        <f>IF(LEN([1]!GetFolder(A27))&gt;LEN(Solution_Directory_Name),RIGHT([1]!GetFolder(A27),LEN([1]!GetFolder(A27))-LEN(Solution_Directory_Name)),"")</f>
        <v>\DLLServices2</v>
      </c>
      <c r="C27" s="46" t="str">
        <f>[1]!GetFile(A27)</f>
        <v>ListInfo.cs</v>
      </c>
      <c r="D27" s="49">
        <v>12841</v>
      </c>
      <c r="E27" s="48">
        <v>42248.584502314814</v>
      </c>
    </row>
    <row r="28" spans="1:5" x14ac:dyDescent="0.25">
      <c r="A28" s="47" t="s">
        <v>1528</v>
      </c>
      <c r="B28" s="46" t="str">
        <f>IF(LEN([1]!GetFolder(A28))&gt;LEN(Solution_Directory_Name),RIGHT([1]!GetFolder(A28),LEN([1]!GetFolder(A28))-LEN(Solution_Directory_Name)),"")</f>
        <v>\DLLServices2</v>
      </c>
      <c r="C28" s="46" t="str">
        <f>[1]!GetFile(A28)</f>
        <v>Logic.cs</v>
      </c>
      <c r="D28" s="49">
        <v>20763</v>
      </c>
      <c r="E28" s="48">
        <v>42175.480381944442</v>
      </c>
    </row>
    <row r="29" spans="1:5" x14ac:dyDescent="0.25">
      <c r="A29" s="47" t="s">
        <v>1527</v>
      </c>
      <c r="B29" s="46" t="str">
        <f>IF(LEN([1]!GetFolder(A29))&gt;LEN(Solution_Directory_Name),RIGHT([1]!GetFolder(A29),LEN([1]!GetFolder(A29))-LEN(Solution_Directory_Name)),"")</f>
        <v>\DLLServices2</v>
      </c>
      <c r="C29" s="46" t="str">
        <f>[1]!GetFile(A29)</f>
        <v>MagicBooleans.cs</v>
      </c>
      <c r="D29" s="49">
        <v>8545</v>
      </c>
      <c r="E29" s="48">
        <v>42248.584513888891</v>
      </c>
    </row>
    <row r="30" spans="1:5" x14ac:dyDescent="0.25">
      <c r="A30" s="47" t="s">
        <v>1526</v>
      </c>
      <c r="B30" s="46" t="str">
        <f>IF(LEN([1]!GetFolder(A30))&gt;LEN(Solution_Directory_Name),RIGHT([1]!GetFolder(A30),LEN([1]!GetFolder(A30))-LEN(Solution_Directory_Name)),"")</f>
        <v>\DLLServices2</v>
      </c>
      <c r="C30" s="46" t="str">
        <f>[1]!GetFile(A30)</f>
        <v>MagicNumbers.cs</v>
      </c>
      <c r="D30" s="49">
        <v>15870</v>
      </c>
      <c r="E30" s="48">
        <v>42248.584479166668</v>
      </c>
    </row>
    <row r="31" spans="1:5" x14ac:dyDescent="0.25">
      <c r="A31" s="47" t="s">
        <v>1525</v>
      </c>
      <c r="B31" s="46" t="str">
        <f>IF(LEN([1]!GetFolder(A31))&gt;LEN(Solution_Directory_Name),RIGHT([1]!GetFolder(A31),LEN([1]!GetFolder(A31))-LEN(Solution_Directory_Name)),"")</f>
        <v>\DLLServices2</v>
      </c>
      <c r="C31" s="46" t="str">
        <f>[1]!GetFile(A31)</f>
        <v>MessageInColor.cs</v>
      </c>
      <c r="D31" s="49">
        <v>92241</v>
      </c>
      <c r="E31" s="48">
        <v>42177.030289351853</v>
      </c>
    </row>
    <row r="32" spans="1:5" x14ac:dyDescent="0.25">
      <c r="A32" s="47" t="s">
        <v>1524</v>
      </c>
      <c r="B32" s="46" t="str">
        <f>IF(LEN([1]!GetFolder(A32))&gt;LEN(Solution_Directory_Name),RIGHT([1]!GetFolder(A32),LEN([1]!GetFolder(A32))-LEN(Solution_Directory_Name)),"")</f>
        <v>\DLLServices2</v>
      </c>
      <c r="C32" s="46" t="str">
        <f>[1]!GetFile(A32)</f>
        <v>NumericFormats.cs</v>
      </c>
      <c r="D32" s="49">
        <v>26011</v>
      </c>
      <c r="E32" s="48">
        <v>42175.567754629628</v>
      </c>
    </row>
    <row r="33" spans="1:5" x14ac:dyDescent="0.25">
      <c r="A33" s="47" t="s">
        <v>1523</v>
      </c>
      <c r="B33" s="46" t="str">
        <f>IF(LEN([1]!GetFolder(A33))&gt;LEN(Solution_Directory_Name),RIGHT([1]!GetFolder(A33),LEN([1]!GetFolder(A33))-LEN(Solution_Directory_Name)),"")</f>
        <v>\DLLServices2</v>
      </c>
      <c r="C33" s="46" t="str">
        <f>[1]!GetFile(A33)</f>
        <v>P6CUtilLib1.dll</v>
      </c>
      <c r="D33" s="49">
        <v>26112</v>
      </c>
      <c r="E33" s="48">
        <v>41775.788935185185</v>
      </c>
    </row>
    <row r="34" spans="1:5" x14ac:dyDescent="0.25">
      <c r="A34" s="47" t="s">
        <v>1522</v>
      </c>
      <c r="B34" s="46" t="str">
        <f>IF(LEN([1]!GetFolder(A34))&gt;LEN(Solution_Directory_Name),RIGHT([1]!GetFolder(A34),LEN([1]!GetFolder(A34))-LEN(Solution_Directory_Name)),"")</f>
        <v>\DLLServices2</v>
      </c>
      <c r="C34" s="46" t="str">
        <f>[1]!GetFile(A34)</f>
        <v>PathPositions.cs</v>
      </c>
      <c r="D34" s="49">
        <v>7136</v>
      </c>
      <c r="E34" s="48">
        <v>42248.584467592591</v>
      </c>
    </row>
    <row r="35" spans="1:5" x14ac:dyDescent="0.25">
      <c r="A35" s="47" t="s">
        <v>1521</v>
      </c>
      <c r="B35" s="46" t="str">
        <f>IF(LEN([1]!GetFolder(A35))&gt;LEN(Solution_Directory_Name),RIGHT([1]!GetFolder(A35),LEN([1]!GetFolder(A35))-LEN(Solution_Directory_Name)),"")</f>
        <v>\DLLServices2</v>
      </c>
      <c r="C35" s="46" t="str">
        <f>[1]!GetFile(A35)</f>
        <v>PropertyDefaults.cs</v>
      </c>
      <c r="D35" s="49">
        <v>7487</v>
      </c>
      <c r="E35" s="48">
        <v>42175.491782407407</v>
      </c>
    </row>
    <row r="36" spans="1:5" x14ac:dyDescent="0.25">
      <c r="A36" s="47" t="s">
        <v>1520</v>
      </c>
      <c r="B36" s="46" t="str">
        <f>IF(LEN([1]!GetFolder(A36))&gt;LEN(Solution_Directory_Name),RIGHT([1]!GetFolder(A36),LEN([1]!GetFolder(A36))-LEN(Solution_Directory_Name)),"")</f>
        <v>\DLLServices2</v>
      </c>
      <c r="C36" s="46" t="str">
        <f>[1]!GetFile(A36)</f>
        <v>RegExpSupport.cs</v>
      </c>
      <c r="D36" s="49">
        <v>21220</v>
      </c>
      <c r="E36" s="48">
        <v>42175.609525462962</v>
      </c>
    </row>
    <row r="37" spans="1:5" x14ac:dyDescent="0.25">
      <c r="A37" s="47" t="s">
        <v>1519</v>
      </c>
      <c r="B37" s="46" t="str">
        <f>IF(LEN([1]!GetFolder(A37))&gt;LEN(Solution_Directory_Name),RIGHT([1]!GetFolder(A37),LEN([1]!GetFolder(A37))-LEN(Solution_Directory_Name)),"")</f>
        <v>\DLLServices2</v>
      </c>
      <c r="C37" s="46" t="str">
        <f>[1]!GetFile(A37)</f>
        <v>RegistryValues.cs</v>
      </c>
      <c r="D37" s="49">
        <v>20706</v>
      </c>
      <c r="E37" s="48">
        <v>42175.072662037041</v>
      </c>
    </row>
    <row r="38" spans="1:5" x14ac:dyDescent="0.25">
      <c r="A38" s="47" t="s">
        <v>1518</v>
      </c>
      <c r="B38" s="46" t="str">
        <f>IF(LEN([1]!GetFolder(A38))&gt;LEN(Solution_Directory_Name),RIGHT([1]!GetFolder(A38),LEN([1]!GetFolder(A38))-LEN(Solution_Directory_Name)),"")</f>
        <v>\DLLServices2</v>
      </c>
      <c r="C38" s="46" t="str">
        <f>[1]!GetFile(A38)</f>
        <v>SpecialCharacters.cs</v>
      </c>
      <c r="D38" s="49">
        <v>14064</v>
      </c>
      <c r="E38" s="48">
        <v>42246.786481481482</v>
      </c>
    </row>
    <row r="39" spans="1:5" x14ac:dyDescent="0.25">
      <c r="A39" s="47" t="s">
        <v>1517</v>
      </c>
      <c r="B39" s="46" t="str">
        <f>IF(LEN([1]!GetFolder(A39))&gt;LEN(Solution_Directory_Name),RIGHT([1]!GetFolder(A39),LEN([1]!GetFolder(A39))-LEN(Solution_Directory_Name)),"")</f>
        <v>\DLLServices2</v>
      </c>
      <c r="C39" s="46" t="str">
        <f>[1]!GetFile(A39)</f>
        <v>SpecialStrings.cs</v>
      </c>
      <c r="D39" s="49">
        <v>10040</v>
      </c>
      <c r="E39" s="48">
        <v>42246.786446759259</v>
      </c>
    </row>
    <row r="40" spans="1:5" x14ac:dyDescent="0.25">
      <c r="A40" s="47" t="s">
        <v>1516</v>
      </c>
      <c r="B40" s="46" t="str">
        <f>IF(LEN([1]!GetFolder(A40))&gt;LEN(Solution_Directory_Name),RIGHT([1]!GetFolder(A40),LEN([1]!GetFolder(A40))-LEN(Solution_Directory_Name)),"")</f>
        <v>\DLLServices2</v>
      </c>
      <c r="C40" s="46" t="str">
        <f>[1]!GetFile(A40)</f>
        <v>StateManager.cs</v>
      </c>
      <c r="D40" s="49">
        <v>35333</v>
      </c>
      <c r="E40" s="48">
        <v>42248.584513888891</v>
      </c>
    </row>
    <row r="41" spans="1:5" x14ac:dyDescent="0.25">
      <c r="A41" s="47" t="s">
        <v>1515</v>
      </c>
      <c r="B41" s="46" t="str">
        <f>IF(LEN([1]!GetFolder(A41))&gt;LEN(Solution_Directory_Name),RIGHT([1]!GetFolder(A41),LEN([1]!GetFolder(A41))-LEN(Solution_Directory_Name)),"")</f>
        <v>\DLLServices2</v>
      </c>
      <c r="C41" s="46" t="str">
        <f>[1]!GetFile(A41)</f>
        <v>StringTricks.cs</v>
      </c>
      <c r="D41" s="49">
        <v>66879</v>
      </c>
      <c r="E41" s="48">
        <v>42246.786435185182</v>
      </c>
    </row>
    <row r="42" spans="1:5" x14ac:dyDescent="0.25">
      <c r="A42" s="47" t="s">
        <v>1514</v>
      </c>
      <c r="B42" s="46" t="str">
        <f>IF(LEN([1]!GetFolder(A42))&gt;LEN(Solution_Directory_Name),RIGHT([1]!GetFolder(A42),LEN([1]!GetFolder(A42))-LEN(Solution_Directory_Name)),"")</f>
        <v>\DLLServices2</v>
      </c>
      <c r="C42" s="46" t="str">
        <f>[1]!GetFile(A42)</f>
        <v>SyncRoot.cs</v>
      </c>
      <c r="D42" s="49">
        <v>6312</v>
      </c>
      <c r="E42" s="48">
        <v>42175.070891203701</v>
      </c>
    </row>
    <row r="43" spans="1:5" x14ac:dyDescent="0.25">
      <c r="A43" s="47" t="s">
        <v>1513</v>
      </c>
      <c r="B43" s="46" t="str">
        <f>IF(LEN([1]!GetFolder(A43))&gt;LEN(Solution_Directory_Name),RIGHT([1]!GetFolder(A43),LEN([1]!GetFolder(A43))-LEN(Solution_Directory_Name)),"")</f>
        <v>\DLLServices2</v>
      </c>
      <c r="C43" s="46" t="str">
        <f>[1]!GetFile(A43)</f>
        <v>SysDateFormatters.cs</v>
      </c>
      <c r="D43" s="49">
        <v>34907</v>
      </c>
      <c r="E43" s="48">
        <v>42175.508506944447</v>
      </c>
    </row>
    <row r="44" spans="1:5" x14ac:dyDescent="0.25">
      <c r="A44" s="47" t="s">
        <v>1512</v>
      </c>
      <c r="B44" s="46" t="str">
        <f>IF(LEN([1]!GetFolder(A44))&gt;LEN(Solution_Directory_Name),RIGHT([1]!GetFolder(A44),LEN([1]!GetFolder(A44))-LEN(Solution_Directory_Name)),"")</f>
        <v>\DLLServices2</v>
      </c>
      <c r="C44" s="46" t="str">
        <f>[1]!GetFile(A44)</f>
        <v>TextBlocks.cs</v>
      </c>
      <c r="D44" s="49">
        <v>19327</v>
      </c>
      <c r="E44" s="48">
        <v>42175.609525462962</v>
      </c>
    </row>
    <row r="45" spans="1:5" x14ac:dyDescent="0.25">
      <c r="A45" s="47" t="s">
        <v>1511</v>
      </c>
      <c r="B45" s="46" t="str">
        <f>IF(LEN([1]!GetFolder(A45))&gt;LEN(Solution_Directory_Name),RIGHT([1]!GetFolder(A45),LEN([1]!GetFolder(A45))-LEN(Solution_Directory_Name)),"")</f>
        <v>\DLLServices2</v>
      </c>
      <c r="C45" s="46" t="str">
        <f>[1]!GetFile(A45)</f>
        <v>TimeDisplayFormatter.cs</v>
      </c>
      <c r="D45" s="49">
        <v>37827</v>
      </c>
      <c r="E45" s="48">
        <v>42175.55877314815</v>
      </c>
    </row>
    <row r="46" spans="1:5" x14ac:dyDescent="0.25">
      <c r="A46" s="47" t="s">
        <v>1510</v>
      </c>
      <c r="B46" s="46" t="str">
        <f>IF(LEN([1]!GetFolder(A46))&gt;LEN(Solution_Directory_Name),RIGHT([1]!GetFolder(A46),LEN([1]!GetFolder(A46))-LEN(Solution_Directory_Name)),"")</f>
        <v>\DLLServices2</v>
      </c>
      <c r="C46" s="46" t="str">
        <f>[1]!GetFile(A46)</f>
        <v>Util.cs</v>
      </c>
      <c r="D46" s="49">
        <v>40276</v>
      </c>
      <c r="E46" s="48">
        <v>42175.678159722222</v>
      </c>
    </row>
    <row r="47" spans="1:5" x14ac:dyDescent="0.25">
      <c r="A47" s="47" t="s">
        <v>1509</v>
      </c>
      <c r="B47" s="46" t="str">
        <f>IF(LEN([1]!GetFolder(A47))&gt;LEN(Solution_Directory_Name),RIGHT([1]!GetFolder(A47),LEN([1]!GetFolder(A47))-LEN(Solution_Directory_Name)),"")</f>
        <v>\DLLServices2</v>
      </c>
      <c r="C47" s="46" t="str">
        <f>[1]!GetFile(A47)</f>
        <v>WizardWrx.DLLServices2.dll.config</v>
      </c>
      <c r="D47" s="49">
        <v>5793</v>
      </c>
      <c r="E47" s="48">
        <v>42174.962650462963</v>
      </c>
    </row>
    <row r="48" spans="1:5" x14ac:dyDescent="0.25">
      <c r="A48" s="47" t="s">
        <v>1508</v>
      </c>
      <c r="B48" s="46" t="str">
        <f>IF(LEN([1]!GetFolder(A48))&gt;LEN(Solution_Directory_Name),RIGHT([1]!GetFolder(A48),LEN([1]!GetFolder(A48))-LEN(Solution_Directory_Name)),"")</f>
        <v>\DLLServices2\bin\Debug</v>
      </c>
      <c r="C48" s="46" t="str">
        <f>[1]!GetFile(A48)</f>
        <v>P6CUtilLib1.dll</v>
      </c>
      <c r="D48" s="49">
        <v>26112</v>
      </c>
      <c r="E48" s="48">
        <v>41775.788935185185</v>
      </c>
    </row>
    <row r="49" spans="1:5" x14ac:dyDescent="0.25">
      <c r="A49" s="47" t="s">
        <v>1507</v>
      </c>
      <c r="B49" s="46" t="str">
        <f>IF(LEN([1]!GetFolder(A49))&gt;LEN(Solution_Directory_Name),RIGHT([1]!GetFolder(A49),LEN([1]!GetFolder(A49))-LEN(Solution_Directory_Name)),"")</f>
        <v>\DLLServices2\bin\Debug</v>
      </c>
      <c r="C49" s="46" t="str">
        <f>[1]!GetFile(A49)</f>
        <v>WizardWrx.DLLServices2.dll</v>
      </c>
      <c r="D49" s="49">
        <v>108544</v>
      </c>
      <c r="E49" s="48">
        <v>42248.584583333337</v>
      </c>
    </row>
    <row r="50" spans="1:5" x14ac:dyDescent="0.25">
      <c r="A50" s="47" t="s">
        <v>1506</v>
      </c>
      <c r="B50" s="46" t="str">
        <f>IF(LEN([1]!GetFolder(A50))&gt;LEN(Solution_Directory_Name),RIGHT([1]!GetFolder(A50),LEN([1]!GetFolder(A50))-LEN(Solution_Directory_Name)),"")</f>
        <v>\DLLServices2\bin\Debug</v>
      </c>
      <c r="C50" s="46" t="str">
        <f>[1]!GetFile(A50)</f>
        <v>WizardWrx.DLLServices2.dll.config</v>
      </c>
      <c r="D50" s="49">
        <v>5793</v>
      </c>
      <c r="E50" s="48">
        <v>42174.962650462963</v>
      </c>
    </row>
    <row r="51" spans="1:5" x14ac:dyDescent="0.25">
      <c r="A51" s="47" t="s">
        <v>1505</v>
      </c>
      <c r="B51" s="46" t="str">
        <f>IF(LEN([1]!GetFolder(A51))&gt;LEN(Solution_Directory_Name),RIGHT([1]!GetFolder(A51),LEN([1]!GetFolder(A51))-LEN(Solution_Directory_Name)),"")</f>
        <v>\DLLServices2\bin\Debug</v>
      </c>
      <c r="C51" s="46" t="str">
        <f>[1]!GetFile(A51)</f>
        <v>WizardWrx.DLLServices2.pdb</v>
      </c>
      <c r="D51" s="49">
        <v>316928</v>
      </c>
      <c r="E51" s="48">
        <v>42248.584583333337</v>
      </c>
    </row>
    <row r="52" spans="1:5" x14ac:dyDescent="0.25">
      <c r="A52" s="47" t="s">
        <v>1504</v>
      </c>
      <c r="B52" s="46" t="str">
        <f>IF(LEN([1]!GetFolder(A52))&gt;LEN(Solution_Directory_Name),RIGHT([1]!GetFolder(A52),LEN([1]!GetFolder(A52))-LEN(Solution_Directory_Name)),"")</f>
        <v>\DLLServices2\bin\Debug</v>
      </c>
      <c r="C52" s="46" t="str">
        <f>[1]!GetFile(A52)</f>
        <v>WizardWrx.DLLServices2.XML</v>
      </c>
      <c r="D52" s="49">
        <v>581045</v>
      </c>
      <c r="E52" s="48">
        <v>42248.584583333337</v>
      </c>
    </row>
    <row r="53" spans="1:5" x14ac:dyDescent="0.25">
      <c r="A53" s="47" t="s">
        <v>1503</v>
      </c>
      <c r="B53" s="46" t="str">
        <f>IF(LEN([1]!GetFolder(A53))&gt;LEN(Solution_Directory_Name),RIGHT([1]!GetFolder(A53),LEN([1]!GetFolder(A53))-LEN(Solution_Directory_Name)),"")</f>
        <v>\DLLServices2\bin\Release</v>
      </c>
      <c r="C53" s="46" t="str">
        <f>[1]!GetFile(A53)</f>
        <v>P6CUtilLib1.dll</v>
      </c>
      <c r="D53" s="49">
        <v>26112</v>
      </c>
      <c r="E53" s="48">
        <v>41775.788935185185</v>
      </c>
    </row>
    <row r="54" spans="1:5" x14ac:dyDescent="0.25">
      <c r="A54" s="47" t="s">
        <v>1502</v>
      </c>
      <c r="B54" s="46" t="str">
        <f>IF(LEN([1]!GetFolder(A54))&gt;LEN(Solution_Directory_Name),RIGHT([1]!GetFolder(A54),LEN([1]!GetFolder(A54))-LEN(Solution_Directory_Name)),"")</f>
        <v>\DLLServices2\bin\Release</v>
      </c>
      <c r="C54" s="46" t="str">
        <f>[1]!GetFile(A54)</f>
        <v>WizardWrx.DLLServices2.dll</v>
      </c>
      <c r="D54" s="49">
        <v>96768</v>
      </c>
      <c r="E54" s="48">
        <v>42282.825543981482</v>
      </c>
    </row>
    <row r="55" spans="1:5" x14ac:dyDescent="0.25">
      <c r="A55" s="47" t="s">
        <v>1501</v>
      </c>
      <c r="B55" s="46" t="str">
        <f>IF(LEN([1]!GetFolder(A55))&gt;LEN(Solution_Directory_Name),RIGHT([1]!GetFolder(A55),LEN([1]!GetFolder(A55))-LEN(Solution_Directory_Name)),"")</f>
        <v>\DLLServices2\bin\Release</v>
      </c>
      <c r="C55" s="46" t="str">
        <f>[1]!GetFile(A55)</f>
        <v>WizardWrx.DLLServices2.dll.config</v>
      </c>
      <c r="D55" s="49">
        <v>5793</v>
      </c>
      <c r="E55" s="48">
        <v>42174.962650462963</v>
      </c>
    </row>
    <row r="56" spans="1:5" x14ac:dyDescent="0.25">
      <c r="A56" s="47" t="s">
        <v>1500</v>
      </c>
      <c r="B56" s="46" t="str">
        <f>IF(LEN([1]!GetFolder(A56))&gt;LEN(Solution_Directory_Name),RIGHT([1]!GetFolder(A56),LEN([1]!GetFolder(A56))-LEN(Solution_Directory_Name)),"")</f>
        <v>\DLLServices2\bin\Release</v>
      </c>
      <c r="C56" s="46" t="str">
        <f>[1]!GetFile(A56)</f>
        <v>WizardWrx.DLLServices2.pdb</v>
      </c>
      <c r="D56" s="49">
        <v>251392</v>
      </c>
      <c r="E56" s="48">
        <v>42282.825543981482</v>
      </c>
    </row>
    <row r="57" spans="1:5" x14ac:dyDescent="0.25">
      <c r="A57" s="47" t="s">
        <v>1499</v>
      </c>
      <c r="B57" s="46" t="str">
        <f>IF(LEN([1]!GetFolder(A57))&gt;LEN(Solution_Directory_Name),RIGHT([1]!GetFolder(A57),LEN([1]!GetFolder(A57))-LEN(Solution_Directory_Name)),"")</f>
        <v>\DLLServices2\bin\Release</v>
      </c>
      <c r="C57" s="46" t="str">
        <f>[1]!GetFile(A57)</f>
        <v>WizardWrx.DLLServices2.XML</v>
      </c>
      <c r="D57" s="49">
        <v>581045</v>
      </c>
      <c r="E57" s="48">
        <v>42282.825543981482</v>
      </c>
    </row>
    <row r="58" spans="1:5" x14ac:dyDescent="0.25">
      <c r="A58" s="47" t="s">
        <v>1498</v>
      </c>
      <c r="B58" s="46" t="str">
        <f>IF(LEN([1]!GetFolder(A58))&gt;LEN(Solution_Directory_Name),RIGHT([1]!GetFolder(A58),LEN([1]!GetFolder(A58))-LEN(Solution_Directory_Name)),"")</f>
        <v>\DLLServices2\obj\Debug</v>
      </c>
      <c r="C58" s="46" t="str">
        <f>[1]!GetFile(A58)</f>
        <v>DesignTimeResolveAssemblyReferences.cache</v>
      </c>
      <c r="D58" s="49">
        <v>793</v>
      </c>
      <c r="E58" s="48">
        <v>42178.377187500002</v>
      </c>
    </row>
    <row r="59" spans="1:5" x14ac:dyDescent="0.25">
      <c r="A59" s="47" t="s">
        <v>1497</v>
      </c>
      <c r="B59" s="46" t="str">
        <f>IF(LEN([1]!GetFolder(A59))&gt;LEN(Solution_Directory_Name),RIGHT([1]!GetFolder(A59),LEN([1]!GetFolder(A59))-LEN(Solution_Directory_Name)),"")</f>
        <v>\DLLServices2\obj\Debug</v>
      </c>
      <c r="C59" s="46" t="str">
        <f>[1]!GetFile(A59)</f>
        <v>DesignTimeResolveAssemblyReferencesInput.cache</v>
      </c>
      <c r="D59" s="49">
        <v>6037</v>
      </c>
      <c r="E59" s="48">
        <v>42242.852326388886</v>
      </c>
    </row>
    <row r="60" spans="1:5" x14ac:dyDescent="0.25">
      <c r="A60" s="47" t="s">
        <v>1496</v>
      </c>
      <c r="B60" s="46" t="str">
        <f>IF(LEN([1]!GetFolder(A60))&gt;LEN(Solution_Directory_Name),RIGHT([1]!GetFolder(A60),LEN([1]!GetFolder(A60))-LEN(Solution_Directory_Name)),"")</f>
        <v>\DLLServices2\obj\Debug</v>
      </c>
      <c r="C60" s="46" t="str">
        <f>[1]!GetFile(A60)</f>
        <v>DLLServices2.csproj.FileListAbsolute.txt</v>
      </c>
      <c r="D60" s="49">
        <v>1372</v>
      </c>
      <c r="E60" s="48">
        <v>42248.584583333337</v>
      </c>
    </row>
    <row r="61" spans="1:5" x14ac:dyDescent="0.25">
      <c r="A61" s="47" t="s">
        <v>1495</v>
      </c>
      <c r="B61" s="46" t="str">
        <f>IF(LEN([1]!GetFolder(A61))&gt;LEN(Solution_Directory_Name),RIGHT([1]!GetFolder(A61),LEN([1]!GetFolder(A61))-LEN(Solution_Directory_Name)),"")</f>
        <v>\DLLServices2\obj\Debug</v>
      </c>
      <c r="C61" s="46" t="str">
        <f>[1]!GetFile(A61)</f>
        <v>DLLServices2.csproj.GenerateResource.Cache</v>
      </c>
      <c r="D61" s="49">
        <v>789</v>
      </c>
      <c r="E61" s="48">
        <v>42248.554409722223</v>
      </c>
    </row>
    <row r="62" spans="1:5" x14ac:dyDescent="0.25">
      <c r="A62" s="47" t="s">
        <v>1494</v>
      </c>
      <c r="B62" s="46" t="str">
        <f>IF(LEN([1]!GetFolder(A62))&gt;LEN(Solution_Directory_Name),RIGHT([1]!GetFolder(A62),LEN([1]!GetFolder(A62))-LEN(Solution_Directory_Name)),"")</f>
        <v>\DLLServices2\obj\Debug</v>
      </c>
      <c r="C62" s="46" t="str">
        <f>[1]!GetFile(A62)</f>
        <v>DLLServices2.csprojResolveAssemblyReference.cache</v>
      </c>
      <c r="D62" s="49">
        <v>897</v>
      </c>
      <c r="E62" s="48">
        <v>42248.58457175926</v>
      </c>
    </row>
    <row r="63" spans="1:5" x14ac:dyDescent="0.25">
      <c r="A63" s="47" t="s">
        <v>1493</v>
      </c>
      <c r="B63" s="46" t="str">
        <f>IF(LEN([1]!GetFolder(A63))&gt;LEN(Solution_Directory_Name),RIGHT([1]!GetFolder(A63),LEN([1]!GetFolder(A63))-LEN(Solution_Directory_Name)),"")</f>
        <v>\DLLServices2\obj\Debug</v>
      </c>
      <c r="C63" s="46" t="str">
        <f>[1]!GetFile(A63)</f>
        <v>WizardWrx.DLLServices2.dll</v>
      </c>
      <c r="D63" s="49">
        <v>108544</v>
      </c>
      <c r="E63" s="48">
        <v>42248.584583333337</v>
      </c>
    </row>
    <row r="64" spans="1:5" x14ac:dyDescent="0.25">
      <c r="A64" s="47" t="s">
        <v>1492</v>
      </c>
      <c r="B64" s="46" t="str">
        <f>IF(LEN([1]!GetFolder(A64))&gt;LEN(Solution_Directory_Name),RIGHT([1]!GetFolder(A64),LEN([1]!GetFolder(A64))-LEN(Solution_Directory_Name)),"")</f>
        <v>\DLLServices2\obj\Debug</v>
      </c>
      <c r="C64" s="46" t="str">
        <f>[1]!GetFile(A64)</f>
        <v>WizardWrx.DLLServices2.pdb</v>
      </c>
      <c r="D64" s="49">
        <v>316928</v>
      </c>
      <c r="E64" s="48">
        <v>42248.584583333337</v>
      </c>
    </row>
    <row r="65" spans="1:5" x14ac:dyDescent="0.25">
      <c r="A65" s="47" t="s">
        <v>1491</v>
      </c>
      <c r="B65" s="46" t="str">
        <f>IF(LEN([1]!GetFolder(A65))&gt;LEN(Solution_Directory_Name),RIGHT([1]!GetFolder(A65),LEN([1]!GetFolder(A65))-LEN(Solution_Directory_Name)),"")</f>
        <v>\DLLServices2\obj\Debug</v>
      </c>
      <c r="C65" s="46" t="str">
        <f>[1]!GetFile(A65)</f>
        <v>WizardWrx.DLLServices2.Properties.Resources.resources</v>
      </c>
      <c r="D65" s="49">
        <v>4962</v>
      </c>
      <c r="E65" s="48">
        <v>42248.554409722223</v>
      </c>
    </row>
    <row r="66" spans="1:5" x14ac:dyDescent="0.25">
      <c r="A66" s="47" t="s">
        <v>1490</v>
      </c>
      <c r="B66" s="46" t="str">
        <f>IF(LEN([1]!GetFolder(A66))&gt;LEN(Solution_Directory_Name),RIGHT([1]!GetFolder(A66),LEN([1]!GetFolder(A66))-LEN(Solution_Directory_Name)),"")</f>
        <v>\DLLServices2\obj\Debug\TempPE</v>
      </c>
      <c r="C66" s="46" t="str">
        <f>[1]!GetFile(A66)</f>
        <v>Properties.Resources.Designer.cs.dll</v>
      </c>
      <c r="D66" s="49">
        <v>11776</v>
      </c>
      <c r="E66" s="48">
        <v>42248.120995370373</v>
      </c>
    </row>
    <row r="67" spans="1:5" x14ac:dyDescent="0.25">
      <c r="A67" s="47" t="s">
        <v>1489</v>
      </c>
      <c r="B67" s="46" t="str">
        <f>IF(LEN([1]!GetFolder(A67))&gt;LEN(Solution_Directory_Name),RIGHT([1]!GetFolder(A67),LEN([1]!GetFolder(A67))-LEN(Solution_Directory_Name)),"")</f>
        <v>\DLLServices2\obj\Release</v>
      </c>
      <c r="C67" s="46" t="str">
        <f>[1]!GetFile(A67)</f>
        <v>DesignTimeResolveAssemblyReferences.cache</v>
      </c>
      <c r="D67" s="49">
        <v>793</v>
      </c>
      <c r="E67" s="48">
        <v>42248.075335648151</v>
      </c>
    </row>
    <row r="68" spans="1:5" x14ac:dyDescent="0.25">
      <c r="A68" s="47" t="s">
        <v>1488</v>
      </c>
      <c r="B68" s="46" t="str">
        <f>IF(LEN([1]!GetFolder(A68))&gt;LEN(Solution_Directory_Name),RIGHT([1]!GetFolder(A68),LEN([1]!GetFolder(A68))-LEN(Solution_Directory_Name)),"")</f>
        <v>\DLLServices2\obj\Release</v>
      </c>
      <c r="C68" s="46" t="str">
        <f>[1]!GetFile(A68)</f>
        <v>DesignTimeResolveAssemblyReferencesInput.cache</v>
      </c>
      <c r="D68" s="49">
        <v>6041</v>
      </c>
      <c r="E68" s="48">
        <v>42242.852152777778</v>
      </c>
    </row>
    <row r="69" spans="1:5" x14ac:dyDescent="0.25">
      <c r="A69" s="47" t="s">
        <v>1487</v>
      </c>
      <c r="B69" s="46" t="str">
        <f>IF(LEN([1]!GetFolder(A69))&gt;LEN(Solution_Directory_Name),RIGHT([1]!GetFolder(A69),LEN([1]!GetFolder(A69))-LEN(Solution_Directory_Name)),"")</f>
        <v>\DLLServices2\obj\Release</v>
      </c>
      <c r="C69" s="46" t="str">
        <f>[1]!GetFile(A69)</f>
        <v>DLLServices2.csproj.FileListAbsolute.txt</v>
      </c>
      <c r="D69" s="49">
        <v>1392</v>
      </c>
      <c r="E69" s="48">
        <v>42282.825543981482</v>
      </c>
    </row>
    <row r="70" spans="1:5" x14ac:dyDescent="0.25">
      <c r="A70" s="47" t="s">
        <v>1486</v>
      </c>
      <c r="B70" s="46" t="str">
        <f>IF(LEN([1]!GetFolder(A70))&gt;LEN(Solution_Directory_Name),RIGHT([1]!GetFolder(A70),LEN([1]!GetFolder(A70))-LEN(Solution_Directory_Name)),"")</f>
        <v>\DLLServices2\obj\Release</v>
      </c>
      <c r="C70" s="46" t="str">
        <f>[1]!GetFile(A70)</f>
        <v>DLLServices2.csproj.GenerateResource.Cache</v>
      </c>
      <c r="D70" s="49">
        <v>789</v>
      </c>
      <c r="E70" s="48">
        <v>42282.825532407405</v>
      </c>
    </row>
    <row r="71" spans="1:5" x14ac:dyDescent="0.25">
      <c r="A71" s="47" t="s">
        <v>1485</v>
      </c>
      <c r="B71" s="46" t="str">
        <f>IF(LEN([1]!GetFolder(A71))&gt;LEN(Solution_Directory_Name),RIGHT([1]!GetFolder(A71),LEN([1]!GetFolder(A71))-LEN(Solution_Directory_Name)),"")</f>
        <v>\DLLServices2\obj\Release</v>
      </c>
      <c r="C71" s="46" t="str">
        <f>[1]!GetFile(A71)</f>
        <v>DLLServices2.csprojResolveAssemblyReference.cache</v>
      </c>
      <c r="D71" s="49">
        <v>897</v>
      </c>
      <c r="E71" s="48">
        <v>42282.825532407405</v>
      </c>
    </row>
    <row r="72" spans="1:5" x14ac:dyDescent="0.25">
      <c r="A72" s="47" t="s">
        <v>1484</v>
      </c>
      <c r="B72" s="46" t="str">
        <f>IF(LEN([1]!GetFolder(A72))&gt;LEN(Solution_Directory_Name),RIGHT([1]!GetFolder(A72),LEN([1]!GetFolder(A72))-LEN(Solution_Directory_Name)),"")</f>
        <v>\DLLServices2\obj\Release</v>
      </c>
      <c r="C72" s="46" t="str">
        <f>[1]!GetFile(A72)</f>
        <v>WizardWrx.DLLServices2.dll</v>
      </c>
      <c r="D72" s="49">
        <v>96768</v>
      </c>
      <c r="E72" s="48">
        <v>42282.825543981482</v>
      </c>
    </row>
    <row r="73" spans="1:5" x14ac:dyDescent="0.25">
      <c r="A73" s="47" t="s">
        <v>1483</v>
      </c>
      <c r="B73" s="46" t="str">
        <f>IF(LEN([1]!GetFolder(A73))&gt;LEN(Solution_Directory_Name),RIGHT([1]!GetFolder(A73),LEN([1]!GetFolder(A73))-LEN(Solution_Directory_Name)),"")</f>
        <v>\DLLServices2\obj\Release</v>
      </c>
      <c r="C73" s="46" t="str">
        <f>[1]!GetFile(A73)</f>
        <v>WizardWrx.DLLServices2.pdb</v>
      </c>
      <c r="D73" s="49">
        <v>251392</v>
      </c>
      <c r="E73" s="48">
        <v>42282.825543981482</v>
      </c>
    </row>
    <row r="74" spans="1:5" x14ac:dyDescent="0.25">
      <c r="A74" s="47" t="s">
        <v>1482</v>
      </c>
      <c r="B74" s="46" t="str">
        <f>IF(LEN([1]!GetFolder(A74))&gt;LEN(Solution_Directory_Name),RIGHT([1]!GetFolder(A74),LEN([1]!GetFolder(A74))-LEN(Solution_Directory_Name)),"")</f>
        <v>\DLLServices2\obj\Release</v>
      </c>
      <c r="C74" s="46" t="str">
        <f>[1]!GetFile(A74)</f>
        <v>WizardWrx.DLLServices2.Properties.Resources.resources</v>
      </c>
      <c r="D74" s="49">
        <v>4962</v>
      </c>
      <c r="E74" s="48">
        <v>42282.825532407405</v>
      </c>
    </row>
    <row r="75" spans="1:5" x14ac:dyDescent="0.25">
      <c r="A75" s="47" t="s">
        <v>1481</v>
      </c>
      <c r="B75" s="46" t="str">
        <f>IF(LEN([1]!GetFolder(A75))&gt;LEN(Solution_Directory_Name),RIGHT([1]!GetFolder(A75),LEN([1]!GetFolder(A75))-LEN(Solution_Directory_Name)),"")</f>
        <v>\DLLServices2\obj\Release\TempPE</v>
      </c>
      <c r="C75" s="46" t="str">
        <f>[1]!GetFile(A75)</f>
        <v>Properties.Resources.Designer.cs.dll</v>
      </c>
      <c r="D75" s="49">
        <v>11776</v>
      </c>
      <c r="E75" s="48">
        <v>42248.120671296296</v>
      </c>
    </row>
    <row r="76" spans="1:5" x14ac:dyDescent="0.25">
      <c r="A76" s="47" t="s">
        <v>1480</v>
      </c>
      <c r="B76" s="46" t="str">
        <f>IF(LEN([1]!GetFolder(A76))&gt;LEN(Solution_Directory_Name),RIGHT([1]!GetFolder(A76),LEN([1]!GetFolder(A76))-LEN(Solution_Directory_Name)),"")</f>
        <v>\DLLServices2\Properties</v>
      </c>
      <c r="C76" s="46" t="str">
        <f>[1]!GetFile(A76)</f>
        <v>AssemblyInfo.cs</v>
      </c>
      <c r="D76" s="49">
        <v>3143</v>
      </c>
      <c r="E76" s="48">
        <v>42282.825497685182</v>
      </c>
    </row>
    <row r="77" spans="1:5" x14ac:dyDescent="0.25">
      <c r="A77" s="47" t="s">
        <v>1479</v>
      </c>
      <c r="B77" s="46" t="str">
        <f>IF(LEN([1]!GetFolder(A77))&gt;LEN(Solution_Directory_Name),RIGHT([1]!GetFolder(A77),LEN([1]!GetFolder(A77))-LEN(Solution_Directory_Name)),"")</f>
        <v>\DLLServices2\Properties</v>
      </c>
      <c r="C77" s="46" t="str">
        <f>[1]!GetFile(A77)</f>
        <v>Resources.Designer.cs</v>
      </c>
      <c r="D77" s="49">
        <v>18562</v>
      </c>
      <c r="E77" s="48">
        <v>42248.120671296296</v>
      </c>
    </row>
    <row r="78" spans="1:5" x14ac:dyDescent="0.25">
      <c r="A78" s="47" t="s">
        <v>1478</v>
      </c>
      <c r="B78" s="46" t="str">
        <f>IF(LEN([1]!GetFolder(A78))&gt;LEN(Solution_Directory_Name),RIGHT([1]!GetFolder(A78),LEN([1]!GetFolder(A78))-LEN(Solution_Directory_Name)),"")</f>
        <v>\DLLServices2\Properties</v>
      </c>
      <c r="C78" s="46" t="str">
        <f>[1]!GetFile(A78)</f>
        <v>Resources.resx</v>
      </c>
      <c r="D78" s="49">
        <v>14131</v>
      </c>
      <c r="E78" s="48">
        <v>42248.120671296296</v>
      </c>
    </row>
    <row r="79" spans="1:5" x14ac:dyDescent="0.25">
      <c r="A79" s="47" t="s">
        <v>1477</v>
      </c>
      <c r="B79" s="46" t="str">
        <f>IF(LEN([1]!GetFolder(A79))&gt;LEN(Solution_Directory_Name),RIGHT([1]!GetFolder(A79),LEN([1]!GetFolder(A79))-LEN(Solution_Directory_Name)),"")</f>
        <v>\DLLServices2TestStand</v>
      </c>
      <c r="C79" s="46" t="str">
        <f>[1]!GetFile(A79)</f>
        <v>app.config</v>
      </c>
      <c r="D79" s="49">
        <v>4871</v>
      </c>
      <c r="E79" s="48">
        <v>42174.8200462963</v>
      </c>
    </row>
    <row r="80" spans="1:5" x14ac:dyDescent="0.25">
      <c r="A80" s="47" t="s">
        <v>1476</v>
      </c>
      <c r="B80" s="46" t="str">
        <f>IF(LEN([1]!GetFolder(A80))&gt;LEN(Solution_Directory_Name),RIGHT([1]!GetFolder(A80),LEN([1]!GetFolder(A80))-LEN(Solution_Directory_Name)),"")</f>
        <v>\DLLServices2TestStand</v>
      </c>
      <c r="C80" s="46" t="str">
        <f>[1]!GetFile(A80)</f>
        <v>BuildHistory.LOG</v>
      </c>
      <c r="D80" s="49">
        <v>95882</v>
      </c>
      <c r="E80" s="48">
        <v>42282.825590277775</v>
      </c>
    </row>
    <row r="81" spans="1:5" x14ac:dyDescent="0.25">
      <c r="A81" s="47" t="s">
        <v>1475</v>
      </c>
      <c r="B81" s="46" t="str">
        <f>IF(LEN([1]!GetFolder(A81))&gt;LEN(Solution_Directory_Name),RIGHT([1]!GetFolder(A81),LEN([1]!GetFolder(A81))-LEN(Solution_Directory_Name)),"")</f>
        <v>\DLLServices2TestStand</v>
      </c>
      <c r="C81" s="46" t="str">
        <f>[1]!GetFile(A81)</f>
        <v>ClassTestMap.TXT</v>
      </c>
      <c r="D81" s="49">
        <v>325</v>
      </c>
      <c r="E81" s="48">
        <v>42247.026909722219</v>
      </c>
    </row>
    <row r="82" spans="1:5" x14ac:dyDescent="0.25">
      <c r="A82" s="47" t="s">
        <v>1474</v>
      </c>
      <c r="B82" s="46" t="str">
        <f>IF(LEN([1]!GetFolder(A82))&gt;LEN(Solution_Directory_Name),RIGHT([1]!GetFolder(A82),LEN([1]!GetFolder(A82))-LEN(Solution_Directory_Name)),"")</f>
        <v>\DLLServices2TestStand</v>
      </c>
      <c r="C82" s="46" t="str">
        <f>[1]!GetFile(A82)</f>
        <v>CmdLneArgsTests.cs</v>
      </c>
      <c r="D82" s="49">
        <v>36806</v>
      </c>
      <c r="E82" s="48">
        <v>42175.529432870368</v>
      </c>
    </row>
    <row r="83" spans="1:5" x14ac:dyDescent="0.25">
      <c r="A83" s="47" t="s">
        <v>1473</v>
      </c>
      <c r="B83" s="46" t="str">
        <f>IF(LEN([1]!GetFolder(A83))&gt;LEN(Solution_Directory_Name),RIGHT([1]!GetFolder(A83),LEN([1]!GetFolder(A83))-LEN(Solution_Directory_Name)),"")</f>
        <v>\DLLServices2TestStand</v>
      </c>
      <c r="C83" s="46" t="str">
        <f>[1]!GetFile(A83)</f>
        <v>DLLServices2TestStand.csproj</v>
      </c>
      <c r="D83" s="49">
        <v>4262</v>
      </c>
      <c r="E83" s="48">
        <v>42242.844895833332</v>
      </c>
    </row>
    <row r="84" spans="1:5" x14ac:dyDescent="0.25">
      <c r="A84" s="47" t="s">
        <v>1472</v>
      </c>
      <c r="B84" s="46" t="str">
        <f>IF(LEN([1]!GetFolder(A84))&gt;LEN(Solution_Directory_Name),RIGHT([1]!GetFolder(A84),LEN([1]!GetFolder(A84))-LEN(Solution_Directory_Name)),"")</f>
        <v>\DLLServices2TestStand</v>
      </c>
      <c r="C84" s="46" t="str">
        <f>[1]!GetFile(A84)</f>
        <v>NewClassTests_20140914.cs</v>
      </c>
      <c r="D84" s="49">
        <v>59226</v>
      </c>
      <c r="E84" s="48">
        <v>42247.038310185184</v>
      </c>
    </row>
    <row r="85" spans="1:5" x14ac:dyDescent="0.25">
      <c r="A85" s="47" t="s">
        <v>1471</v>
      </c>
      <c r="B85" s="46" t="str">
        <f>IF(LEN([1]!GetFolder(A85))&gt;LEN(Solution_Directory_Name),RIGHT([1]!GetFolder(A85),LEN([1]!GetFolder(A85))-LEN(Solution_Directory_Name)),"")</f>
        <v>\DLLServices2TestStand</v>
      </c>
      <c r="C85" s="46" t="str">
        <f>[1]!GetFile(A85)</f>
        <v>Program.cs</v>
      </c>
      <c r="D85" s="49">
        <v>31253</v>
      </c>
      <c r="E85" s="48">
        <v>42248.548622685186</v>
      </c>
    </row>
    <row r="86" spans="1:5" x14ac:dyDescent="0.25">
      <c r="A86" s="47" t="s">
        <v>1470</v>
      </c>
      <c r="B86" s="46" t="str">
        <f>IF(LEN([1]!GetFolder(A86))&gt;LEN(Solution_Directory_Name),RIGHT([1]!GetFolder(A86),LEN([1]!GetFolder(A86))-LEN(Solution_Directory_Name)),"")</f>
        <v>\DLLServices2TestStand</v>
      </c>
      <c r="C86" s="46" t="str">
        <f>[1]!GetFile(A86)</f>
        <v>WW_Icon1.ico</v>
      </c>
      <c r="D86" s="49">
        <v>10134</v>
      </c>
      <c r="E86" s="48">
        <v>41327.535300925927</v>
      </c>
    </row>
    <row r="87" spans="1:5" x14ac:dyDescent="0.25">
      <c r="A87" s="47" t="s">
        <v>1469</v>
      </c>
      <c r="B87" s="46" t="str">
        <f>IF(LEN([1]!GetFolder(A87))&gt;LEN(Solution_Directory_Name),RIGHT([1]!GetFolder(A87),LEN([1]!GetFolder(A87))-LEN(Solution_Directory_Name)),"")</f>
        <v>\DLLServices2TestStand\bin\Debug</v>
      </c>
      <c r="C87" s="46" t="str">
        <f>[1]!GetFile(A87)</f>
        <v>DLLServices2TestStand.exe</v>
      </c>
      <c r="D87" s="49">
        <v>76288</v>
      </c>
      <c r="E87" s="48">
        <v>42248.584629629629</v>
      </c>
    </row>
    <row r="88" spans="1:5" x14ac:dyDescent="0.25">
      <c r="A88" s="47" t="s">
        <v>1468</v>
      </c>
      <c r="B88" s="46" t="str">
        <f>IF(LEN([1]!GetFolder(A88))&gt;LEN(Solution_Directory_Name),RIGHT([1]!GetFolder(A88),LEN([1]!GetFolder(A88))-LEN(Solution_Directory_Name)),"")</f>
        <v>\DLLServices2TestStand\bin\Debug</v>
      </c>
      <c r="C88" s="46" t="str">
        <f>[1]!GetFile(A88)</f>
        <v>DLLServices2TestStand.exe.config</v>
      </c>
      <c r="D88" s="49">
        <v>4871</v>
      </c>
      <c r="E88" s="48">
        <v>42174.8200462963</v>
      </c>
    </row>
    <row r="89" spans="1:5" x14ac:dyDescent="0.25">
      <c r="A89" s="47" t="s">
        <v>1467</v>
      </c>
      <c r="B89" s="46" t="str">
        <f>IF(LEN([1]!GetFolder(A89))&gt;LEN(Solution_Directory_Name),RIGHT([1]!GetFolder(A89),LEN([1]!GetFolder(A89))-LEN(Solution_Directory_Name)),"")</f>
        <v>\DLLServices2TestStand\bin\Debug</v>
      </c>
      <c r="C89" s="46" t="str">
        <f>[1]!GetFile(A89)</f>
        <v>DLLServices2TestStand.pdb</v>
      </c>
      <c r="D89" s="49">
        <v>77312</v>
      </c>
      <c r="E89" s="48">
        <v>42248.584629629629</v>
      </c>
    </row>
    <row r="90" spans="1:5" x14ac:dyDescent="0.25">
      <c r="A90" s="47" t="s">
        <v>1466</v>
      </c>
      <c r="B90" s="46" t="str">
        <f>IF(LEN([1]!GetFolder(A90))&gt;LEN(Solution_Directory_Name),RIGHT([1]!GetFolder(A90),LEN([1]!GetFolder(A90))-LEN(Solution_Directory_Name)),"")</f>
        <v>\DLLServices2TestStand\bin\Debug</v>
      </c>
      <c r="C90" s="46" t="str">
        <f>[1]!GetFile(A90)</f>
        <v>DLLServices2TestStand.sln</v>
      </c>
      <c r="D90" s="49">
        <v>1311</v>
      </c>
      <c r="E90" s="48">
        <v>42176.958101851851</v>
      </c>
    </row>
    <row r="91" spans="1:5" x14ac:dyDescent="0.25">
      <c r="A91" s="47" t="s">
        <v>1465</v>
      </c>
      <c r="B91" s="46" t="str">
        <f>IF(LEN([1]!GetFolder(A91))&gt;LEN(Solution_Directory_Name),RIGHT([1]!GetFolder(A91),LEN([1]!GetFolder(A91))-LEN(Solution_Directory_Name)),"")</f>
        <v>\DLLServices2TestStand\bin\Debug</v>
      </c>
      <c r="C91" s="46" t="str">
        <f>[1]!GetFile(A91)</f>
        <v>DLLServices2TestStand.vshost.exe</v>
      </c>
      <c r="D91" s="49">
        <v>21656</v>
      </c>
      <c r="E91" s="48">
        <v>42166.127291666664</v>
      </c>
    </row>
    <row r="92" spans="1:5" x14ac:dyDescent="0.25">
      <c r="A92" s="47" t="s">
        <v>1464</v>
      </c>
      <c r="B92" s="46" t="str">
        <f>IF(LEN([1]!GetFolder(A92))&gt;LEN(Solution_Directory_Name),RIGHT([1]!GetFolder(A92),LEN([1]!GetFolder(A92))-LEN(Solution_Directory_Name)),"")</f>
        <v>\DLLServices2TestStand\bin\Debug</v>
      </c>
      <c r="C92" s="46" t="str">
        <f>[1]!GetFile(A92)</f>
        <v>DLLServices2TestStand.vshost.exe.config</v>
      </c>
      <c r="D92" s="49">
        <v>406</v>
      </c>
      <c r="E92" s="48">
        <v>41796.052708333336</v>
      </c>
    </row>
    <row r="93" spans="1:5" x14ac:dyDescent="0.25">
      <c r="A93" s="47" t="s">
        <v>1463</v>
      </c>
      <c r="B93" s="46" t="str">
        <f>IF(LEN([1]!GetFolder(A93))&gt;LEN(Solution_Directory_Name),RIGHT([1]!GetFolder(A93),LEN([1]!GetFolder(A93))-LEN(Solution_Directory_Name)),"")</f>
        <v>\DLLServices2TestStand\bin\Debug</v>
      </c>
      <c r="C93" s="46" t="str">
        <f>[1]!GetFile(A93)</f>
        <v>DLLServices2TestStand.vshost.exe.manifest</v>
      </c>
      <c r="D93" s="49">
        <v>490</v>
      </c>
      <c r="E93" s="48">
        <v>40255.027268518519</v>
      </c>
    </row>
    <row r="94" spans="1:5" x14ac:dyDescent="0.25">
      <c r="A94" s="47" t="s">
        <v>1462</v>
      </c>
      <c r="B94" s="46" t="str">
        <f>IF(LEN([1]!GetFolder(A94))&gt;LEN(Solution_Directory_Name),RIGHT([1]!GetFolder(A94),LEN([1]!GetFolder(A94))-LEN(Solution_Directory_Name)),"")</f>
        <v>\DLLServices2TestStand\bin\Debug</v>
      </c>
      <c r="C94" s="46" t="str">
        <f>[1]!GetFile(A94)</f>
        <v>P6CUtilLib1.dll</v>
      </c>
      <c r="D94" s="49">
        <v>26112</v>
      </c>
      <c r="E94" s="48">
        <v>41775.788935185185</v>
      </c>
    </row>
    <row r="95" spans="1:5" x14ac:dyDescent="0.25">
      <c r="A95" s="47" t="s">
        <v>1461</v>
      </c>
      <c r="B95" s="46" t="str">
        <f>IF(LEN([1]!GetFolder(A95))&gt;LEN(Solution_Directory_Name),RIGHT([1]!GetFolder(A95),LEN([1]!GetFolder(A95))-LEN(Solution_Directory_Name)),"")</f>
        <v>\DLLServices2TestStand\bin\Debug</v>
      </c>
      <c r="C95" s="46" t="str">
        <f>[1]!GetFile(A95)</f>
        <v>WizardWrx.DLLServices2.dll</v>
      </c>
      <c r="D95" s="49">
        <v>108544</v>
      </c>
      <c r="E95" s="48">
        <v>42248.584583333337</v>
      </c>
    </row>
    <row r="96" spans="1:5" x14ac:dyDescent="0.25">
      <c r="A96" s="47" t="s">
        <v>1460</v>
      </c>
      <c r="B96" s="46" t="str">
        <f>IF(LEN([1]!GetFolder(A96))&gt;LEN(Solution_Directory_Name),RIGHT([1]!GetFolder(A96),LEN([1]!GetFolder(A96))-LEN(Solution_Directory_Name)),"")</f>
        <v>\DLLServices2TestStand\bin\Debug</v>
      </c>
      <c r="C96" s="46" t="str">
        <f>[1]!GetFile(A96)</f>
        <v>WizardWrx.DLLServices2.dll.config</v>
      </c>
      <c r="D96" s="49">
        <v>5793</v>
      </c>
      <c r="E96" s="48">
        <v>42174.962650462963</v>
      </c>
    </row>
    <row r="97" spans="1:5" x14ac:dyDescent="0.25">
      <c r="A97" s="47" t="s">
        <v>1459</v>
      </c>
      <c r="B97" s="46" t="str">
        <f>IF(LEN([1]!GetFolder(A97))&gt;LEN(Solution_Directory_Name),RIGHT([1]!GetFolder(A97),LEN([1]!GetFolder(A97))-LEN(Solution_Directory_Name)),"")</f>
        <v>\DLLServices2TestStand\bin\Debug</v>
      </c>
      <c r="C97" s="46" t="str">
        <f>[1]!GetFile(A97)</f>
        <v>WizardWrx.DLLServices2.pdb</v>
      </c>
      <c r="D97" s="49">
        <v>316928</v>
      </c>
      <c r="E97" s="48">
        <v>42248.584583333337</v>
      </c>
    </row>
    <row r="98" spans="1:5" x14ac:dyDescent="0.25">
      <c r="A98" s="47" t="s">
        <v>1458</v>
      </c>
      <c r="B98" s="46" t="str">
        <f>IF(LEN([1]!GetFolder(A98))&gt;LEN(Solution_Directory_Name),RIGHT([1]!GetFolder(A98),LEN([1]!GetFolder(A98))-LEN(Solution_Directory_Name)),"")</f>
        <v>\DLLServices2TestStand\bin\Debug</v>
      </c>
      <c r="C98" s="46" t="str">
        <f>[1]!GetFile(A98)</f>
        <v>WizardWrx.DLLServices2.xml</v>
      </c>
      <c r="D98" s="49">
        <v>581045</v>
      </c>
      <c r="E98" s="48">
        <v>42248.584583333337</v>
      </c>
    </row>
    <row r="99" spans="1:5" x14ac:dyDescent="0.25">
      <c r="A99" s="47" t="s">
        <v>1457</v>
      </c>
      <c r="B99" s="46" t="str">
        <f>IF(LEN([1]!GetFolder(A99))&gt;LEN(Solution_Directory_Name),RIGHT([1]!GetFolder(A99),LEN([1]!GetFolder(A99))-LEN(Solution_Directory_Name)),"")</f>
        <v>\DLLServices2TestStand\bin\Debug</v>
      </c>
      <c r="C99" s="46" t="str">
        <f>[1]!GetFile(A99)</f>
        <v>WWConAid.dll</v>
      </c>
      <c r="D99" s="49">
        <v>16896</v>
      </c>
      <c r="E99" s="48">
        <v>42194.909583333334</v>
      </c>
    </row>
    <row r="100" spans="1:5" x14ac:dyDescent="0.25">
      <c r="A100" s="47" t="s">
        <v>1456</v>
      </c>
      <c r="B100" s="46" t="str">
        <f>IF(LEN([1]!GetFolder(A100))&gt;LEN(Solution_Directory_Name),RIGHT([1]!GetFolder(A100),LEN([1]!GetFolder(A100))-LEN(Solution_Directory_Name)),"")</f>
        <v>\DLLServices2TestStand\bin\Release</v>
      </c>
      <c r="C100" s="46" t="str">
        <f>[1]!GetFile(A100)</f>
        <v>DLLServices2TestStand.exe</v>
      </c>
      <c r="D100" s="49">
        <v>74240</v>
      </c>
      <c r="E100" s="48">
        <v>42282.825590277775</v>
      </c>
    </row>
    <row r="101" spans="1:5" x14ac:dyDescent="0.25">
      <c r="A101" s="47" t="s">
        <v>1455</v>
      </c>
      <c r="B101" s="46" t="str">
        <f>IF(LEN([1]!GetFolder(A101))&gt;LEN(Solution_Directory_Name),RIGHT([1]!GetFolder(A101),LEN([1]!GetFolder(A101))-LEN(Solution_Directory_Name)),"")</f>
        <v>\DLLServices2TestStand\bin\Release</v>
      </c>
      <c r="C101" s="46" t="str">
        <f>[1]!GetFile(A101)</f>
        <v>DLLServices2TestStand.exe.config</v>
      </c>
      <c r="D101" s="49">
        <v>4871</v>
      </c>
      <c r="E101" s="48">
        <v>42174.8200462963</v>
      </c>
    </row>
    <row r="102" spans="1:5" x14ac:dyDescent="0.25">
      <c r="A102" s="47" t="s">
        <v>1454</v>
      </c>
      <c r="B102" s="46" t="str">
        <f>IF(LEN([1]!GetFolder(A102))&gt;LEN(Solution_Directory_Name),RIGHT([1]!GetFolder(A102),LEN([1]!GetFolder(A102))-LEN(Solution_Directory_Name)),"")</f>
        <v>\DLLServices2TestStand\bin\Release</v>
      </c>
      <c r="C102" s="46" t="str">
        <f>[1]!GetFile(A102)</f>
        <v>DLLServices2TestStand.pdb</v>
      </c>
      <c r="D102" s="49">
        <v>67072</v>
      </c>
      <c r="E102" s="48">
        <v>42282.825590277775</v>
      </c>
    </row>
    <row r="103" spans="1:5" x14ac:dyDescent="0.25">
      <c r="A103" s="47" t="s">
        <v>1453</v>
      </c>
      <c r="B103" s="46" t="str">
        <f>IF(LEN([1]!GetFolder(A103))&gt;LEN(Solution_Directory_Name),RIGHT([1]!GetFolder(A103),LEN([1]!GetFolder(A103))-LEN(Solution_Directory_Name)),"")</f>
        <v>\DLLServices2TestStand\bin\Release</v>
      </c>
      <c r="C103" s="46" t="str">
        <f>[1]!GetFile(A103)</f>
        <v>DLLServices2TestStand.sln</v>
      </c>
      <c r="D103" s="49">
        <v>1315</v>
      </c>
      <c r="E103" s="48">
        <v>42242.877129629633</v>
      </c>
    </row>
    <row r="104" spans="1:5" x14ac:dyDescent="0.25">
      <c r="A104" s="47" t="s">
        <v>1452</v>
      </c>
      <c r="B104" s="46" t="str">
        <f>IF(LEN([1]!GetFolder(A104))&gt;LEN(Solution_Directory_Name),RIGHT([1]!GetFolder(A104),LEN([1]!GetFolder(A104))-LEN(Solution_Directory_Name)),"")</f>
        <v>\DLLServices2TestStand\bin\Release</v>
      </c>
      <c r="C104" s="46" t="str">
        <f>[1]!GetFile(A104)</f>
        <v>DLLServices2TestStand.vshost.exe</v>
      </c>
      <c r="D104" s="49">
        <v>21656</v>
      </c>
      <c r="E104" s="48">
        <v>42285.624756944446</v>
      </c>
    </row>
    <row r="105" spans="1:5" x14ac:dyDescent="0.25">
      <c r="A105" s="47" t="s">
        <v>1451</v>
      </c>
      <c r="B105" s="46" t="str">
        <f>IF(LEN([1]!GetFolder(A105))&gt;LEN(Solution_Directory_Name),RIGHT([1]!GetFolder(A105),LEN([1]!GetFolder(A105))-LEN(Solution_Directory_Name)),"")</f>
        <v>\DLLServices2TestStand\bin\Release</v>
      </c>
      <c r="C105" s="46" t="str">
        <f>[1]!GetFile(A105)</f>
        <v>DLLServices2TestStand.vshost.exe.config</v>
      </c>
      <c r="D105" s="49">
        <v>4871</v>
      </c>
      <c r="E105" s="48">
        <v>42174.8200462963</v>
      </c>
    </row>
    <row r="106" spans="1:5" x14ac:dyDescent="0.25">
      <c r="A106" s="47" t="s">
        <v>1450</v>
      </c>
      <c r="B106" s="46" t="str">
        <f>IF(LEN([1]!GetFolder(A106))&gt;LEN(Solution_Directory_Name),RIGHT([1]!GetFolder(A106),LEN([1]!GetFolder(A106))-LEN(Solution_Directory_Name)),"")</f>
        <v>\DLLServices2TestStand\bin\Release</v>
      </c>
      <c r="C106" s="46" t="str">
        <f>[1]!GetFile(A106)</f>
        <v>DLLServices2TestStand.vshost.exe.manifest</v>
      </c>
      <c r="D106" s="49">
        <v>490</v>
      </c>
      <c r="E106" s="48">
        <v>40255.027268518519</v>
      </c>
    </row>
    <row r="107" spans="1:5" x14ac:dyDescent="0.25">
      <c r="A107" s="47" t="s">
        <v>1449</v>
      </c>
      <c r="B107" s="46" t="str">
        <f>IF(LEN([1]!GetFolder(A107))&gt;LEN(Solution_Directory_Name),RIGHT([1]!GetFolder(A107),LEN([1]!GetFolder(A107))-LEN(Solution_Directory_Name)),"")</f>
        <v>\DLLServices2TestStand\bin\Release</v>
      </c>
      <c r="C107" s="46" t="str">
        <f>[1]!GetFile(A107)</f>
        <v>P6CUtilLib1.dll</v>
      </c>
      <c r="D107" s="49">
        <v>26112</v>
      </c>
      <c r="E107" s="48">
        <v>41775.788935185185</v>
      </c>
    </row>
    <row r="108" spans="1:5" x14ac:dyDescent="0.25">
      <c r="A108" s="47" t="s">
        <v>1448</v>
      </c>
      <c r="B108" s="46" t="str">
        <f>IF(LEN([1]!GetFolder(A108))&gt;LEN(Solution_Directory_Name),RIGHT([1]!GetFolder(A108),LEN([1]!GetFolder(A108))-LEN(Solution_Directory_Name)),"")</f>
        <v>\DLLServices2TestStand\bin\Release</v>
      </c>
      <c r="C108" s="46" t="str">
        <f>[1]!GetFile(A108)</f>
        <v>WizardWrx.DLLServices2.dll</v>
      </c>
      <c r="D108" s="49">
        <v>96768</v>
      </c>
      <c r="E108" s="48">
        <v>42282.825543981482</v>
      </c>
    </row>
    <row r="109" spans="1:5" x14ac:dyDescent="0.25">
      <c r="A109" s="47" t="s">
        <v>1447</v>
      </c>
      <c r="B109" s="46" t="str">
        <f>IF(LEN([1]!GetFolder(A109))&gt;LEN(Solution_Directory_Name),RIGHT([1]!GetFolder(A109),LEN([1]!GetFolder(A109))-LEN(Solution_Directory_Name)),"")</f>
        <v>\DLLServices2TestStand\bin\Release</v>
      </c>
      <c r="C109" s="46" t="str">
        <f>[1]!GetFile(A109)</f>
        <v>WizardWrx.DLLServices2.dll.config</v>
      </c>
      <c r="D109" s="49">
        <v>5793</v>
      </c>
      <c r="E109" s="48">
        <v>42174.962650462963</v>
      </c>
    </row>
    <row r="110" spans="1:5" x14ac:dyDescent="0.25">
      <c r="A110" s="47" t="s">
        <v>1446</v>
      </c>
      <c r="B110" s="46" t="str">
        <f>IF(LEN([1]!GetFolder(A110))&gt;LEN(Solution_Directory_Name),RIGHT([1]!GetFolder(A110),LEN([1]!GetFolder(A110))-LEN(Solution_Directory_Name)),"")</f>
        <v>\DLLServices2TestStand\bin\Release</v>
      </c>
      <c r="C110" s="46" t="str">
        <f>[1]!GetFile(A110)</f>
        <v>WizardWrx.DLLServices2.pdb</v>
      </c>
      <c r="D110" s="49">
        <v>251392</v>
      </c>
      <c r="E110" s="48">
        <v>42282.825543981482</v>
      </c>
    </row>
    <row r="111" spans="1:5" x14ac:dyDescent="0.25">
      <c r="A111" s="47" t="s">
        <v>1445</v>
      </c>
      <c r="B111" s="46" t="str">
        <f>IF(LEN([1]!GetFolder(A111))&gt;LEN(Solution_Directory_Name),RIGHT([1]!GetFolder(A111),LEN([1]!GetFolder(A111))-LEN(Solution_Directory_Name)),"")</f>
        <v>\DLLServices2TestStand\bin\Release</v>
      </c>
      <c r="C111" s="46" t="str">
        <f>[1]!GetFile(A111)</f>
        <v>WizardWrx.DLLServices2.xml</v>
      </c>
      <c r="D111" s="49">
        <v>581045</v>
      </c>
      <c r="E111" s="48">
        <v>42282.825543981482</v>
      </c>
    </row>
    <row r="112" spans="1:5" x14ac:dyDescent="0.25">
      <c r="A112" s="47" t="s">
        <v>1444</v>
      </c>
      <c r="B112" s="46" t="str">
        <f>IF(LEN([1]!GetFolder(A112))&gt;LEN(Solution_Directory_Name),RIGHT([1]!GetFolder(A112),LEN([1]!GetFolder(A112))-LEN(Solution_Directory_Name)),"")</f>
        <v>\DLLServices2TestStand\obj\x86\Debug</v>
      </c>
      <c r="C112" s="46" t="str">
        <f>[1]!GetFile(A112)</f>
        <v>DesignTimeResolveAssemblyReferences.cache</v>
      </c>
      <c r="D112" s="49">
        <v>793</v>
      </c>
      <c r="E112" s="48">
        <v>42165.00949074074</v>
      </c>
    </row>
    <row r="113" spans="1:5" x14ac:dyDescent="0.25">
      <c r="A113" s="47" t="s">
        <v>1443</v>
      </c>
      <c r="B113" s="46" t="str">
        <f>IF(LEN([1]!GetFolder(A113))&gt;LEN(Solution_Directory_Name),RIGHT([1]!GetFolder(A113),LEN([1]!GetFolder(A113))-LEN(Solution_Directory_Name)),"")</f>
        <v>\DLLServices2TestStand\obj\x86\Debug</v>
      </c>
      <c r="C113" s="46" t="str">
        <f>[1]!GetFile(A113)</f>
        <v>DesignTimeResolveAssemblyReferencesInput.cache</v>
      </c>
      <c r="D113" s="49">
        <v>6110</v>
      </c>
      <c r="E113" s="48">
        <v>42242.844722222224</v>
      </c>
    </row>
    <row r="114" spans="1:5" x14ac:dyDescent="0.25">
      <c r="A114" s="47" t="s">
        <v>1442</v>
      </c>
      <c r="B114" s="46" t="str">
        <f>IF(LEN([1]!GetFolder(A114))&gt;LEN(Solution_Directory_Name),RIGHT([1]!GetFolder(A114),LEN([1]!GetFolder(A114))-LEN(Solution_Directory_Name)),"")</f>
        <v>\DLLServices2TestStand\obj\x86\Debug</v>
      </c>
      <c r="C114" s="46" t="str">
        <f>[1]!GetFile(A114)</f>
        <v>DLLServices2TestStand.csproj.FileListAbsolute.txt</v>
      </c>
      <c r="D114" s="49">
        <v>1921</v>
      </c>
      <c r="E114" s="48">
        <v>42248.554456018515</v>
      </c>
    </row>
    <row r="115" spans="1:5" x14ac:dyDescent="0.25">
      <c r="A115" s="47" t="s">
        <v>1441</v>
      </c>
      <c r="B115" s="46" t="str">
        <f>IF(LEN([1]!GetFolder(A115))&gt;LEN(Solution_Directory_Name),RIGHT([1]!GetFolder(A115),LEN([1]!GetFolder(A115))-LEN(Solution_Directory_Name)),"")</f>
        <v>\DLLServices2TestStand\obj\x86\Debug</v>
      </c>
      <c r="C115" s="46" t="str">
        <f>[1]!GetFile(A115)</f>
        <v>DLLServices2TestStand.csproj.GenerateResource.Cache</v>
      </c>
      <c r="D115" s="49">
        <v>789</v>
      </c>
      <c r="E115" s="48">
        <v>42248.554456018515</v>
      </c>
    </row>
    <row r="116" spans="1:5" x14ac:dyDescent="0.25">
      <c r="A116" s="47" t="s">
        <v>1440</v>
      </c>
      <c r="B116" s="46" t="str">
        <f>IF(LEN([1]!GetFolder(A116))&gt;LEN(Solution_Directory_Name),RIGHT([1]!GetFolder(A116),LEN([1]!GetFolder(A116))-LEN(Solution_Directory_Name)),"")</f>
        <v>\DLLServices2TestStand\obj\x86\Debug</v>
      </c>
      <c r="C116" s="46" t="str">
        <f>[1]!GetFile(A116)</f>
        <v>DLLServices2TestStand.csprojResolveAssemblyReference.cache</v>
      </c>
      <c r="D116" s="49">
        <v>5585</v>
      </c>
      <c r="E116" s="48">
        <v>42248.584629629629</v>
      </c>
    </row>
    <row r="117" spans="1:5" x14ac:dyDescent="0.25">
      <c r="A117" s="47" t="s">
        <v>1439</v>
      </c>
      <c r="B117" s="46" t="str">
        <f>IF(LEN([1]!GetFolder(A117))&gt;LEN(Solution_Directory_Name),RIGHT([1]!GetFolder(A117),LEN([1]!GetFolder(A117))-LEN(Solution_Directory_Name)),"")</f>
        <v>\DLLServices2TestStand\obj\x86\Debug</v>
      </c>
      <c r="C117" s="46" t="str">
        <f>[1]!GetFile(A117)</f>
        <v>DLLServices2TestStand.exe</v>
      </c>
      <c r="D117" s="49">
        <v>76288</v>
      </c>
      <c r="E117" s="48">
        <v>42248.584629629629</v>
      </c>
    </row>
    <row r="118" spans="1:5" x14ac:dyDescent="0.25">
      <c r="A118" s="47" t="s">
        <v>1438</v>
      </c>
      <c r="B118" s="46" t="str">
        <f>IF(LEN([1]!GetFolder(A118))&gt;LEN(Solution_Directory_Name),RIGHT([1]!GetFolder(A118),LEN([1]!GetFolder(A118))-LEN(Solution_Directory_Name)),"")</f>
        <v>\DLLServices2TestStand\obj\x86\Debug</v>
      </c>
      <c r="C118" s="46" t="str">
        <f>[1]!GetFile(A118)</f>
        <v>DLLServices2TestStand.pdb</v>
      </c>
      <c r="D118" s="49">
        <v>77312</v>
      </c>
      <c r="E118" s="48">
        <v>42248.584629629629</v>
      </c>
    </row>
    <row r="119" spans="1:5" x14ac:dyDescent="0.25">
      <c r="A119" s="47" t="s">
        <v>1437</v>
      </c>
      <c r="B119" s="46" t="str">
        <f>IF(LEN([1]!GetFolder(A119))&gt;LEN(Solution_Directory_Name),RIGHT([1]!GetFolder(A119),LEN([1]!GetFolder(A119))-LEN(Solution_Directory_Name)),"")</f>
        <v>\DLLServices2TestStand\obj\x86\Debug</v>
      </c>
      <c r="C119" s="46" t="str">
        <f>[1]!GetFile(A119)</f>
        <v>DLLServices2TestStand.Properties.Resources.resources</v>
      </c>
      <c r="D119" s="49">
        <v>5775</v>
      </c>
      <c r="E119" s="48">
        <v>42248.584629629629</v>
      </c>
    </row>
    <row r="120" spans="1:5" x14ac:dyDescent="0.25">
      <c r="A120" s="47" t="s">
        <v>1436</v>
      </c>
      <c r="B120" s="46" t="str">
        <f>IF(LEN([1]!GetFolder(A120))&gt;LEN(Solution_Directory_Name),RIGHT([1]!GetFolder(A120),LEN([1]!GetFolder(A120))-LEN(Solution_Directory_Name)),"")</f>
        <v>\DLLServices2TestStand\obj\x86\Debug\TempPE</v>
      </c>
      <c r="C120" s="46" t="str">
        <f>[1]!GetFile(A120)</f>
        <v>Properties.Resources.Designer.cs.dll</v>
      </c>
      <c r="D120" s="49">
        <v>12288</v>
      </c>
      <c r="E120" s="48">
        <v>42248.546365740738</v>
      </c>
    </row>
    <row r="121" spans="1:5" x14ac:dyDescent="0.25">
      <c r="A121" s="47" t="s">
        <v>1435</v>
      </c>
      <c r="B121" s="46" t="str">
        <f>IF(LEN([1]!GetFolder(A121))&gt;LEN(Solution_Directory_Name),RIGHT([1]!GetFolder(A121),LEN([1]!GetFolder(A121))-LEN(Solution_Directory_Name)),"")</f>
        <v>\DLLServices2TestStand\obj\x86\Release</v>
      </c>
      <c r="C121" s="46" t="str">
        <f>[1]!GetFile(A121)</f>
        <v>DesignTimeResolveAssemblyReferences.cache</v>
      </c>
      <c r="D121" s="49">
        <v>793</v>
      </c>
      <c r="E121" s="48">
        <v>42168.375451388885</v>
      </c>
    </row>
    <row r="122" spans="1:5" x14ac:dyDescent="0.25">
      <c r="A122" s="47" t="s">
        <v>1434</v>
      </c>
      <c r="B122" s="46" t="str">
        <f>IF(LEN([1]!GetFolder(A122))&gt;LEN(Solution_Directory_Name),RIGHT([1]!GetFolder(A122),LEN([1]!GetFolder(A122))-LEN(Solution_Directory_Name)),"")</f>
        <v>\DLLServices2TestStand\obj\x86\Release</v>
      </c>
      <c r="C122" s="46" t="str">
        <f>[1]!GetFile(A122)</f>
        <v>DesignTimeResolveAssemblyReferencesInput.cache</v>
      </c>
      <c r="D122" s="49">
        <v>6116</v>
      </c>
      <c r="E122" s="48">
        <v>42242.849212962959</v>
      </c>
    </row>
    <row r="123" spans="1:5" x14ac:dyDescent="0.25">
      <c r="A123" s="47" t="s">
        <v>1433</v>
      </c>
      <c r="B123" s="46" t="str">
        <f>IF(LEN([1]!GetFolder(A123))&gt;LEN(Solution_Directory_Name),RIGHT([1]!GetFolder(A123),LEN([1]!GetFolder(A123))-LEN(Solution_Directory_Name)),"")</f>
        <v>\DLLServices2TestStand\obj\x86\Release</v>
      </c>
      <c r="C123" s="46" t="str">
        <f>[1]!GetFile(A123)</f>
        <v>DLLServices2TestStand.csproj.FileListAbsolute.txt</v>
      </c>
      <c r="D123" s="49">
        <v>1947</v>
      </c>
      <c r="E123" s="48">
        <v>42285.624803240738</v>
      </c>
    </row>
    <row r="124" spans="1:5" x14ac:dyDescent="0.25">
      <c r="A124" s="47" t="s">
        <v>1432</v>
      </c>
      <c r="B124" s="46" t="str">
        <f>IF(LEN([1]!GetFolder(A124))&gt;LEN(Solution_Directory_Name),RIGHT([1]!GetFolder(A124),LEN([1]!GetFolder(A124))-LEN(Solution_Directory_Name)),"")</f>
        <v>\DLLServices2TestStand\obj\x86\Release</v>
      </c>
      <c r="C124" s="46" t="str">
        <f>[1]!GetFile(A124)</f>
        <v>DLLServices2TestStand.csproj.GenerateResource.Cache</v>
      </c>
      <c r="D124" s="49">
        <v>789</v>
      </c>
      <c r="E124" s="48">
        <v>42282.825590277775</v>
      </c>
    </row>
    <row r="125" spans="1:5" x14ac:dyDescent="0.25">
      <c r="A125" s="47" t="s">
        <v>1431</v>
      </c>
      <c r="B125" s="46" t="str">
        <f>IF(LEN([1]!GetFolder(A125))&gt;LEN(Solution_Directory_Name),RIGHT([1]!GetFolder(A125),LEN([1]!GetFolder(A125))-LEN(Solution_Directory_Name)),"")</f>
        <v>\DLLServices2TestStand\obj\x86\Release</v>
      </c>
      <c r="C125" s="46" t="str">
        <f>[1]!GetFile(A125)</f>
        <v>DLLServices2TestStand.csprojResolveAssemblyReference.cache</v>
      </c>
      <c r="D125" s="49">
        <v>5317</v>
      </c>
      <c r="E125" s="48">
        <v>42282.825590277775</v>
      </c>
    </row>
    <row r="126" spans="1:5" x14ac:dyDescent="0.25">
      <c r="A126" s="47" t="s">
        <v>1430</v>
      </c>
      <c r="B126" s="46" t="str">
        <f>IF(LEN([1]!GetFolder(A126))&gt;LEN(Solution_Directory_Name),RIGHT([1]!GetFolder(A126),LEN([1]!GetFolder(A126))-LEN(Solution_Directory_Name)),"")</f>
        <v>\DLLServices2TestStand\obj\x86\Release</v>
      </c>
      <c r="C126" s="46" t="str">
        <f>[1]!GetFile(A126)</f>
        <v>DLLServices2TestStand.exe</v>
      </c>
      <c r="D126" s="49">
        <v>74240</v>
      </c>
      <c r="E126" s="48">
        <v>42282.825590277775</v>
      </c>
    </row>
    <row r="127" spans="1:5" x14ac:dyDescent="0.25">
      <c r="A127" s="47" t="s">
        <v>1429</v>
      </c>
      <c r="B127" s="46" t="str">
        <f>IF(LEN([1]!GetFolder(A127))&gt;LEN(Solution_Directory_Name),RIGHT([1]!GetFolder(A127),LEN([1]!GetFolder(A127))-LEN(Solution_Directory_Name)),"")</f>
        <v>\DLLServices2TestStand\obj\x86\Release</v>
      </c>
      <c r="C127" s="46" t="str">
        <f>[1]!GetFile(A127)</f>
        <v>DLLServices2TestStand.pdb</v>
      </c>
      <c r="D127" s="49">
        <v>67072</v>
      </c>
      <c r="E127" s="48">
        <v>42282.825590277775</v>
      </c>
    </row>
    <row r="128" spans="1:5" x14ac:dyDescent="0.25">
      <c r="A128" s="47" t="s">
        <v>1428</v>
      </c>
      <c r="B128" s="46" t="str">
        <f>IF(LEN([1]!GetFolder(A128))&gt;LEN(Solution_Directory_Name),RIGHT([1]!GetFolder(A128),LEN([1]!GetFolder(A128))-LEN(Solution_Directory_Name)),"")</f>
        <v>\DLLServices2TestStand\obj\x86\Release</v>
      </c>
      <c r="C128" s="46" t="str">
        <f>[1]!GetFile(A128)</f>
        <v>DLLServices2TestStand.Properties.Resources.resources</v>
      </c>
      <c r="D128" s="49">
        <v>5775</v>
      </c>
      <c r="E128" s="48">
        <v>42282.825590277775</v>
      </c>
    </row>
    <row r="129" spans="1:5" x14ac:dyDescent="0.25">
      <c r="A129" s="47" t="s">
        <v>1427</v>
      </c>
      <c r="B129" s="46" t="str">
        <f>IF(LEN([1]!GetFolder(A129))&gt;LEN(Solution_Directory_Name),RIGHT([1]!GetFolder(A129),LEN([1]!GetFolder(A129))-LEN(Solution_Directory_Name)),"")</f>
        <v>\DLLServices2TestStand\obj\x86\Release\TempPE</v>
      </c>
      <c r="C129" s="46" t="str">
        <f>[1]!GetFile(A129)</f>
        <v>Properties.Resources.Designer.cs.dll</v>
      </c>
      <c r="D129" s="49">
        <v>12288</v>
      </c>
      <c r="E129" s="48">
        <v>42248.593171296299</v>
      </c>
    </row>
    <row r="130" spans="1:5" x14ac:dyDescent="0.25">
      <c r="A130" s="47" t="s">
        <v>1426</v>
      </c>
      <c r="B130" s="46" t="str">
        <f>IF(LEN([1]!GetFolder(A130))&gt;LEN(Solution_Directory_Name),RIGHT([1]!GetFolder(A130),LEN([1]!GetFolder(A130))-LEN(Solution_Directory_Name)),"")</f>
        <v>\DLLServices2TestStand\Properties</v>
      </c>
      <c r="C130" s="46" t="str">
        <f>[1]!GetFile(A130)</f>
        <v>AssemblyInfo.cs</v>
      </c>
      <c r="D130" s="49">
        <v>2095</v>
      </c>
      <c r="E130" s="48">
        <v>42282.825555555559</v>
      </c>
    </row>
    <row r="131" spans="1:5" x14ac:dyDescent="0.25">
      <c r="A131" s="47" t="s">
        <v>1425</v>
      </c>
      <c r="B131" s="46" t="str">
        <f>IF(LEN([1]!GetFolder(A131))&gt;LEN(Solution_Directory_Name),RIGHT([1]!GetFolder(A131),LEN([1]!GetFolder(A131))-LEN(Solution_Directory_Name)),"")</f>
        <v>\DLLServices2TestStand\Properties</v>
      </c>
      <c r="C131" s="46" t="str">
        <f>[1]!GetFile(A131)</f>
        <v>Resources.Designer.cs</v>
      </c>
      <c r="D131" s="49">
        <v>21354</v>
      </c>
      <c r="E131" s="48">
        <v>42248.546365740738</v>
      </c>
    </row>
    <row r="132" spans="1:5" x14ac:dyDescent="0.25">
      <c r="A132" s="47" t="s">
        <v>1424</v>
      </c>
      <c r="B132" s="46" t="str">
        <f>IF(LEN([1]!GetFolder(A132))&gt;LEN(Solution_Directory_Name),RIGHT([1]!GetFolder(A132),LEN([1]!GetFolder(A132))-LEN(Solution_Directory_Name)),"")</f>
        <v>\DLLServices2TestStand\Properties</v>
      </c>
      <c r="C132" s="46" t="str">
        <f>[1]!GetFile(A132)</f>
        <v>Resources.resx</v>
      </c>
      <c r="D132" s="49">
        <v>14534</v>
      </c>
      <c r="E132" s="48">
        <v>42248.546365740738</v>
      </c>
    </row>
    <row r="133" spans="1:5" x14ac:dyDescent="0.25">
      <c r="A133" s="47" t="s">
        <v>1423</v>
      </c>
      <c r="B133" s="46" t="str">
        <f>IF(LEN([1]!GetFolder(A133))&gt;LEN(Solution_Directory_Name),RIGHT([1]!GetFolder(A133),LEN([1]!GetFolder(A133))-LEN(Solution_Directory_Name)),"")</f>
        <v>\RedirectedStreamTester</v>
      </c>
      <c r="C133" s="46" t="str">
        <f>[1]!GetFile(A133)</f>
        <v>App.config</v>
      </c>
      <c r="D133" s="49">
        <v>199</v>
      </c>
      <c r="E133" s="48">
        <v>42180.748287037037</v>
      </c>
    </row>
    <row r="134" spans="1:5" x14ac:dyDescent="0.25">
      <c r="A134" s="47" t="s">
        <v>1422</v>
      </c>
      <c r="B134" s="46" t="str">
        <f>IF(LEN([1]!GetFolder(A134))&gt;LEN(Solution_Directory_Name),RIGHT([1]!GetFolder(A134),LEN([1]!GetFolder(A134))-LEN(Solution_Directory_Name)),"")</f>
        <v>\RedirectedStreamTester</v>
      </c>
      <c r="C134" s="46" t="str">
        <f>[1]!GetFile(A134)</f>
        <v>Program.cs</v>
      </c>
      <c r="D134" s="49">
        <v>19295</v>
      </c>
      <c r="E134" s="48">
        <v>42242.849363425928</v>
      </c>
    </row>
    <row r="135" spans="1:5" x14ac:dyDescent="0.25">
      <c r="A135" s="47" t="s">
        <v>1421</v>
      </c>
      <c r="B135" s="46" t="str">
        <f>IF(LEN([1]!GetFolder(A135))&gt;LEN(Solution_Directory_Name),RIGHT([1]!GetFolder(A135),LEN([1]!GetFolder(A135))-LEN(Solution_Directory_Name)),"")</f>
        <v>\RedirectedStreamTester</v>
      </c>
      <c r="C135" s="46" t="str">
        <f>[1]!GetFile(A135)</f>
        <v>RedirectedStreamTester.csproj</v>
      </c>
      <c r="D135" s="49">
        <v>3423</v>
      </c>
      <c r="E135" s="48">
        <v>42180.748287037037</v>
      </c>
    </row>
    <row r="136" spans="1:5" x14ac:dyDescent="0.25">
      <c r="A136" s="47" t="s">
        <v>1420</v>
      </c>
      <c r="B136" s="46" t="str">
        <f>IF(LEN([1]!GetFolder(A136))&gt;LEN(Solution_Directory_Name),RIGHT([1]!GetFolder(A136),LEN([1]!GetFolder(A136))-LEN(Solution_Directory_Name)),"")</f>
        <v>\RedirectedStreamTester</v>
      </c>
      <c r="C136" s="46" t="str">
        <f>[1]!GetFile(A136)</f>
        <v>RedirectedStreamTester.csproj.user</v>
      </c>
      <c r="D136" s="49">
        <v>469</v>
      </c>
      <c r="E136" s="48">
        <v>42178.595555555556</v>
      </c>
    </row>
    <row r="137" spans="1:5" x14ac:dyDescent="0.25">
      <c r="A137" s="47" t="s">
        <v>1419</v>
      </c>
      <c r="B137" s="46" t="str">
        <f>IF(LEN([1]!GetFolder(A137))&gt;LEN(Solution_Directory_Name),RIGHT([1]!GetFolder(A137),LEN([1]!GetFolder(A137))-LEN(Solution_Directory_Name)),"")</f>
        <v>\RedirectedStreamTester</v>
      </c>
      <c r="C137" s="46" t="str">
        <f>[1]!GetFile(A137)</f>
        <v>StreamStateInfo.cs</v>
      </c>
      <c r="D137" s="49">
        <v>8949</v>
      </c>
      <c r="E137" s="48">
        <v>42215.587129629632</v>
      </c>
    </row>
    <row r="138" spans="1:5" x14ac:dyDescent="0.25">
      <c r="A138" s="47" t="s">
        <v>1418</v>
      </c>
      <c r="B138" s="46" t="str">
        <f>IF(LEN([1]!GetFolder(A138))&gt;LEN(Solution_Directory_Name),RIGHT([1]!GetFolder(A138),LEN([1]!GetFolder(A138))-LEN(Solution_Directory_Name)),"")</f>
        <v>\RedirectedStreamTester</v>
      </c>
      <c r="C138" s="46" t="str">
        <f>[1]!GetFile(A138)</f>
        <v>WW_Icon1.ico</v>
      </c>
      <c r="D138" s="49">
        <v>10134</v>
      </c>
      <c r="E138" s="48">
        <v>42177.681550925925</v>
      </c>
    </row>
    <row r="139" spans="1:5" x14ac:dyDescent="0.25">
      <c r="A139" s="47" t="s">
        <v>1417</v>
      </c>
      <c r="B139" s="46" t="str">
        <f>IF(LEN([1]!GetFolder(A139))&gt;LEN(Solution_Directory_Name),RIGHT([1]!GetFolder(A139),LEN([1]!GetFolder(A139))-LEN(Solution_Directory_Name)),"")</f>
        <v>\RedirectedStreamTester\bin\Debug</v>
      </c>
      <c r="C139" s="46" t="str">
        <f>[1]!GetFile(A139)</f>
        <v>P6CUtilLib1.dll</v>
      </c>
      <c r="D139" s="49">
        <v>26112</v>
      </c>
      <c r="E139" s="48">
        <v>41775.788935185185</v>
      </c>
    </row>
    <row r="140" spans="1:5" x14ac:dyDescent="0.25">
      <c r="A140" s="47" t="s">
        <v>1416</v>
      </c>
      <c r="B140" s="46" t="str">
        <f>IF(LEN([1]!GetFolder(A140))&gt;LEN(Solution_Directory_Name),RIGHT([1]!GetFolder(A140),LEN([1]!GetFolder(A140))-LEN(Solution_Directory_Name)),"")</f>
        <v>\RedirectedStreamTester\bin\Debug</v>
      </c>
      <c r="C140" s="46" t="str">
        <f>[1]!GetFile(A140)</f>
        <v>RedirectedStreamTester.exe</v>
      </c>
      <c r="D140" s="49">
        <v>34816</v>
      </c>
      <c r="E140" s="48">
        <v>42248.584641203706</v>
      </c>
    </row>
    <row r="141" spans="1:5" x14ac:dyDescent="0.25">
      <c r="A141" s="47" t="s">
        <v>1415</v>
      </c>
      <c r="B141" s="46" t="str">
        <f>IF(LEN([1]!GetFolder(A141))&gt;LEN(Solution_Directory_Name),RIGHT([1]!GetFolder(A141),LEN([1]!GetFolder(A141))-LEN(Solution_Directory_Name)),"")</f>
        <v>\RedirectedStreamTester\bin\Debug</v>
      </c>
      <c r="C141" s="46" t="str">
        <f>[1]!GetFile(A141)</f>
        <v>RedirectedStreamTester.exe.config</v>
      </c>
      <c r="D141" s="49">
        <v>199</v>
      </c>
      <c r="E141" s="48">
        <v>42180.748287037037</v>
      </c>
    </row>
    <row r="142" spans="1:5" x14ac:dyDescent="0.25">
      <c r="A142" s="47" t="s">
        <v>1414</v>
      </c>
      <c r="B142" s="46" t="str">
        <f>IF(LEN([1]!GetFolder(A142))&gt;LEN(Solution_Directory_Name),RIGHT([1]!GetFolder(A142),LEN([1]!GetFolder(A142))-LEN(Solution_Directory_Name)),"")</f>
        <v>\RedirectedStreamTester\bin\Debug</v>
      </c>
      <c r="C142" s="46" t="str">
        <f>[1]!GetFile(A142)</f>
        <v>RedirectedStreamTester.pdb</v>
      </c>
      <c r="D142" s="49">
        <v>44544</v>
      </c>
      <c r="E142" s="48">
        <v>42248.584641203706</v>
      </c>
    </row>
    <row r="143" spans="1:5" x14ac:dyDescent="0.25">
      <c r="A143" s="47" t="s">
        <v>1413</v>
      </c>
      <c r="B143" s="46" t="str">
        <f>IF(LEN([1]!GetFolder(A143))&gt;LEN(Solution_Directory_Name),RIGHT([1]!GetFolder(A143),LEN([1]!GetFolder(A143))-LEN(Solution_Directory_Name)),"")</f>
        <v>\RedirectedStreamTester\bin\Debug</v>
      </c>
      <c r="C143" s="46" t="str">
        <f>[1]!GetFile(A143)</f>
        <v>RedirectedStreamTester.vshost.exe</v>
      </c>
      <c r="D143" s="49">
        <v>23168</v>
      </c>
      <c r="E143" s="48">
        <v>42242.861979166664</v>
      </c>
    </row>
    <row r="144" spans="1:5" x14ac:dyDescent="0.25">
      <c r="A144" s="47" t="s">
        <v>1412</v>
      </c>
      <c r="B144" s="46" t="str">
        <f>IF(LEN([1]!GetFolder(A144))&gt;LEN(Solution_Directory_Name),RIGHT([1]!GetFolder(A144),LEN([1]!GetFolder(A144))-LEN(Solution_Directory_Name)),"")</f>
        <v>\RedirectedStreamTester\bin\Debug</v>
      </c>
      <c r="C144" s="46" t="str">
        <f>[1]!GetFile(A144)</f>
        <v>RedirectedStreamTester.vshost.exe.config</v>
      </c>
      <c r="D144" s="49">
        <v>199</v>
      </c>
      <c r="E144" s="48">
        <v>42180.748287037037</v>
      </c>
    </row>
    <row r="145" spans="1:5" x14ac:dyDescent="0.25">
      <c r="A145" s="47" t="s">
        <v>1411</v>
      </c>
      <c r="B145" s="46" t="str">
        <f>IF(LEN([1]!GetFolder(A145))&gt;LEN(Solution_Directory_Name),RIGHT([1]!GetFolder(A145),LEN([1]!GetFolder(A145))-LEN(Solution_Directory_Name)),"")</f>
        <v>\RedirectedStreamTester\bin\Debug</v>
      </c>
      <c r="C145" s="46" t="str">
        <f>[1]!GetFile(A145)</f>
        <v>WizardWrx.DLLServices2.dll</v>
      </c>
      <c r="D145" s="49">
        <v>108544</v>
      </c>
      <c r="E145" s="48">
        <v>42248.584583333337</v>
      </c>
    </row>
    <row r="146" spans="1:5" x14ac:dyDescent="0.25">
      <c r="A146" s="47" t="s">
        <v>1410</v>
      </c>
      <c r="B146" s="46" t="str">
        <f>IF(LEN([1]!GetFolder(A146))&gt;LEN(Solution_Directory_Name),RIGHT([1]!GetFolder(A146),LEN([1]!GetFolder(A146))-LEN(Solution_Directory_Name)),"")</f>
        <v>\RedirectedStreamTester\bin\Debug</v>
      </c>
      <c r="C146" s="46" t="str">
        <f>[1]!GetFile(A146)</f>
        <v>WizardWrx.DLLServices2.dll.config</v>
      </c>
      <c r="D146" s="49">
        <v>5793</v>
      </c>
      <c r="E146" s="48">
        <v>42174.962650462963</v>
      </c>
    </row>
    <row r="147" spans="1:5" x14ac:dyDescent="0.25">
      <c r="A147" s="47" t="s">
        <v>1409</v>
      </c>
      <c r="B147" s="46" t="str">
        <f>IF(LEN([1]!GetFolder(A147))&gt;LEN(Solution_Directory_Name),RIGHT([1]!GetFolder(A147),LEN([1]!GetFolder(A147))-LEN(Solution_Directory_Name)),"")</f>
        <v>\RedirectedStreamTester\bin\Debug</v>
      </c>
      <c r="C147" s="46" t="str">
        <f>[1]!GetFile(A147)</f>
        <v>WizardWrx.DLLServices2.pdb</v>
      </c>
      <c r="D147" s="49">
        <v>316928</v>
      </c>
      <c r="E147" s="48">
        <v>42248.584583333337</v>
      </c>
    </row>
    <row r="148" spans="1:5" x14ac:dyDescent="0.25">
      <c r="A148" s="47" t="s">
        <v>1408</v>
      </c>
      <c r="B148" s="46" t="str">
        <f>IF(LEN([1]!GetFolder(A148))&gt;LEN(Solution_Directory_Name),RIGHT([1]!GetFolder(A148),LEN([1]!GetFolder(A148))-LEN(Solution_Directory_Name)),"")</f>
        <v>\RedirectedStreamTester\bin\Debug</v>
      </c>
      <c r="C148" s="46" t="str">
        <f>[1]!GetFile(A148)</f>
        <v>WizardWrx.DLLServices2.xml</v>
      </c>
      <c r="D148" s="49">
        <v>581045</v>
      </c>
      <c r="E148" s="48">
        <v>42248.584583333337</v>
      </c>
    </row>
    <row r="149" spans="1:5" x14ac:dyDescent="0.25">
      <c r="A149" s="47" t="s">
        <v>1407</v>
      </c>
      <c r="B149" s="46" t="str">
        <f>IF(LEN([1]!GetFolder(A149))&gt;LEN(Solution_Directory_Name),RIGHT([1]!GetFolder(A149),LEN([1]!GetFolder(A149))-LEN(Solution_Directory_Name)),"")</f>
        <v>\RedirectedStreamTester\bin\Release</v>
      </c>
      <c r="C149" s="46" t="str">
        <f>[1]!GetFile(A149)</f>
        <v>P6CUtilLib1.dll</v>
      </c>
      <c r="D149" s="49">
        <v>26112</v>
      </c>
      <c r="E149" s="48">
        <v>41775.788935185185</v>
      </c>
    </row>
    <row r="150" spans="1:5" x14ac:dyDescent="0.25">
      <c r="A150" s="47" t="s">
        <v>1406</v>
      </c>
      <c r="B150" s="46" t="str">
        <f>IF(LEN([1]!GetFolder(A150))&gt;LEN(Solution_Directory_Name),RIGHT([1]!GetFolder(A150),LEN([1]!GetFolder(A150))-LEN(Solution_Directory_Name)),"")</f>
        <v>\RedirectedStreamTester\bin\Release</v>
      </c>
      <c r="C150" s="46" t="str">
        <f>[1]!GetFile(A150)</f>
        <v>RedirectedStreamTester.exe</v>
      </c>
      <c r="D150" s="49">
        <v>33792</v>
      </c>
      <c r="E150" s="48">
        <v>42282.825601851851</v>
      </c>
    </row>
    <row r="151" spans="1:5" x14ac:dyDescent="0.25">
      <c r="A151" s="47" t="s">
        <v>1405</v>
      </c>
      <c r="B151" s="46" t="str">
        <f>IF(LEN([1]!GetFolder(A151))&gt;LEN(Solution_Directory_Name),RIGHT([1]!GetFolder(A151),LEN([1]!GetFolder(A151))-LEN(Solution_Directory_Name)),"")</f>
        <v>\RedirectedStreamTester\bin\Release</v>
      </c>
      <c r="C151" s="46" t="str">
        <f>[1]!GetFile(A151)</f>
        <v>RedirectedStreamTester.exe.config</v>
      </c>
      <c r="D151" s="49">
        <v>199</v>
      </c>
      <c r="E151" s="48">
        <v>42180.748287037037</v>
      </c>
    </row>
    <row r="152" spans="1:5" x14ac:dyDescent="0.25">
      <c r="A152" s="47" t="s">
        <v>1404</v>
      </c>
      <c r="B152" s="46" t="str">
        <f>IF(LEN([1]!GetFolder(A152))&gt;LEN(Solution_Directory_Name),RIGHT([1]!GetFolder(A152),LEN([1]!GetFolder(A152))-LEN(Solution_Directory_Name)),"")</f>
        <v>\RedirectedStreamTester\bin\Release</v>
      </c>
      <c r="C152" s="46" t="str">
        <f>[1]!GetFile(A152)</f>
        <v>RedirectedStreamTester.pdb</v>
      </c>
      <c r="D152" s="49">
        <v>36352</v>
      </c>
      <c r="E152" s="48">
        <v>42282.825601851851</v>
      </c>
    </row>
    <row r="153" spans="1:5" x14ac:dyDescent="0.25">
      <c r="A153" s="47" t="s">
        <v>1403</v>
      </c>
      <c r="B153" s="46" t="str">
        <f>IF(LEN([1]!GetFolder(A153))&gt;LEN(Solution_Directory_Name),RIGHT([1]!GetFolder(A153),LEN([1]!GetFolder(A153))-LEN(Solution_Directory_Name)),"")</f>
        <v>\RedirectedStreamTester\bin\Release</v>
      </c>
      <c r="C153" s="46" t="str">
        <f>[1]!GetFile(A153)</f>
        <v>RedirectedStreamTester.vshost.exe</v>
      </c>
      <c r="D153" s="49">
        <v>23168</v>
      </c>
      <c r="E153" s="48">
        <v>42242.849212962959</v>
      </c>
    </row>
    <row r="154" spans="1:5" x14ac:dyDescent="0.25">
      <c r="A154" s="47" t="s">
        <v>1402</v>
      </c>
      <c r="B154" s="46" t="str">
        <f>IF(LEN([1]!GetFolder(A154))&gt;LEN(Solution_Directory_Name),RIGHT([1]!GetFolder(A154),LEN([1]!GetFolder(A154))-LEN(Solution_Directory_Name)),"")</f>
        <v>\RedirectedStreamTester\bin\Release</v>
      </c>
      <c r="C154" s="46" t="str">
        <f>[1]!GetFile(A154)</f>
        <v>RedirectedStreamTester.vshost.exe.config</v>
      </c>
      <c r="D154" s="49">
        <v>199</v>
      </c>
      <c r="E154" s="48">
        <v>42180.748287037037</v>
      </c>
    </row>
    <row r="155" spans="1:5" x14ac:dyDescent="0.25">
      <c r="A155" s="47" t="s">
        <v>1401</v>
      </c>
      <c r="B155" s="46" t="str">
        <f>IF(LEN([1]!GetFolder(A155))&gt;LEN(Solution_Directory_Name),RIGHT([1]!GetFolder(A155),LEN([1]!GetFolder(A155))-LEN(Solution_Directory_Name)),"")</f>
        <v>\RedirectedStreamTester\bin\Release</v>
      </c>
      <c r="C155" s="46" t="str">
        <f>[1]!GetFile(A155)</f>
        <v>RedirectedStreamTester.vshost.exe.manifest</v>
      </c>
      <c r="D155" s="49">
        <v>490</v>
      </c>
      <c r="E155" s="48">
        <v>40255.027268518519</v>
      </c>
    </row>
    <row r="156" spans="1:5" x14ac:dyDescent="0.25">
      <c r="A156" s="47" t="s">
        <v>1400</v>
      </c>
      <c r="B156" s="46" t="str">
        <f>IF(LEN([1]!GetFolder(A156))&gt;LEN(Solution_Directory_Name),RIGHT([1]!GetFolder(A156),LEN([1]!GetFolder(A156))-LEN(Solution_Directory_Name)),"")</f>
        <v>\RedirectedStreamTester\bin\Release</v>
      </c>
      <c r="C156" s="46" t="str">
        <f>[1]!GetFile(A156)</f>
        <v>WizardWrx.DLLServices2.dll</v>
      </c>
      <c r="D156" s="49">
        <v>96768</v>
      </c>
      <c r="E156" s="48">
        <v>42282.825543981482</v>
      </c>
    </row>
    <row r="157" spans="1:5" x14ac:dyDescent="0.25">
      <c r="A157" s="47" t="s">
        <v>1399</v>
      </c>
      <c r="B157" s="46" t="str">
        <f>IF(LEN([1]!GetFolder(A157))&gt;LEN(Solution_Directory_Name),RIGHT([1]!GetFolder(A157),LEN([1]!GetFolder(A157))-LEN(Solution_Directory_Name)),"")</f>
        <v>\RedirectedStreamTester\bin\Release</v>
      </c>
      <c r="C157" s="46" t="str">
        <f>[1]!GetFile(A157)</f>
        <v>WizardWrx.DLLServices2.dll.config</v>
      </c>
      <c r="D157" s="49">
        <v>5793</v>
      </c>
      <c r="E157" s="48">
        <v>42174.962650462963</v>
      </c>
    </row>
    <row r="158" spans="1:5" x14ac:dyDescent="0.25">
      <c r="A158" s="47" t="s">
        <v>1398</v>
      </c>
      <c r="B158" s="46" t="str">
        <f>IF(LEN([1]!GetFolder(A158))&gt;LEN(Solution_Directory_Name),RIGHT([1]!GetFolder(A158),LEN([1]!GetFolder(A158))-LEN(Solution_Directory_Name)),"")</f>
        <v>\RedirectedStreamTester\bin\Release</v>
      </c>
      <c r="C158" s="46" t="str">
        <f>[1]!GetFile(A158)</f>
        <v>WizardWrx.DLLServices2.pdb</v>
      </c>
      <c r="D158" s="49">
        <v>251392</v>
      </c>
      <c r="E158" s="48">
        <v>42282.825543981482</v>
      </c>
    </row>
    <row r="159" spans="1:5" x14ac:dyDescent="0.25">
      <c r="A159" s="47" t="s">
        <v>1397</v>
      </c>
      <c r="B159" s="46" t="str">
        <f>IF(LEN([1]!GetFolder(A159))&gt;LEN(Solution_Directory_Name),RIGHT([1]!GetFolder(A159),LEN([1]!GetFolder(A159))-LEN(Solution_Directory_Name)),"")</f>
        <v>\RedirectedStreamTester\bin\Release</v>
      </c>
      <c r="C159" s="46" t="str">
        <f>[1]!GetFile(A159)</f>
        <v>WizardWrx.DLLServices2.xml</v>
      </c>
      <c r="D159" s="49">
        <v>581045</v>
      </c>
      <c r="E159" s="48">
        <v>42282.825543981482</v>
      </c>
    </row>
    <row r="160" spans="1:5" x14ac:dyDescent="0.25">
      <c r="A160" s="47" t="s">
        <v>1396</v>
      </c>
      <c r="B160" s="46" t="str">
        <f>IF(LEN([1]!GetFolder(A160))&gt;LEN(Solution_Directory_Name),RIGHT([1]!GetFolder(A160),LEN([1]!GetFolder(A160))-LEN(Solution_Directory_Name)),"")</f>
        <v>\RedirectedStreamTester\obj\Debug</v>
      </c>
      <c r="C160" s="46" t="str">
        <f>[1]!GetFile(A160)</f>
        <v>DesignTimeResolveAssemblyReferences.cache</v>
      </c>
      <c r="D160" s="49">
        <v>3967</v>
      </c>
      <c r="E160" s="48">
        <v>42180.567210648151</v>
      </c>
    </row>
    <row r="161" spans="1:5" x14ac:dyDescent="0.25">
      <c r="A161" s="47" t="s">
        <v>1395</v>
      </c>
      <c r="B161" s="46" t="str">
        <f>IF(LEN([1]!GetFolder(A161))&gt;LEN(Solution_Directory_Name),RIGHT([1]!GetFolder(A161),LEN([1]!GetFolder(A161))-LEN(Solution_Directory_Name)),"")</f>
        <v>\RedirectedStreamTester\obj\Debug</v>
      </c>
      <c r="C161" s="46" t="str">
        <f>[1]!GetFile(A161)</f>
        <v>DesignTimeResolveAssemblyReferencesInput.cache</v>
      </c>
      <c r="D161" s="49">
        <v>6578</v>
      </c>
      <c r="E161" s="48">
        <v>42180.748287037037</v>
      </c>
    </row>
    <row r="162" spans="1:5" x14ac:dyDescent="0.25">
      <c r="A162" s="47" t="s">
        <v>1394</v>
      </c>
      <c r="B162" s="46" t="str">
        <f>IF(LEN([1]!GetFolder(A162))&gt;LEN(Solution_Directory_Name),RIGHT([1]!GetFolder(A162),LEN([1]!GetFolder(A162))-LEN(Solution_Directory_Name)),"")</f>
        <v>\RedirectedStreamTester\obj\Debug</v>
      </c>
      <c r="C162" s="46" t="str">
        <f>[1]!GetFile(A162)</f>
        <v>RedirectedStreamTester.csproj.FileListAbsolute.txt</v>
      </c>
      <c r="D162" s="49">
        <v>1922</v>
      </c>
      <c r="E162" s="48">
        <v>42248.554467592592</v>
      </c>
    </row>
    <row r="163" spans="1:5" x14ac:dyDescent="0.25">
      <c r="A163" s="47" t="s">
        <v>1393</v>
      </c>
      <c r="B163" s="46" t="str">
        <f>IF(LEN([1]!GetFolder(A163))&gt;LEN(Solution_Directory_Name),RIGHT([1]!GetFolder(A163),LEN([1]!GetFolder(A163))-LEN(Solution_Directory_Name)),"")</f>
        <v>\RedirectedStreamTester\obj\Debug</v>
      </c>
      <c r="C163" s="46" t="str">
        <f>[1]!GetFile(A163)</f>
        <v>RedirectedStreamTester.csproj.GenerateResource.Cache</v>
      </c>
      <c r="D163" s="49">
        <v>919</v>
      </c>
      <c r="E163" s="48">
        <v>42248.554467592592</v>
      </c>
    </row>
    <row r="164" spans="1:5" x14ac:dyDescent="0.25">
      <c r="A164" s="47" t="s">
        <v>1392</v>
      </c>
      <c r="B164" s="46" t="str">
        <f>IF(LEN([1]!GetFolder(A164))&gt;LEN(Solution_Directory_Name),RIGHT([1]!GetFolder(A164),LEN([1]!GetFolder(A164))-LEN(Solution_Directory_Name)),"")</f>
        <v>\RedirectedStreamTester\obj\Debug</v>
      </c>
      <c r="C164" s="46" t="str">
        <f>[1]!GetFile(A164)</f>
        <v>RedirectedStreamTester.csprojResolveAssemblyReference.cache</v>
      </c>
      <c r="D164" s="49">
        <v>8205</v>
      </c>
      <c r="E164" s="48">
        <v>42248.584641203706</v>
      </c>
    </row>
    <row r="165" spans="1:5" x14ac:dyDescent="0.25">
      <c r="A165" s="47" t="s">
        <v>1391</v>
      </c>
      <c r="B165" s="46" t="str">
        <f>IF(LEN([1]!GetFolder(A165))&gt;LEN(Solution_Directory_Name),RIGHT([1]!GetFolder(A165),LEN([1]!GetFolder(A165))-LEN(Solution_Directory_Name)),"")</f>
        <v>\RedirectedStreamTester\obj\Debug</v>
      </c>
      <c r="C165" s="46" t="str">
        <f>[1]!GetFile(A165)</f>
        <v>RedirectedStreamTester.exe</v>
      </c>
      <c r="D165" s="49">
        <v>34816</v>
      </c>
      <c r="E165" s="48">
        <v>42248.584641203706</v>
      </c>
    </row>
    <row r="166" spans="1:5" x14ac:dyDescent="0.25">
      <c r="A166" s="47" t="s">
        <v>1390</v>
      </c>
      <c r="B166" s="46" t="str">
        <f>IF(LEN([1]!GetFolder(A166))&gt;LEN(Solution_Directory_Name),RIGHT([1]!GetFolder(A166),LEN([1]!GetFolder(A166))-LEN(Solution_Directory_Name)),"")</f>
        <v>\RedirectedStreamTester\obj\Debug</v>
      </c>
      <c r="C166" s="46" t="str">
        <f>[1]!GetFile(A166)</f>
        <v>RedirectedStreamTester.pdb</v>
      </c>
      <c r="D166" s="49">
        <v>44544</v>
      </c>
      <c r="E166" s="48">
        <v>42248.584641203706</v>
      </c>
    </row>
    <row r="167" spans="1:5" x14ac:dyDescent="0.25">
      <c r="A167" s="47" t="s">
        <v>1389</v>
      </c>
      <c r="B167" s="46" t="str">
        <f>IF(LEN([1]!GetFolder(A167))&gt;LEN(Solution_Directory_Name),RIGHT([1]!GetFolder(A167),LEN([1]!GetFolder(A167))-LEN(Solution_Directory_Name)),"")</f>
        <v>\RedirectedStreamTester\obj\Debug</v>
      </c>
      <c r="C167" s="46" t="str">
        <f>[1]!GetFile(A167)</f>
        <v>RedirectedStreamTester.Properties.Resources.resources</v>
      </c>
      <c r="D167" s="49">
        <v>4443</v>
      </c>
      <c r="E167" s="48">
        <v>42248.584641203706</v>
      </c>
    </row>
    <row r="168" spans="1:5" x14ac:dyDescent="0.25">
      <c r="A168" s="47" t="s">
        <v>1388</v>
      </c>
      <c r="B168" s="46" t="str">
        <f>IF(LEN([1]!GetFolder(A168))&gt;LEN(Solution_Directory_Name),RIGHT([1]!GetFolder(A168),LEN([1]!GetFolder(A168))-LEN(Solution_Directory_Name)),"")</f>
        <v>\RedirectedStreamTester\obj\Debug</v>
      </c>
      <c r="C168" s="46" t="str">
        <f>[1]!GetFile(A168)</f>
        <v>TemporaryGeneratedFile_036C0B5B-1481-4323-8D20-8F5ADCB23D92.cs</v>
      </c>
      <c r="D168" s="49">
        <v>0</v>
      </c>
      <c r="E168" s="48">
        <v>42177.680844907409</v>
      </c>
    </row>
    <row r="169" spans="1:5" x14ac:dyDescent="0.25">
      <c r="A169" s="47" t="s">
        <v>1387</v>
      </c>
      <c r="B169" s="46" t="str">
        <f>IF(LEN([1]!GetFolder(A169))&gt;LEN(Solution_Directory_Name),RIGHT([1]!GetFolder(A169),LEN([1]!GetFolder(A169))-LEN(Solution_Directory_Name)),"")</f>
        <v>\RedirectedStreamTester\obj\Debug</v>
      </c>
      <c r="C169" s="46" t="str">
        <f>[1]!GetFile(A169)</f>
        <v>TemporaryGeneratedFile_5937a670-0e60-4077-877b-f7221da3dda1.cs</v>
      </c>
      <c r="D169" s="49">
        <v>0</v>
      </c>
      <c r="E169" s="48">
        <v>42177.680844907409</v>
      </c>
    </row>
    <row r="170" spans="1:5" x14ac:dyDescent="0.25">
      <c r="A170" s="47" t="s">
        <v>1386</v>
      </c>
      <c r="B170" s="46" t="str">
        <f>IF(LEN([1]!GetFolder(A170))&gt;LEN(Solution_Directory_Name),RIGHT([1]!GetFolder(A170),LEN([1]!GetFolder(A170))-LEN(Solution_Directory_Name)),"")</f>
        <v>\RedirectedStreamTester\obj\Debug</v>
      </c>
      <c r="C170" s="46" t="str">
        <f>[1]!GetFile(A170)</f>
        <v>TemporaryGeneratedFile_E7A71F73-0F8D-4B9B-B56E-8E70B10BC5D3.cs</v>
      </c>
      <c r="D170" s="49">
        <v>0</v>
      </c>
      <c r="E170" s="48">
        <v>42177.680844907409</v>
      </c>
    </row>
    <row r="171" spans="1:5" x14ac:dyDescent="0.25">
      <c r="A171" s="47" t="s">
        <v>1385</v>
      </c>
      <c r="B171" s="46" t="str">
        <f>IF(LEN([1]!GetFolder(A171))&gt;LEN(Solution_Directory_Name),RIGHT([1]!GetFolder(A171),LEN([1]!GetFolder(A171))-LEN(Solution_Directory_Name)),"")</f>
        <v>\RedirectedStreamTester\obj\Debug\TempPE</v>
      </c>
      <c r="C171" s="46" t="str">
        <f>[1]!GetFile(A171)</f>
        <v>Properties.Resources.Designer.cs.dll</v>
      </c>
      <c r="D171" s="49">
        <v>11264</v>
      </c>
      <c r="E171" s="48">
        <v>42198.785162037035</v>
      </c>
    </row>
    <row r="172" spans="1:5" x14ac:dyDescent="0.25">
      <c r="A172" s="47" t="s">
        <v>1384</v>
      </c>
      <c r="B172" s="46" t="str">
        <f>IF(LEN([1]!GetFolder(A172))&gt;LEN(Solution_Directory_Name),RIGHT([1]!GetFolder(A172),LEN([1]!GetFolder(A172))-LEN(Solution_Directory_Name)),"")</f>
        <v>\RedirectedStreamTester\obj\Release</v>
      </c>
      <c r="C172" s="46" t="str">
        <f>[1]!GetFile(A172)</f>
        <v>DesignTimeResolveAssemblyReferencesInput.cache</v>
      </c>
      <c r="D172" s="49">
        <v>6584</v>
      </c>
      <c r="E172" s="48">
        <v>42242.849212962959</v>
      </c>
    </row>
    <row r="173" spans="1:5" x14ac:dyDescent="0.25">
      <c r="A173" s="47" t="s">
        <v>1383</v>
      </c>
      <c r="B173" s="46" t="str">
        <f>IF(LEN([1]!GetFolder(A173))&gt;LEN(Solution_Directory_Name),RIGHT([1]!GetFolder(A173),LEN([1]!GetFolder(A173))-LEN(Solution_Directory_Name)),"")</f>
        <v>\RedirectedStreamTester\obj\Release</v>
      </c>
      <c r="C173" s="46" t="str">
        <f>[1]!GetFile(A173)</f>
        <v>RedirectedStreamTester.csproj.FileListAbsolute.txt</v>
      </c>
      <c r="D173" s="49">
        <v>1948</v>
      </c>
      <c r="E173" s="48">
        <v>42282.825601851851</v>
      </c>
    </row>
    <row r="174" spans="1:5" x14ac:dyDescent="0.25">
      <c r="A174" s="47" t="s">
        <v>1382</v>
      </c>
      <c r="B174" s="46" t="str">
        <f>IF(LEN([1]!GetFolder(A174))&gt;LEN(Solution_Directory_Name),RIGHT([1]!GetFolder(A174),LEN([1]!GetFolder(A174))-LEN(Solution_Directory_Name)),"")</f>
        <v>\RedirectedStreamTester\obj\Release</v>
      </c>
      <c r="C174" s="46" t="str">
        <f>[1]!GetFile(A174)</f>
        <v>RedirectedStreamTester.csproj.GenerateResource.Cache</v>
      </c>
      <c r="D174" s="49">
        <v>919</v>
      </c>
      <c r="E174" s="48">
        <v>42282.825590277775</v>
      </c>
    </row>
    <row r="175" spans="1:5" x14ac:dyDescent="0.25">
      <c r="A175" s="47" t="s">
        <v>1381</v>
      </c>
      <c r="B175" s="46" t="str">
        <f>IF(LEN([1]!GetFolder(A175))&gt;LEN(Solution_Directory_Name),RIGHT([1]!GetFolder(A175),LEN([1]!GetFolder(A175))-LEN(Solution_Directory_Name)),"")</f>
        <v>\RedirectedStreamTester\obj\Release</v>
      </c>
      <c r="C175" s="46" t="str">
        <f>[1]!GetFile(A175)</f>
        <v>RedirectedStreamTester.csprojResolveAssemblyReference.cache</v>
      </c>
      <c r="D175" s="49">
        <v>8199</v>
      </c>
      <c r="E175" s="48">
        <v>42282.825590277775</v>
      </c>
    </row>
    <row r="176" spans="1:5" x14ac:dyDescent="0.25">
      <c r="A176" s="47" t="s">
        <v>1380</v>
      </c>
      <c r="B176" s="46" t="str">
        <f>IF(LEN([1]!GetFolder(A176))&gt;LEN(Solution_Directory_Name),RIGHT([1]!GetFolder(A176),LEN([1]!GetFolder(A176))-LEN(Solution_Directory_Name)),"")</f>
        <v>\RedirectedStreamTester\obj\Release</v>
      </c>
      <c r="C176" s="46" t="str">
        <f>[1]!GetFile(A176)</f>
        <v>RedirectedStreamTester.exe</v>
      </c>
      <c r="D176" s="49">
        <v>33792</v>
      </c>
      <c r="E176" s="48">
        <v>42282.825601851851</v>
      </c>
    </row>
    <row r="177" spans="1:5" x14ac:dyDescent="0.25">
      <c r="A177" s="47" t="s">
        <v>1379</v>
      </c>
      <c r="B177" s="46" t="str">
        <f>IF(LEN([1]!GetFolder(A177))&gt;LEN(Solution_Directory_Name),RIGHT([1]!GetFolder(A177),LEN([1]!GetFolder(A177))-LEN(Solution_Directory_Name)),"")</f>
        <v>\RedirectedStreamTester\obj\Release</v>
      </c>
      <c r="C177" s="46" t="str">
        <f>[1]!GetFile(A177)</f>
        <v>RedirectedStreamTester.pdb</v>
      </c>
      <c r="D177" s="49">
        <v>36352</v>
      </c>
      <c r="E177" s="48">
        <v>42282.825601851851</v>
      </c>
    </row>
    <row r="178" spans="1:5" x14ac:dyDescent="0.25">
      <c r="A178" s="47" t="s">
        <v>1378</v>
      </c>
      <c r="B178" s="46" t="str">
        <f>IF(LEN([1]!GetFolder(A178))&gt;LEN(Solution_Directory_Name),RIGHT([1]!GetFolder(A178),LEN([1]!GetFolder(A178))-LEN(Solution_Directory_Name)),"")</f>
        <v>\RedirectedStreamTester\obj\Release</v>
      </c>
      <c r="C178" s="46" t="str">
        <f>[1]!GetFile(A178)</f>
        <v>RedirectedStreamTester.Properties.Resources.resources</v>
      </c>
      <c r="D178" s="49">
        <v>4443</v>
      </c>
      <c r="E178" s="48">
        <v>42282.825590277775</v>
      </c>
    </row>
    <row r="179" spans="1:5" x14ac:dyDescent="0.25">
      <c r="A179" s="47" t="s">
        <v>1377</v>
      </c>
      <c r="B179" s="46" t="str">
        <f>IF(LEN([1]!GetFolder(A179))&gt;LEN(Solution_Directory_Name),RIGHT([1]!GetFolder(A179),LEN([1]!GetFolder(A179))-LEN(Solution_Directory_Name)),"")</f>
        <v>\RedirectedStreamTester\obj\Release\TempPE</v>
      </c>
      <c r="C179" s="46" t="str">
        <f>[1]!GetFile(A179)</f>
        <v>Properties.Resources.Designer.cs.dll</v>
      </c>
      <c r="D179" s="49">
        <v>11264</v>
      </c>
      <c r="E179" s="48">
        <v>42242.849212962959</v>
      </c>
    </row>
    <row r="180" spans="1:5" x14ac:dyDescent="0.25">
      <c r="A180" s="47" t="s">
        <v>1376</v>
      </c>
      <c r="B180" s="46" t="str">
        <f>IF(LEN([1]!GetFolder(A180))&gt;LEN(Solution_Directory_Name),RIGHT([1]!GetFolder(A180),LEN([1]!GetFolder(A180))-LEN(Solution_Directory_Name)),"")</f>
        <v>\RedirectedStreamTester\Properties</v>
      </c>
      <c r="C180" s="46" t="str">
        <f>[1]!GetFile(A180)</f>
        <v>AssemblyInfo.cs</v>
      </c>
      <c r="D180" s="49">
        <v>1472</v>
      </c>
      <c r="E180" s="48">
        <v>42177.696562500001</v>
      </c>
    </row>
    <row r="181" spans="1:5" x14ac:dyDescent="0.25">
      <c r="A181" s="47" t="s">
        <v>1375</v>
      </c>
      <c r="B181" s="46" t="str">
        <f>IF(LEN([1]!GetFolder(A181))&gt;LEN(Solution_Directory_Name),RIGHT([1]!GetFolder(A181),LEN([1]!GetFolder(A181))-LEN(Solution_Directory_Name)),"")</f>
        <v>\RedirectedStreamTester\Properties</v>
      </c>
      <c r="C181" s="46" t="str">
        <f>[1]!GetFile(A181)</f>
        <v>Resources.Designer.cs</v>
      </c>
      <c r="D181" s="49">
        <v>18134</v>
      </c>
      <c r="E181" s="48">
        <v>42198.785150462965</v>
      </c>
    </row>
    <row r="182" spans="1:5" x14ac:dyDescent="0.25">
      <c r="A182" s="47" t="s">
        <v>1374</v>
      </c>
      <c r="B182" s="46" t="str">
        <f>IF(LEN([1]!GetFolder(A182))&gt;LEN(Solution_Directory_Name),RIGHT([1]!GetFolder(A182),LEN([1]!GetFolder(A182))-LEN(Solution_Directory_Name)),"")</f>
        <v>\RedirectedStreamTester\Properties</v>
      </c>
      <c r="C182" s="46" t="str">
        <f>[1]!GetFile(A182)</f>
        <v>Resources.resx</v>
      </c>
      <c r="D182" s="49">
        <v>14826</v>
      </c>
      <c r="E182" s="48">
        <v>42198.785150462965</v>
      </c>
    </row>
    <row r="183" spans="1:5" x14ac:dyDescent="0.25">
      <c r="A183" s="47" t="s">
        <v>1373</v>
      </c>
      <c r="B183" s="46" t="str">
        <f>IF(LEN([1]!GetFolder(A183))&gt;LEN(Solution_Directory_Name),RIGHT([1]!GetFolder(A183),LEN([1]!GetFolder(A183))-LEN(Solution_Directory_Name)),"")</f>
        <v>\Redirected_Streams</v>
      </c>
      <c r="C183" s="46" t="str">
        <f>[1]!GetFile(A183)</f>
        <v>Redirected_Streams_20150624_141541.ZIPX</v>
      </c>
      <c r="D183" s="49">
        <v>8187</v>
      </c>
      <c r="E183" s="48">
        <v>42179.594224537039</v>
      </c>
    </row>
    <row r="184" spans="1:5" x14ac:dyDescent="0.25">
      <c r="A184" s="47" t="s">
        <v>1372</v>
      </c>
      <c r="B184" s="46" t="str">
        <f>IF(LEN([1]!GetFolder(A184))&gt;LEN(Solution_Directory_Name),RIGHT([1]!GetFolder(A184),LEN([1]!GetFolder(A184))-LEN(Solution_Directory_Name)),"")</f>
        <v>\Redirected_Streams</v>
      </c>
      <c r="C184" s="46" t="str">
        <f>[1]!GetFile(A184)</f>
        <v>Redirected_Streams_20150624_151400.ZIPX</v>
      </c>
      <c r="D184" s="49">
        <v>755</v>
      </c>
      <c r="E184" s="48">
        <v>42179.634722222225</v>
      </c>
    </row>
    <row r="185" spans="1:5" x14ac:dyDescent="0.25">
      <c r="A185" s="47" t="s">
        <v>1371</v>
      </c>
      <c r="B185" s="46" t="str">
        <f>IF(LEN([1]!GetFolder(A185))&gt;LEN(Solution_Directory_Name),RIGHT([1]!GetFolder(A185),LEN([1]!GetFolder(A185))-LEN(Solution_Directory_Name)),"")</f>
        <v>\Redirected_Streams</v>
      </c>
      <c r="C185" s="46" t="str">
        <f>[1]!GetFile(A185)</f>
        <v>Redirected_Streams_20150624_180448.ZIPX</v>
      </c>
      <c r="D185" s="49">
        <v>1258</v>
      </c>
      <c r="E185" s="48">
        <v>42179.753333333334</v>
      </c>
    </row>
    <row r="186" spans="1:5" x14ac:dyDescent="0.25">
      <c r="A186" s="47" t="s">
        <v>1370</v>
      </c>
      <c r="B186" s="46" t="str">
        <f>IF(LEN([1]!GetFolder(A186))&gt;LEN(Solution_Directory_Name),RIGHT([1]!GetFolder(A186),LEN([1]!GetFolder(A186))-LEN(Solution_Directory_Name)),"")</f>
        <v>\Redirected_Streams</v>
      </c>
      <c r="C186" s="46" t="str">
        <f>[1]!GetFile(A186)</f>
        <v>Redirected_Streams_20150624_181116.ZIPX</v>
      </c>
      <c r="D186" s="49">
        <v>6599</v>
      </c>
      <c r="E186" s="48">
        <v>42179.757824074077</v>
      </c>
    </row>
    <row r="187" spans="1:5" x14ac:dyDescent="0.25">
      <c r="A187" s="47" t="s">
        <v>1369</v>
      </c>
      <c r="B187" s="46" t="str">
        <f>IF(LEN([1]!GetFolder(A187))&gt;LEN(Solution_Directory_Name),RIGHT([1]!GetFolder(A187),LEN([1]!GetFolder(A187))-LEN(Solution_Directory_Name)),"")</f>
        <v>\Redirected_Streams</v>
      </c>
      <c r="C187" s="46" t="str">
        <f>[1]!GetFile(A187)</f>
        <v>Redirected_Streams_20150624_215603.ZIPX</v>
      </c>
      <c r="D187" s="49">
        <v>5017</v>
      </c>
      <c r="E187" s="48">
        <v>42179.913923611108</v>
      </c>
    </row>
    <row r="188" spans="1:5" x14ac:dyDescent="0.25">
      <c r="A188" s="47" t="s">
        <v>1368</v>
      </c>
      <c r="B188" s="46" t="str">
        <f>IF(LEN([1]!GetFolder(A188))&gt;LEN(Solution_Directory_Name),RIGHT([1]!GetFolder(A188),LEN([1]!GetFolder(A188))-LEN(Solution_Directory_Name)),"")</f>
        <v>\Redirected_Streams</v>
      </c>
      <c r="C188" s="46" t="str">
        <f>[1]!GetFile(A188)</f>
        <v>Redirected_Streams_20150624_221114.ZIPX</v>
      </c>
      <c r="D188" s="49">
        <v>5272</v>
      </c>
      <c r="E188" s="48">
        <v>42179.924467592595</v>
      </c>
    </row>
    <row r="189" spans="1:5" x14ac:dyDescent="0.25">
      <c r="A189" s="47" t="s">
        <v>1367</v>
      </c>
      <c r="B189" s="46" t="str">
        <f>IF(LEN([1]!GetFolder(A189))&gt;LEN(Solution_Directory_Name),RIGHT([1]!GetFolder(A189),LEN([1]!GetFolder(A189))-LEN(Solution_Directory_Name)),"")</f>
        <v>\Redirected_Streams</v>
      </c>
      <c r="C189" s="46" t="str">
        <f>[1]!GetFile(A189)</f>
        <v>Redirected_Streams_20150624_234312.ZIPX</v>
      </c>
      <c r="D189" s="49">
        <v>2848</v>
      </c>
      <c r="E189" s="48">
        <v>42179.988333333335</v>
      </c>
    </row>
    <row r="190" spans="1:5" x14ac:dyDescent="0.25">
      <c r="A190" s="47" t="s">
        <v>1366</v>
      </c>
      <c r="B190" s="46" t="str">
        <f>IF(LEN([1]!GetFolder(A190))&gt;LEN(Solution_Directory_Name),RIGHT([1]!GetFolder(A190),LEN([1]!GetFolder(A190))-LEN(Solution_Directory_Name)),"")</f>
        <v>\Redirected_Streams</v>
      </c>
      <c r="C190" s="46" t="str">
        <f>[1]!GetFile(A190)</f>
        <v>RedirectionDrills.LOG</v>
      </c>
      <c r="D190" s="49">
        <v>4825</v>
      </c>
      <c r="E190" s="48">
        <v>42271.240543981483</v>
      </c>
    </row>
    <row r="191" spans="1:5" x14ac:dyDescent="0.25">
      <c r="A191" s="47" t="s">
        <v>1365</v>
      </c>
      <c r="B191" s="46" t="str">
        <f>IF(LEN([1]!GetFolder(A191))&gt;LEN(Solution_Directory_Name),RIGHT([1]!GetFolder(A191),LEN([1]!GetFolder(A191))-LEN(Solution_Directory_Name)),"")</f>
        <v>\Redirected_Streams</v>
      </c>
      <c r="C191" s="46" t="str">
        <f>[1]!GetFile(A191)</f>
        <v>RedirectionDrills_20150625_174654.LOG</v>
      </c>
      <c r="D191" s="49">
        <v>3164</v>
      </c>
      <c r="E191" s="48">
        <v>42180.740902777776</v>
      </c>
    </row>
    <row r="192" spans="1:5" x14ac:dyDescent="0.25">
      <c r="A192" s="47" t="s">
        <v>1364</v>
      </c>
      <c r="B192" s="46" t="str">
        <f>IF(LEN([1]!GetFolder(A192))&gt;LEN(Solution_Directory_Name),RIGHT([1]!GetFolder(A192),LEN([1]!GetFolder(A192))-LEN(Solution_Directory_Name)),"")</f>
        <v>\Redirected_Streams</v>
      </c>
      <c r="C192" s="46" t="str">
        <f>[1]!GetFile(A192)</f>
        <v>RedirectionDrills_20150713_194517.LOG</v>
      </c>
      <c r="D192" s="49">
        <v>5930</v>
      </c>
      <c r="E192" s="48">
        <v>42198.823113425926</v>
      </c>
    </row>
    <row r="193" spans="1:5" x14ac:dyDescent="0.25">
      <c r="A193" s="47" t="s">
        <v>1363</v>
      </c>
      <c r="B193" s="46" t="str">
        <f>IF(LEN([1]!GetFolder(A193))&gt;LEN(Solution_Directory_Name),RIGHT([1]!GetFolder(A193),LEN([1]!GetFolder(A193))-LEN(Solution_Directory_Name)),"")</f>
        <v>\Redirected_Streams</v>
      </c>
      <c r="C193" s="46" t="str">
        <f>[1]!GetFile(A193)</f>
        <v>RedirectionDrills_ERR_20150624_233437.LOG</v>
      </c>
      <c r="D193" s="49">
        <v>774</v>
      </c>
      <c r="E193" s="48">
        <v>42179.982372685183</v>
      </c>
    </row>
    <row r="194" spans="1:5" x14ac:dyDescent="0.25">
      <c r="A194" s="47" t="s">
        <v>1362</v>
      </c>
      <c r="B194" s="46" t="str">
        <f>IF(LEN([1]!GetFolder(A194))&gt;LEN(Solution_Directory_Name),RIGHT([1]!GetFolder(A194),LEN([1]!GetFolder(A194))-LEN(Solution_Directory_Name)),"")</f>
        <v>\Redirected_Streams</v>
      </c>
      <c r="C194" s="46" t="str">
        <f>[1]!GetFile(A194)</f>
        <v>RedirectionDrills_IN_20150624_232103.LOG</v>
      </c>
      <c r="D194" s="49">
        <v>766</v>
      </c>
      <c r="E194" s="48">
        <v>42179.972951388889</v>
      </c>
    </row>
    <row r="195" spans="1:5" x14ac:dyDescent="0.25">
      <c r="A195" s="47" t="s">
        <v>1361</v>
      </c>
      <c r="B195" s="46" t="str">
        <f>IF(LEN([1]!GetFolder(A195))&gt;LEN(Solution_Directory_Name),RIGHT([1]!GetFolder(A195),LEN([1]!GetFolder(A195))-LEN(Solution_Directory_Name)),"")</f>
        <v>\Redirected_Streams</v>
      </c>
      <c r="C195" s="46" t="str">
        <f>[1]!GetFile(A195)</f>
        <v>RedirectionDrills_NONE_20150624_231144.LOG</v>
      </c>
      <c r="D195" s="49">
        <v>667</v>
      </c>
      <c r="E195" s="48">
        <v>42179.966481481482</v>
      </c>
    </row>
    <row r="196" spans="1:5" x14ac:dyDescent="0.25">
      <c r="A196" s="47" t="s">
        <v>1360</v>
      </c>
      <c r="B196" s="46" t="str">
        <f>IF(LEN([1]!GetFolder(A196))&gt;LEN(Solution_Directory_Name),RIGHT([1]!GetFolder(A196),LEN([1]!GetFolder(A196))-LEN(Solution_Directory_Name)),"")</f>
        <v>\Redirected_Streams</v>
      </c>
      <c r="C196" s="46" t="str">
        <f>[1]!GetFile(A196)</f>
        <v>RedirectionDrills_OUT_20150624_232947.LOG</v>
      </c>
      <c r="D196" s="49">
        <v>774</v>
      </c>
      <c r="E196" s="48">
        <v>42179.979016203702</v>
      </c>
    </row>
    <row r="197" spans="1:5" x14ac:dyDescent="0.25">
      <c r="A197" s="47" t="s">
        <v>1359</v>
      </c>
      <c r="B197" s="46" t="str">
        <f>IF(LEN([1]!GetFolder(A197))&gt;LEN(Solution_Directory_Name),RIGHT([1]!GetFolder(A197),LEN([1]!GetFolder(A197))-LEN(Solution_Directory_Name)),"")</f>
        <v>\Redirected_Streams</v>
      </c>
      <c r="C197" s="46" t="str">
        <f>[1]!GetFile(A197)</f>
        <v>StandardHandlesLabDrills.LOG</v>
      </c>
      <c r="D197" s="49">
        <v>8455</v>
      </c>
      <c r="E197" s="48">
        <v>42279.737928240742</v>
      </c>
    </row>
    <row r="198" spans="1:5" x14ac:dyDescent="0.25">
      <c r="A198" s="47" t="s">
        <v>1358</v>
      </c>
      <c r="B198" s="46" t="str">
        <f>IF(LEN([1]!GetFolder(A198))&gt;LEN(Solution_Directory_Name),RIGHT([1]!GetFolder(A198),LEN([1]!GetFolder(A198))-LEN(Solution_Directory_Name)),"")</f>
        <v>\Redirected_Streams</v>
      </c>
      <c r="C198" s="46" t="str">
        <f>[1]!GetFile(A198)</f>
        <v>StandardHandlesLabDrills_20150626_181446.LOG</v>
      </c>
      <c r="D198" s="49">
        <v>3029</v>
      </c>
      <c r="E198" s="48">
        <v>42181.760254629633</v>
      </c>
    </row>
    <row r="199" spans="1:5" x14ac:dyDescent="0.25">
      <c r="A199" s="47" t="s">
        <v>1357</v>
      </c>
      <c r="B199" s="46" t="str">
        <f>IF(LEN([1]!GetFolder(A199))&gt;LEN(Solution_Directory_Name),RIGHT([1]!GetFolder(A199),LEN([1]!GetFolder(A199))-LEN(Solution_Directory_Name)),"")</f>
        <v>\Redirected_Streams</v>
      </c>
      <c r="C199" s="46" t="str">
        <f>[1]!GetFile(A199)</f>
        <v>StandardHandlesLabDrills_20150708_215657.LOG</v>
      </c>
      <c r="D199" s="49">
        <v>11206</v>
      </c>
      <c r="E199" s="48">
        <v>42193.914548611108</v>
      </c>
    </row>
    <row r="200" spans="1:5" x14ac:dyDescent="0.25">
      <c r="A200" s="47" t="s">
        <v>1356</v>
      </c>
      <c r="B200" s="46" t="str">
        <f>IF(LEN([1]!GetFolder(A200))&gt;LEN(Solution_Directory_Name),RIGHT([1]!GetFolder(A200),LEN([1]!GetFolder(A200))-LEN(Solution_Directory_Name)),"")</f>
        <v>\Redirected_Streams</v>
      </c>
      <c r="C200" s="46" t="str">
        <f>[1]!GetFile(A200)</f>
        <v>STDERR.TXT</v>
      </c>
      <c r="D200" s="49">
        <v>256</v>
      </c>
      <c r="E200" s="48">
        <v>42268.047511574077</v>
      </c>
    </row>
    <row r="201" spans="1:5" x14ac:dyDescent="0.25">
      <c r="A201" s="47" t="s">
        <v>1355</v>
      </c>
      <c r="B201" s="46" t="str">
        <f>IF(LEN([1]!GetFolder(A201))&gt;LEN(Solution_Directory_Name),RIGHT([1]!GetFolder(A201),LEN([1]!GetFolder(A201))-LEN(Solution_Directory_Name)),"")</f>
        <v>\Redirected_Streams</v>
      </c>
      <c r="C201" s="46" t="str">
        <f>[1]!GetFile(A201)</f>
        <v>STDERR_20150624_233437.TXT</v>
      </c>
      <c r="D201" s="49">
        <v>256</v>
      </c>
      <c r="E201" s="48">
        <v>42179.982372685183</v>
      </c>
    </row>
    <row r="202" spans="1:5" x14ac:dyDescent="0.25">
      <c r="A202" s="47" t="s">
        <v>1354</v>
      </c>
      <c r="B202" s="46" t="str">
        <f>IF(LEN([1]!GetFolder(A202))&gt;LEN(Solution_Directory_Name),RIGHT([1]!GetFolder(A202),LEN([1]!GetFolder(A202))-LEN(Solution_Directory_Name)),"")</f>
        <v>\Redirected_Streams</v>
      </c>
      <c r="C202" s="46" t="str">
        <f>[1]!GetFile(A202)</f>
        <v>STDERR_20150626_181446.TXT</v>
      </c>
      <c r="D202" s="49">
        <v>0</v>
      </c>
      <c r="E202" s="48">
        <v>42181.760254629633</v>
      </c>
    </row>
    <row r="203" spans="1:5" x14ac:dyDescent="0.25">
      <c r="A203" s="47" t="s">
        <v>1353</v>
      </c>
      <c r="B203" s="46" t="str">
        <f>IF(LEN([1]!GetFolder(A203))&gt;LEN(Solution_Directory_Name),RIGHT([1]!GetFolder(A203),LEN([1]!GetFolder(A203))-LEN(Solution_Directory_Name)),"")</f>
        <v>\Redirected_Streams</v>
      </c>
      <c r="C203" s="46" t="str">
        <f>[1]!GetFile(A203)</f>
        <v>STDERR_20150708_160332.TXT</v>
      </c>
      <c r="D203" s="49">
        <v>0</v>
      </c>
      <c r="E203" s="48">
        <v>42193.669120370374</v>
      </c>
    </row>
    <row r="204" spans="1:5" x14ac:dyDescent="0.25">
      <c r="A204" s="47" t="s">
        <v>1352</v>
      </c>
      <c r="B204" s="46" t="str">
        <f>IF(LEN([1]!GetFolder(A204))&gt;LEN(Solution_Directory_Name),RIGHT([1]!GetFolder(A204),LEN([1]!GetFolder(A204))-LEN(Solution_Directory_Name)),"")</f>
        <v>\Redirected_Streams</v>
      </c>
      <c r="C204" s="46" t="str">
        <f>[1]!GetFile(A204)</f>
        <v>STDERR_20150708_215651.TXT</v>
      </c>
      <c r="D204" s="49">
        <v>0</v>
      </c>
      <c r="E204" s="48">
        <v>42193.914479166669</v>
      </c>
    </row>
    <row r="205" spans="1:5" x14ac:dyDescent="0.25">
      <c r="A205" s="47" t="s">
        <v>1351</v>
      </c>
      <c r="B205" s="46" t="str">
        <f>IF(LEN([1]!GetFolder(A205))&gt;LEN(Solution_Directory_Name),RIGHT([1]!GetFolder(A205),LEN([1]!GetFolder(A205))-LEN(Solution_Directory_Name)),"")</f>
        <v>\Redirected_Streams</v>
      </c>
      <c r="C205" s="46" t="str">
        <f>[1]!GetFile(A205)</f>
        <v>STDERR_20150713_191848.TXT</v>
      </c>
      <c r="D205" s="49">
        <v>256</v>
      </c>
      <c r="E205" s="48">
        <v>42198.804722222223</v>
      </c>
    </row>
    <row r="206" spans="1:5" x14ac:dyDescent="0.25">
      <c r="A206" s="47" t="s">
        <v>1350</v>
      </c>
      <c r="B206" s="46" t="str">
        <f>IF(LEN([1]!GetFolder(A206))&gt;LEN(Solution_Directory_Name),RIGHT([1]!GetFolder(A206),LEN([1]!GetFolder(A206))-LEN(Solution_Directory_Name)),"")</f>
        <v>\Redirected_Streams</v>
      </c>
      <c r="C206" s="46" t="str">
        <f>[1]!GetFile(A206)</f>
        <v>STDIN.TXT</v>
      </c>
      <c r="D206" s="49">
        <v>189</v>
      </c>
      <c r="E206" s="48">
        <v>42178.333368055559</v>
      </c>
    </row>
    <row r="207" spans="1:5" x14ac:dyDescent="0.25">
      <c r="A207" s="47" t="s">
        <v>1349</v>
      </c>
      <c r="B207" s="46" t="str">
        <f>IF(LEN([1]!GetFolder(A207))&gt;LEN(Solution_Directory_Name),RIGHT([1]!GetFolder(A207),LEN([1]!GetFolder(A207))-LEN(Solution_Directory_Name)),"")</f>
        <v>\Redirected_Streams</v>
      </c>
      <c r="C207" s="46" t="str">
        <f>[1]!GetFile(A207)</f>
        <v>STDOUT.TXT</v>
      </c>
      <c r="D207" s="49">
        <v>821</v>
      </c>
      <c r="E207" s="48">
        <v>42271.240266203706</v>
      </c>
    </row>
    <row r="208" spans="1:5" x14ac:dyDescent="0.25">
      <c r="A208" s="47" t="s">
        <v>1348</v>
      </c>
      <c r="B208" s="46" t="str">
        <f>IF(LEN([1]!GetFolder(A208))&gt;LEN(Solution_Directory_Name),RIGHT([1]!GetFolder(A208),LEN([1]!GetFolder(A208))-LEN(Solution_Directory_Name)),"")</f>
        <v>\Redirected_Streams</v>
      </c>
      <c r="C208" s="46" t="str">
        <f>[1]!GetFile(A208)</f>
        <v>STDOUT_20150624_232947.TXT</v>
      </c>
      <c r="D208" s="49">
        <v>599</v>
      </c>
      <c r="E208" s="48">
        <v>42179.979016203702</v>
      </c>
    </row>
    <row r="209" spans="1:5" x14ac:dyDescent="0.25">
      <c r="A209" s="47" t="s">
        <v>1347</v>
      </c>
      <c r="B209" s="46" t="str">
        <f>IF(LEN([1]!GetFolder(A209))&gt;LEN(Solution_Directory_Name),RIGHT([1]!GetFolder(A209),LEN([1]!GetFolder(A209))-LEN(Solution_Directory_Name)),"")</f>
        <v>\Redirected_Streams</v>
      </c>
      <c r="C209" s="46" t="str">
        <f>[1]!GetFile(A209)</f>
        <v>STDOUT_20150625_174518.TXT</v>
      </c>
      <c r="D209" s="49">
        <v>650</v>
      </c>
      <c r="E209" s="48">
        <v>42180.739791666667</v>
      </c>
    </row>
    <row r="210" spans="1:5" x14ac:dyDescent="0.25">
      <c r="A210" s="47" t="s">
        <v>1346</v>
      </c>
      <c r="B210" s="46" t="str">
        <f>IF(LEN([1]!GetFolder(A210))&gt;LEN(Solution_Directory_Name),RIGHT([1]!GetFolder(A210),LEN([1]!GetFolder(A210))-LEN(Solution_Directory_Name)),"")</f>
        <v>\Redirected_Streams</v>
      </c>
      <c r="C210" s="46" t="str">
        <f>[1]!GetFile(A210)</f>
        <v>STDOUT_20150625_174654.TXT</v>
      </c>
      <c r="D210" s="49">
        <v>650</v>
      </c>
      <c r="E210" s="48">
        <v>42180.740902777776</v>
      </c>
    </row>
    <row r="211" spans="1:5" x14ac:dyDescent="0.25">
      <c r="A211" s="47" t="s">
        <v>1345</v>
      </c>
      <c r="B211" s="46" t="str">
        <f>IF(LEN([1]!GetFolder(A211))&gt;LEN(Solution_Directory_Name),RIGHT([1]!GetFolder(A211),LEN([1]!GetFolder(A211))-LEN(Solution_Directory_Name)),"")</f>
        <v>\Redirected_Streams</v>
      </c>
      <c r="C211" s="46" t="str">
        <f>[1]!GetFile(A211)</f>
        <v>STDOUT_20150626_181109.TXT</v>
      </c>
      <c r="D211" s="49">
        <v>347</v>
      </c>
      <c r="E211" s="48">
        <v>42181.757743055554</v>
      </c>
    </row>
    <row r="212" spans="1:5" x14ac:dyDescent="0.25">
      <c r="A212" s="47" t="s">
        <v>1344</v>
      </c>
      <c r="B212" s="46" t="str">
        <f>IF(LEN([1]!GetFolder(A212))&gt;LEN(Solution_Directory_Name),RIGHT([1]!GetFolder(A212),LEN([1]!GetFolder(A212))-LEN(Solution_Directory_Name)),"")</f>
        <v>\Redirected_Streams</v>
      </c>
      <c r="C212" s="46" t="str">
        <f>[1]!GetFile(A212)</f>
        <v>STDOUT_20150708_160332.TXT</v>
      </c>
      <c r="D212" s="49">
        <v>747</v>
      </c>
      <c r="E212" s="48">
        <v>42193.669120370374</v>
      </c>
    </row>
    <row r="213" spans="1:5" x14ac:dyDescent="0.25">
      <c r="A213" s="47" t="s">
        <v>1343</v>
      </c>
      <c r="B213" s="46" t="str">
        <f>IF(LEN([1]!GetFolder(A213))&gt;LEN(Solution_Directory_Name),RIGHT([1]!GetFolder(A213),LEN([1]!GetFolder(A213))-LEN(Solution_Directory_Name)),"")</f>
        <v>\Redirected_Streams</v>
      </c>
      <c r="C213" s="46" t="str">
        <f>[1]!GetFile(A213)</f>
        <v>STDOUT_20150708_215651.TXT</v>
      </c>
      <c r="D213" s="49">
        <v>717</v>
      </c>
      <c r="E213" s="48">
        <v>42193.914479166669</v>
      </c>
    </row>
    <row r="214" spans="1:5" x14ac:dyDescent="0.25">
      <c r="A214" s="47" t="s">
        <v>1342</v>
      </c>
      <c r="B214" s="46" t="str">
        <f>IF(LEN([1]!GetFolder(A214))&gt;LEN(Solution_Directory_Name),RIGHT([1]!GetFolder(A214),LEN([1]!GetFolder(A214))-LEN(Solution_Directory_Name)),"")</f>
        <v>\Redirected_Streams</v>
      </c>
      <c r="C214" s="46" t="str">
        <f>[1]!GetFile(A214)</f>
        <v>STDOUT_20150713_194517.TXT</v>
      </c>
      <c r="D214" s="49">
        <v>649</v>
      </c>
      <c r="E214" s="48">
        <v>42198.823113425926</v>
      </c>
    </row>
    <row r="215" spans="1:5" x14ac:dyDescent="0.25">
      <c r="A215" s="47" t="s">
        <v>1341</v>
      </c>
      <c r="B215" s="46" t="str">
        <f>IF(LEN([1]!GetFolder(A215))&gt;LEN(Solution_Directory_Name),RIGHT([1]!GetFolder(A215),LEN([1]!GetFolder(A215))-LEN(Solution_Directory_Name)),"")</f>
        <v>\Redirected_Streams</v>
      </c>
      <c r="C215" s="46" t="str">
        <f>[1]!GetFile(A215)</f>
        <v>STDOUT_20150921_010645.TXT</v>
      </c>
      <c r="D215" s="49">
        <v>821</v>
      </c>
      <c r="E215" s="48">
        <v>42268.046354166669</v>
      </c>
    </row>
    <row r="216" spans="1:5" x14ac:dyDescent="0.25">
      <c r="A216" s="47" t="s">
        <v>1340</v>
      </c>
      <c r="B216" s="46" t="str">
        <f>IF(LEN([1]!GetFolder(A216))&gt;LEN(Solution_Directory_Name),RIGHT([1]!GetFolder(A216),LEN([1]!GetFolder(A216))-LEN(Solution_Directory_Name)),"")</f>
        <v>\Redirected_Streams</v>
      </c>
      <c r="C216" s="46" t="str">
        <f>[1]!GetFile(A216)</f>
        <v>STDOUT_20150921_185945.TXT</v>
      </c>
      <c r="D216" s="49">
        <v>821</v>
      </c>
      <c r="E216" s="48">
        <v>42268.791493055556</v>
      </c>
    </row>
    <row r="217" spans="1:5" x14ac:dyDescent="0.25">
      <c r="A217" s="47" t="s">
        <v>1339</v>
      </c>
      <c r="B217" s="46" t="str">
        <f>IF(LEN([1]!GetFolder(A217))&gt;LEN(Solution_Directory_Name),RIGHT([1]!GetFolder(A217),LEN([1]!GetFolder(A217))-LEN(Solution_Directory_Name)),"")</f>
        <v>\Redirected_Streams</v>
      </c>
      <c r="C217" s="46" t="str">
        <f>[1]!GetFile(A217)</f>
        <v>STDOUT_20150921_190004.TXT</v>
      </c>
      <c r="D217" s="49">
        <v>821</v>
      </c>
      <c r="E217" s="48">
        <v>42268.791712962964</v>
      </c>
    </row>
    <row r="218" spans="1:5" x14ac:dyDescent="0.25">
      <c r="A218" s="47" t="s">
        <v>1338</v>
      </c>
      <c r="B218" s="46" t="str">
        <f>IF(LEN([1]!GetFolder(A218))&gt;LEN(Solution_Directory_Name),RIGHT([1]!GetFolder(A218),LEN([1]!GetFolder(A218))-LEN(Solution_Directory_Name)),"")</f>
        <v>\Redirected_Streams</v>
      </c>
      <c r="C218" s="46" t="str">
        <f>[1]!GetFile(A218)</f>
        <v>STDOUT_20150922_094754.TXT</v>
      </c>
      <c r="D218" s="49">
        <v>0</v>
      </c>
      <c r="E218" s="48">
        <v>42269.408263888887</v>
      </c>
    </row>
    <row r="219" spans="1:5" x14ac:dyDescent="0.25">
      <c r="A219" s="47" t="s">
        <v>1337</v>
      </c>
      <c r="B219" s="46" t="str">
        <f>IF(LEN([1]!GetFolder(A219))&gt;LEN(Solution_Directory_Name),RIGHT([1]!GetFolder(A219),LEN([1]!GetFolder(A219))-LEN(Solution_Directory_Name)),"")</f>
        <v>\Redirected_Streams</v>
      </c>
      <c r="C219" s="46" t="str">
        <f>[1]!GetFile(A219)</f>
        <v>STDOUT_20150922_095718.TXT</v>
      </c>
      <c r="D219" s="49">
        <v>0</v>
      </c>
      <c r="E219" s="48">
        <v>42269.41479166667</v>
      </c>
    </row>
    <row r="220" spans="1:5" x14ac:dyDescent="0.25">
      <c r="A220" s="47" t="s">
        <v>1336</v>
      </c>
      <c r="B220" s="46" t="str">
        <f>IF(LEN([1]!GetFolder(A220))&gt;LEN(Solution_Directory_Name),RIGHT([1]!GetFolder(A220),LEN([1]!GetFolder(A220))-LEN(Solution_Directory_Name)),"")</f>
        <v>\Redirected_Streams</v>
      </c>
      <c r="C220" s="46" t="str">
        <f>[1]!GetFile(A220)</f>
        <v>STDOUT_20150922_100938.TXT</v>
      </c>
      <c r="D220" s="49">
        <v>717</v>
      </c>
      <c r="E220" s="48">
        <v>42269.423356481479</v>
      </c>
    </row>
    <row r="221" spans="1:5" x14ac:dyDescent="0.25">
      <c r="A221" s="47" t="s">
        <v>1335</v>
      </c>
      <c r="B221" s="46" t="str">
        <f>IF(LEN([1]!GetFolder(A221))&gt;LEN(Solution_Directory_Name),RIGHT([1]!GetFolder(A221),LEN([1]!GetFolder(A221))-LEN(Solution_Directory_Name)),"")</f>
        <v>\Redirected_Streams</v>
      </c>
      <c r="C221" s="46" t="str">
        <f>[1]!GetFile(A221)</f>
        <v>STDOUT_20150922_102715.TXT</v>
      </c>
      <c r="D221" s="49">
        <v>717</v>
      </c>
      <c r="E221" s="48">
        <v>42269.435590277775</v>
      </c>
    </row>
    <row r="222" spans="1:5" x14ac:dyDescent="0.25">
      <c r="A222" s="47" t="s">
        <v>1334</v>
      </c>
      <c r="B222" s="46" t="str">
        <f>IF(LEN([1]!GetFolder(A222))&gt;LEN(Solution_Directory_Name),RIGHT([1]!GetFolder(A222),LEN([1]!GetFolder(A222))-LEN(Solution_Directory_Name)),"")</f>
        <v>\Redirected_Streams</v>
      </c>
      <c r="C222" s="46" t="str">
        <f>[1]!GetFile(A222)</f>
        <v>STDOUT_20150922_103944.TXT</v>
      </c>
      <c r="D222" s="49">
        <v>717</v>
      </c>
      <c r="E222" s="48">
        <v>42269.44425925926</v>
      </c>
    </row>
    <row r="223" spans="1:5" x14ac:dyDescent="0.25">
      <c r="A223" s="47" t="s">
        <v>1333</v>
      </c>
      <c r="B223" s="46" t="str">
        <f>IF(LEN([1]!GetFolder(A223))&gt;LEN(Solution_Directory_Name),RIGHT([1]!GetFolder(A223),LEN([1]!GetFolder(A223))-LEN(Solution_Directory_Name)),"")</f>
        <v>\REFERENCE</v>
      </c>
      <c r="C223" s="46" t="str">
        <f>[1]!GetFile(A223)</f>
        <v>bin Directory.lnk</v>
      </c>
      <c r="D223" s="49">
        <v>701</v>
      </c>
      <c r="E223" s="48">
        <v>42179.327037037037</v>
      </c>
    </row>
    <row r="224" spans="1:5" x14ac:dyDescent="0.25">
      <c r="A224" s="47" t="s">
        <v>1332</v>
      </c>
      <c r="B224" s="46" t="str">
        <f>IF(LEN([1]!GetFolder(A224))&gt;LEN(Solution_Directory_Name),RIGHT([1]!GetFolder(A224),LEN([1]!GetFolder(A224))-LEN(Solution_Directory_Name)),"")</f>
        <v>\REFERENCE</v>
      </c>
      <c r="C224" s="46" t="str">
        <f>[1]!GetFile(A224)</f>
        <v>DelTempFiles.CMD.lnk</v>
      </c>
      <c r="D224" s="49">
        <v>989</v>
      </c>
      <c r="E224" s="48">
        <v>42179.364282407405</v>
      </c>
    </row>
    <row r="225" spans="1:5" x14ac:dyDescent="0.25">
      <c r="A225" s="47" t="s">
        <v>1331</v>
      </c>
      <c r="B225" s="46" t="str">
        <f>IF(LEN([1]!GetFolder(A225))&gt;LEN(Solution_Directory_Name),RIGHT([1]!GetFolder(A225),LEN([1]!GetFolder(A225))-LEN(Solution_Directory_Name)),"")</f>
        <v>\REFERENCE</v>
      </c>
      <c r="C225" s="46" t="str">
        <f>[1]!GetFile(A225)</f>
        <v>EZMAILER_Retry.CMD.lnk</v>
      </c>
      <c r="D225" s="49">
        <v>1057</v>
      </c>
      <c r="E225" s="48">
        <v>42179.326099537036</v>
      </c>
    </row>
    <row r="226" spans="1:5" x14ac:dyDescent="0.25">
      <c r="A226" s="47" t="s">
        <v>1330</v>
      </c>
      <c r="B226" s="46" t="str">
        <f>IF(LEN([1]!GetFolder(A226))&gt;LEN(Solution_Directory_Name),RIGHT([1]!GetFolder(A226),LEN([1]!GetFolder(A226))-LEN(Solution_Directory_Name)),"")</f>
        <v>\REFERENCE</v>
      </c>
      <c r="C226" s="46" t="str">
        <f>[1]!GetFile(A226)</f>
        <v>INCLUDE Directory (DAG).lnk</v>
      </c>
      <c r="D226" s="49">
        <v>1413</v>
      </c>
      <c r="E226" s="48">
        <v>42193.926400462966</v>
      </c>
    </row>
    <row r="227" spans="1:5" x14ac:dyDescent="0.25">
      <c r="A227" s="47" t="s">
        <v>1329</v>
      </c>
      <c r="B227" s="46" t="str">
        <f>IF(LEN([1]!GetFolder(A227))&gt;LEN(Solution_Directory_Name),RIGHT([1]!GetFolder(A227),LEN([1]!GetFolder(A227))-LEN(Solution_Directory_Name)),"")</f>
        <v>\REFERENCE</v>
      </c>
      <c r="C227" s="46" t="str">
        <f>[1]!GetFile(A227)</f>
        <v>UTIL Directory.lnk</v>
      </c>
      <c r="D227" s="49">
        <v>746</v>
      </c>
      <c r="E227" s="48">
        <v>42179.326643518521</v>
      </c>
    </row>
    <row r="228" spans="1:5" x14ac:dyDescent="0.25">
      <c r="A228" s="47" t="s">
        <v>1328</v>
      </c>
      <c r="B228" s="46" t="str">
        <f>IF(LEN([1]!GetFolder(A228))&gt;LEN(Solution_Directory_Name),RIGHT([1]!GetFolder(A228),LEN([1]!GetFolder(A228))-LEN(Solution_Directory_Name)),"")</f>
        <v>\REFERENCE</v>
      </c>
      <c r="C228" s="46" t="str">
        <f>[1]!GetFile(A228)</f>
        <v>VS_Native_INCLUDE.lnk</v>
      </c>
      <c r="D228" s="49">
        <v>2201</v>
      </c>
      <c r="E228" s="48">
        <v>42181.711226851854</v>
      </c>
    </row>
    <row r="229" spans="1:5" x14ac:dyDescent="0.25">
      <c r="A229" s="47" t="s">
        <v>1327</v>
      </c>
      <c r="B229" s="46" t="str">
        <f>IF(LEN([1]!GetFolder(A229))&gt;LEN(Solution_Directory_Name),RIGHT([1]!GetFolder(A229),LEN([1]!GetFolder(A229))-LEN(Solution_Directory_Name)),"")</f>
        <v>\scripts</v>
      </c>
      <c r="C229" s="46" t="str">
        <f>[1]!GetFile(A229)</f>
        <v>CaptureTestStandOutput.CMD</v>
      </c>
      <c r="D229" s="49">
        <v>6541</v>
      </c>
      <c r="E229" s="48">
        <v>42178.730868055558</v>
      </c>
    </row>
    <row r="230" spans="1:5" x14ac:dyDescent="0.25">
      <c r="A230" s="47" t="s">
        <v>1326</v>
      </c>
      <c r="B230" s="46" t="str">
        <f>IF(LEN([1]!GetFolder(A230))&gt;LEN(Solution_Directory_Name),RIGHT([1]!GetFolder(A230),LEN([1]!GetFolder(A230))-LEN(Solution_Directory_Name)),"")</f>
        <v>\scripts</v>
      </c>
      <c r="C230" s="46" t="str">
        <f>[1]!GetFile(A230)</f>
        <v>DocumentTestStandRun.CMD</v>
      </c>
      <c r="D230" s="49">
        <v>6275</v>
      </c>
      <c r="E230" s="48">
        <v>42178.730034722219</v>
      </c>
    </row>
    <row r="231" spans="1:5" x14ac:dyDescent="0.25">
      <c r="A231" s="47" t="s">
        <v>1325</v>
      </c>
      <c r="B231" s="46" t="str">
        <f>IF(LEN([1]!GetFolder(A231))&gt;LEN(Solution_Directory_Name),RIGHT([1]!GetFolder(A231),LEN([1]!GetFolder(A231))-LEN(Solution_Directory_Name)),"")</f>
        <v>\scripts</v>
      </c>
      <c r="C231" s="46" t="str">
        <f>[1]!GetFile(A231)</f>
        <v>ExportFromEventLog1Source.CMD</v>
      </c>
      <c r="D231" s="49">
        <v>4505</v>
      </c>
      <c r="E231" s="48">
        <v>42178.747708333336</v>
      </c>
    </row>
    <row r="232" spans="1:5" x14ac:dyDescent="0.25">
      <c r="A232" s="47" t="s">
        <v>1324</v>
      </c>
      <c r="B232" s="46" t="str">
        <f>IF(LEN([1]!GetFolder(A232))&gt;LEN(Solution_Directory_Name),RIGHT([1]!GetFolder(A232),LEN([1]!GetFolder(A232))-LEN(Solution_Directory_Name)),"")</f>
        <v>\scripts</v>
      </c>
      <c r="C232" s="46" t="str">
        <f>[1]!GetFile(A232)</f>
        <v>RedirectionDrills.CMD</v>
      </c>
      <c r="D232" s="49">
        <v>15542</v>
      </c>
      <c r="E232" s="48">
        <v>42270.935648148145</v>
      </c>
    </row>
    <row r="233" spans="1:5" x14ac:dyDescent="0.25">
      <c r="A233" s="47" t="s">
        <v>1323</v>
      </c>
      <c r="B233" s="46" t="str">
        <f>IF(LEN([1]!GetFolder(A233))&gt;LEN(Solution_Directory_Name),RIGHT([1]!GetFolder(A233),LEN([1]!GetFolder(A233))-LEN(Solution_Directory_Name)),"")</f>
        <v>\scripts</v>
      </c>
      <c r="C233" s="46" t="str">
        <f>[1]!GetFile(A233)</f>
        <v>RedirectionDrills_NONE.lnk</v>
      </c>
      <c r="D233" s="49">
        <v>2148</v>
      </c>
      <c r="E233" s="48">
        <v>42180.723020833335</v>
      </c>
    </row>
    <row r="234" spans="1:5" x14ac:dyDescent="0.25">
      <c r="A234" s="47" t="s">
        <v>1322</v>
      </c>
      <c r="B234" s="46" t="str">
        <f>IF(LEN([1]!GetFolder(A234))&gt;LEN(Solution_Directory_Name),RIGHT([1]!GetFolder(A234),LEN([1]!GetFolder(A234))-LEN(Solution_Directory_Name)),"")</f>
        <v>\scripts</v>
      </c>
      <c r="C234" s="46" t="str">
        <f>[1]!GetFile(A234)</f>
        <v>RedirectionDrills_STDERR.lnk</v>
      </c>
      <c r="D234" s="49">
        <v>2146</v>
      </c>
      <c r="E234" s="48">
        <v>42180.722650462965</v>
      </c>
    </row>
    <row r="235" spans="1:5" x14ac:dyDescent="0.25">
      <c r="A235" s="47" t="s">
        <v>1321</v>
      </c>
      <c r="B235" s="46" t="str">
        <f>IF(LEN([1]!GetFolder(A235))&gt;LEN(Solution_Directory_Name),RIGHT([1]!GetFolder(A235),LEN([1]!GetFolder(A235))-LEN(Solution_Directory_Name)),"")</f>
        <v>\scripts</v>
      </c>
      <c r="C235" s="46" t="str">
        <f>[1]!GetFile(A235)</f>
        <v>RedirectionDrills_STDIN.lnk</v>
      </c>
      <c r="D235" s="49">
        <v>2144</v>
      </c>
      <c r="E235" s="48">
        <v>42180.721932870372</v>
      </c>
    </row>
    <row r="236" spans="1:5" x14ac:dyDescent="0.25">
      <c r="A236" s="47" t="s">
        <v>1320</v>
      </c>
      <c r="B236" s="46" t="str">
        <f>IF(LEN([1]!GetFolder(A236))&gt;LEN(Solution_Directory_Name),RIGHT([1]!GetFolder(A236),LEN([1]!GetFolder(A236))-LEN(Solution_Directory_Name)),"")</f>
        <v>\scripts</v>
      </c>
      <c r="C236" s="46" t="str">
        <f>[1]!GetFile(A236)</f>
        <v>RedirectionDrills_STDOUT.lnk</v>
      </c>
      <c r="D236" s="49">
        <v>2146</v>
      </c>
      <c r="E236" s="48">
        <v>42180.722349537034</v>
      </c>
    </row>
    <row r="237" spans="1:5" x14ac:dyDescent="0.25">
      <c r="A237" s="47" t="s">
        <v>946</v>
      </c>
      <c r="B237" s="46" t="str">
        <f>IF(LEN([1]!GetFolder(A237))&gt;LEN(Solution_Directory_Name),RIGHT([1]!GetFolder(A237),LEN([1]!GetFolder(A237))-LEN(Solution_Directory_Name)),"")</f>
        <v>\scripts</v>
      </c>
      <c r="C237" s="46" t="str">
        <f>[1]!GetFile(A237)</f>
        <v>StandardHandlesLabDrills.CMD</v>
      </c>
      <c r="D237" s="49">
        <v>14945</v>
      </c>
      <c r="E237" s="48">
        <v>42277.04996527778</v>
      </c>
    </row>
    <row r="238" spans="1:5" x14ac:dyDescent="0.25">
      <c r="A238" s="47" t="s">
        <v>1319</v>
      </c>
      <c r="B238" s="46" t="str">
        <f>IF(LEN([1]!GetFolder(A238))&gt;LEN(Solution_Directory_Name),RIGHT([1]!GetFolder(A238),LEN([1]!GetFolder(A238))-LEN(Solution_Directory_Name)),"")</f>
        <v>\scripts</v>
      </c>
      <c r="C238" s="46" t="str">
        <f>[1]!GetFile(A238)</f>
        <v>StandardHandlesLabDrills_NONE.lnk</v>
      </c>
      <c r="D238" s="49">
        <v>1367</v>
      </c>
      <c r="E238" s="48">
        <v>42269.091238425928</v>
      </c>
    </row>
    <row r="239" spans="1:5" x14ac:dyDescent="0.25">
      <c r="A239" s="47" t="s">
        <v>1318</v>
      </c>
      <c r="B239" s="46" t="str">
        <f>IF(LEN([1]!GetFolder(A239))&gt;LEN(Solution_Directory_Name),RIGHT([1]!GetFolder(A239),LEN([1]!GetFolder(A239))-LEN(Solution_Directory_Name)),"")</f>
        <v>\scripts</v>
      </c>
      <c r="C239" s="46" t="str">
        <f>[1]!GetFile(A239)</f>
        <v>StandardHandlesLabDrills_STDERR.lnk</v>
      </c>
      <c r="D239" s="49">
        <v>1474</v>
      </c>
      <c r="E239" s="48">
        <v>42269.096747685187</v>
      </c>
    </row>
    <row r="240" spans="1:5" x14ac:dyDescent="0.25">
      <c r="A240" s="47" t="s">
        <v>1317</v>
      </c>
      <c r="B240" s="46" t="str">
        <f>IF(LEN([1]!GetFolder(A240))&gt;LEN(Solution_Directory_Name),RIGHT([1]!GetFolder(A240),LEN([1]!GetFolder(A240))-LEN(Solution_Directory_Name)),"")</f>
        <v>\scripts</v>
      </c>
      <c r="C240" s="46" t="str">
        <f>[1]!GetFile(A240)</f>
        <v>StandardHandlesLabDrills_STDIN.lnk</v>
      </c>
      <c r="D240" s="49">
        <v>1472</v>
      </c>
      <c r="E240" s="48">
        <v>42269.096944444442</v>
      </c>
    </row>
    <row r="241" spans="1:5" x14ac:dyDescent="0.25">
      <c r="A241" s="47" t="s">
        <v>1316</v>
      </c>
      <c r="B241" s="46" t="str">
        <f>IF(LEN([1]!GetFolder(A241))&gt;LEN(Solution_Directory_Name),RIGHT([1]!GetFolder(A241),LEN([1]!GetFolder(A241))-LEN(Solution_Directory_Name)),"")</f>
        <v>\scripts</v>
      </c>
      <c r="C241" s="46" t="str">
        <f>[1]!GetFile(A241)</f>
        <v>StandardHandlesLabDrills_STDOUT.lnk</v>
      </c>
      <c r="D241" s="49">
        <v>1474</v>
      </c>
      <c r="E241" s="48">
        <v>42269.097025462965</v>
      </c>
    </row>
    <row r="242" spans="1:5" x14ac:dyDescent="0.25">
      <c r="A242" s="47" t="s">
        <v>1315</v>
      </c>
      <c r="B242" s="46" t="str">
        <f>IF(LEN([1]!GetFolder(A242))&gt;LEN(Solution_Directory_Name),RIGHT([1]!GetFolder(A242),LEN([1]!GetFolder(A242))-LEN(Solution_Directory_Name)),"")</f>
        <v>\scripts</v>
      </c>
      <c r="C242" s="46" t="str">
        <f>[1]!GetFile(A242)</f>
        <v>WWLogger_Debug.reg.lnk</v>
      </c>
      <c r="D242" s="49">
        <v>1974</v>
      </c>
      <c r="E242" s="48">
        <v>42270.904398148145</v>
      </c>
    </row>
    <row r="243" spans="1:5" x14ac:dyDescent="0.25">
      <c r="A243" s="47" t="s">
        <v>1314</v>
      </c>
      <c r="B243" s="46" t="str">
        <f>IF(LEN([1]!GetFolder(A243))&gt;LEN(Solution_Directory_Name),RIGHT([1]!GetFolder(A243),LEN([1]!GetFolder(A243))-LEN(Solution_Directory_Name)),"")</f>
        <v>\StandardHandlesLab</v>
      </c>
      <c r="C243" s="46" t="str">
        <f>[1]!GetFile(A243)</f>
        <v>StandardHandlesLab.sdf</v>
      </c>
      <c r="D243" s="49">
        <v>31391744</v>
      </c>
      <c r="E243" s="48">
        <v>42269.431458333333</v>
      </c>
    </row>
    <row r="244" spans="1:5" x14ac:dyDescent="0.25">
      <c r="A244" s="47" t="s">
        <v>1313</v>
      </c>
      <c r="B244" s="46" t="str">
        <f>IF(LEN([1]!GetFolder(A244))&gt;LEN(Solution_Directory_Name),RIGHT([1]!GetFolder(A244),LEN([1]!GetFolder(A244))-LEN(Solution_Directory_Name)),"")</f>
        <v>\StandardHandlesLab</v>
      </c>
      <c r="C244" s="46" t="str">
        <f>[1]!GetFile(A244)</f>
        <v>StandardHandlesLab.sln</v>
      </c>
      <c r="D244" s="49">
        <v>1000</v>
      </c>
      <c r="E244" s="48">
        <v>42181.021886574075</v>
      </c>
    </row>
    <row r="245" spans="1:5" x14ac:dyDescent="0.25">
      <c r="A245" s="47" t="s">
        <v>1312</v>
      </c>
      <c r="B245" s="46" t="str">
        <f>IF(LEN([1]!GetFolder(A245))&gt;LEN(Solution_Directory_Name),RIGHT([1]!GetFolder(A245),LEN([1]!GetFolder(A245))-LEN(Solution_Directory_Name)),"")</f>
        <v>\StandardHandlesLab\Debug</v>
      </c>
      <c r="C245" s="46" t="str">
        <f>[1]!GetFile(A245)</f>
        <v>StandardHandlesLab.exe</v>
      </c>
      <c r="D245" s="49">
        <v>53248</v>
      </c>
      <c r="E245" s="48">
        <v>42269.428263888891</v>
      </c>
    </row>
    <row r="246" spans="1:5" x14ac:dyDescent="0.25">
      <c r="A246" s="47" t="s">
        <v>1311</v>
      </c>
      <c r="B246" s="46" t="str">
        <f>IF(LEN([1]!GetFolder(A246))&gt;LEN(Solution_Directory_Name),RIGHT([1]!GetFolder(A246),LEN([1]!GetFolder(A246))-LEN(Solution_Directory_Name)),"")</f>
        <v>\StandardHandlesLab\Debug</v>
      </c>
      <c r="C246" s="46" t="str">
        <f>[1]!GetFile(A246)</f>
        <v>StandardHandlesLab.ilk</v>
      </c>
      <c r="D246" s="49">
        <v>266892</v>
      </c>
      <c r="E246" s="48">
        <v>42269.428263888891</v>
      </c>
    </row>
    <row r="247" spans="1:5" x14ac:dyDescent="0.25">
      <c r="A247" s="47" t="s">
        <v>1310</v>
      </c>
      <c r="B247" s="46" t="str">
        <f>IF(LEN([1]!GetFolder(A247))&gt;LEN(Solution_Directory_Name),RIGHT([1]!GetFolder(A247),LEN([1]!GetFolder(A247))-LEN(Solution_Directory_Name)),"")</f>
        <v>\StandardHandlesLab\Debug</v>
      </c>
      <c r="C247" s="46" t="str">
        <f>[1]!GetFile(A247)</f>
        <v>StandardHandlesLab.map</v>
      </c>
      <c r="D247" s="49">
        <v>29650</v>
      </c>
      <c r="E247" s="48">
        <v>42269.428263888891</v>
      </c>
    </row>
    <row r="248" spans="1:5" x14ac:dyDescent="0.25">
      <c r="A248" s="47" t="s">
        <v>1309</v>
      </c>
      <c r="B248" s="46" t="str">
        <f>IF(LEN([1]!GetFolder(A248))&gt;LEN(Solution_Directory_Name),RIGHT([1]!GetFolder(A248),LEN([1]!GetFolder(A248))-LEN(Solution_Directory_Name)),"")</f>
        <v>\StandardHandlesLab\Debug</v>
      </c>
      <c r="C248" s="46" t="str">
        <f>[1]!GetFile(A248)</f>
        <v>StandardHandlesLab.pdb</v>
      </c>
      <c r="D248" s="49">
        <v>610304</v>
      </c>
      <c r="E248" s="48">
        <v>42269.428263888891</v>
      </c>
    </row>
    <row r="249" spans="1:5" x14ac:dyDescent="0.25">
      <c r="A249" s="47" t="s">
        <v>1308</v>
      </c>
      <c r="B249" s="46" t="str">
        <f>IF(LEN([1]!GetFolder(A249))&gt;LEN(Solution_Directory_Name),RIGHT([1]!GetFolder(A249),LEN([1]!GetFolder(A249))-LEN(Solution_Directory_Name)),"")</f>
        <v>\StandardHandlesLab\Debug</v>
      </c>
      <c r="C249" s="46" t="str">
        <f>[1]!GetFile(A249)</f>
        <v>StandardHandlesLab.v12.suo</v>
      </c>
      <c r="D249" s="49">
        <v>3584</v>
      </c>
      <c r="E249" s="48">
        <v>42279.737650462965</v>
      </c>
    </row>
    <row r="250" spans="1:5" x14ac:dyDescent="0.25">
      <c r="A250" s="47" t="s">
        <v>1307</v>
      </c>
      <c r="B250" s="46" t="str">
        <f>IF(LEN([1]!GetFolder(A250))&gt;LEN(Solution_Directory_Name),RIGHT([1]!GetFolder(A250),LEN([1]!GetFolder(A250))-LEN(Solution_Directory_Name)),"")</f>
        <v>\StandardHandlesLab\StandardHandlesLab</v>
      </c>
      <c r="C250" s="46" t="str">
        <f>[1]!GetFile(A250)</f>
        <v>ProgramIDFromArgV.C</v>
      </c>
      <c r="D250" s="49">
        <v>6880</v>
      </c>
      <c r="E250" s="48">
        <v>42151.913831018515</v>
      </c>
    </row>
    <row r="251" spans="1:5" x14ac:dyDescent="0.25">
      <c r="A251" s="47" t="s">
        <v>1306</v>
      </c>
      <c r="B251" s="46" t="str">
        <f>IF(LEN([1]!GetFolder(A251))&gt;LEN(Solution_Directory_Name),RIGHT([1]!GetFolder(A251),LEN([1]!GetFolder(A251))-LEN(Solution_Directory_Name)),"")</f>
        <v>\StandardHandlesLab\StandardHandlesLab</v>
      </c>
      <c r="C251" s="46" t="str">
        <f>[1]!GetFile(A251)</f>
        <v>ReadMe.txt</v>
      </c>
      <c r="D251" s="49">
        <v>1792</v>
      </c>
      <c r="E251" s="48">
        <v>42181.021886574075</v>
      </c>
    </row>
    <row r="252" spans="1:5" x14ac:dyDescent="0.25">
      <c r="A252" s="47" t="s">
        <v>1305</v>
      </c>
      <c r="B252" s="46" t="str">
        <f>IF(LEN([1]!GetFolder(A252))&gt;LEN(Solution_Directory_Name),RIGHT([1]!GetFolder(A252),LEN([1]!GetFolder(A252))-LEN(Solution_Directory_Name)),"")</f>
        <v>\StandardHandlesLab\StandardHandlesLab</v>
      </c>
      <c r="C252" s="46" t="str">
        <f>[1]!GetFile(A252)</f>
        <v>resource.h</v>
      </c>
      <c r="D252" s="49">
        <v>2854</v>
      </c>
      <c r="E252" s="48">
        <v>42193.6562037037</v>
      </c>
    </row>
    <row r="253" spans="1:5" x14ac:dyDescent="0.25">
      <c r="A253" s="47" t="s">
        <v>1304</v>
      </c>
      <c r="B253" s="46" t="str">
        <f>IF(LEN([1]!GetFolder(A253))&gt;LEN(Solution_Directory_Name),RIGHT([1]!GetFolder(A253),LEN([1]!GetFolder(A253))-LEN(Solution_Directory_Name)),"")</f>
        <v>\StandardHandlesLab\StandardHandlesLab</v>
      </c>
      <c r="C253" s="46" t="str">
        <f>[1]!GetFile(A253)</f>
        <v>StandardHandlesLab.aps</v>
      </c>
      <c r="D253" s="49">
        <v>18020</v>
      </c>
      <c r="E253" s="48">
        <v>42193.66778935185</v>
      </c>
    </row>
    <row r="254" spans="1:5" x14ac:dyDescent="0.25">
      <c r="A254" s="47" t="s">
        <v>1303</v>
      </c>
      <c r="B254" s="46" t="str">
        <f>IF(LEN([1]!GetFolder(A254))&gt;LEN(Solution_Directory_Name),RIGHT([1]!GetFolder(A254),LEN([1]!GetFolder(A254))-LEN(Solution_Directory_Name)),"")</f>
        <v>\StandardHandlesLab\StandardHandlesLab</v>
      </c>
      <c r="C254" s="46" t="str">
        <f>[1]!GetFile(A254)</f>
        <v>StandardHandlesLab.cpp</v>
      </c>
      <c r="D254" s="49">
        <v>12593</v>
      </c>
      <c r="E254" s="48">
        <v>42269.428229166668</v>
      </c>
    </row>
    <row r="255" spans="1:5" x14ac:dyDescent="0.25">
      <c r="A255" s="47" t="s">
        <v>1302</v>
      </c>
      <c r="B255" s="46" t="str">
        <f>IF(LEN([1]!GetFolder(A255))&gt;LEN(Solution_Directory_Name),RIGHT([1]!GetFolder(A255),LEN([1]!GetFolder(A255))-LEN(Solution_Directory_Name)),"")</f>
        <v>\StandardHandlesLab\StandardHandlesLab</v>
      </c>
      <c r="C255" s="46" t="str">
        <f>[1]!GetFile(A255)</f>
        <v>StandardHandlesLab.H</v>
      </c>
      <c r="D255" s="49">
        <v>1403</v>
      </c>
      <c r="E255" s="48">
        <v>42268.736921296295</v>
      </c>
    </row>
    <row r="256" spans="1:5" x14ac:dyDescent="0.25">
      <c r="A256" s="47" t="s">
        <v>1301</v>
      </c>
      <c r="B256" s="46" t="str">
        <f>IF(LEN([1]!GetFolder(A256))&gt;LEN(Solution_Directory_Name),RIGHT([1]!GetFolder(A256),LEN([1]!GetFolder(A256))-LEN(Solution_Directory_Name)),"")</f>
        <v>\StandardHandlesLab\StandardHandlesLab</v>
      </c>
      <c r="C256" s="46" t="str">
        <f>[1]!GetFile(A256)</f>
        <v>StandardHandlesLab.rc</v>
      </c>
      <c r="D256" s="49">
        <v>10708</v>
      </c>
      <c r="E256" s="48">
        <v>42193.66778935185</v>
      </c>
    </row>
    <row r="257" spans="1:5" x14ac:dyDescent="0.25">
      <c r="A257" s="47" t="s">
        <v>1300</v>
      </c>
      <c r="B257" s="46" t="str">
        <f>IF(LEN([1]!GetFolder(A257))&gt;LEN(Solution_Directory_Name),RIGHT([1]!GetFolder(A257),LEN([1]!GetFolder(A257))-LEN(Solution_Directory_Name)),"")</f>
        <v>\StandardHandlesLab\StandardHandlesLab</v>
      </c>
      <c r="C257" s="46" t="str">
        <f>[1]!GetFile(A257)</f>
        <v>StandardHandlesLab.vcxproj</v>
      </c>
      <c r="D257" s="49">
        <v>5934</v>
      </c>
      <c r="E257" s="48">
        <v>42268.786585648151</v>
      </c>
    </row>
    <row r="258" spans="1:5" x14ac:dyDescent="0.25">
      <c r="A258" s="47" t="s">
        <v>1299</v>
      </c>
      <c r="B258" s="46" t="str">
        <f>IF(LEN([1]!GetFolder(A258))&gt;LEN(Solution_Directory_Name),RIGHT([1]!GetFolder(A258),LEN([1]!GetFolder(A258))-LEN(Solution_Directory_Name)),"")</f>
        <v>\StandardHandlesLab\StandardHandlesLab</v>
      </c>
      <c r="C258" s="46" t="str">
        <f>[1]!GetFile(A258)</f>
        <v>StandardHandlesLab.vcxproj.filters</v>
      </c>
      <c r="D258" s="49">
        <v>2121</v>
      </c>
      <c r="E258" s="48">
        <v>42268.737638888888</v>
      </c>
    </row>
    <row r="259" spans="1:5" x14ac:dyDescent="0.25">
      <c r="A259" s="47" t="s">
        <v>1298</v>
      </c>
      <c r="B259" s="46" t="str">
        <f>IF(LEN([1]!GetFolder(A259))&gt;LEN(Solution_Directory_Name),RIGHT([1]!GetFolder(A259),LEN([1]!GetFolder(A259))-LEN(Solution_Directory_Name)),"")</f>
        <v>\StandardHandlesLab\StandardHandlesLab</v>
      </c>
      <c r="C259" s="46" t="str">
        <f>[1]!GetFile(A259)</f>
        <v>StandardHandleState.C</v>
      </c>
      <c r="D259" s="49">
        <v>5973</v>
      </c>
      <c r="E259" s="48">
        <v>42268.125532407408</v>
      </c>
    </row>
    <row r="260" spans="1:5" x14ac:dyDescent="0.25">
      <c r="A260" s="47" t="s">
        <v>1297</v>
      </c>
      <c r="B260" s="46" t="str">
        <f>IF(LEN([1]!GetFolder(A260))&gt;LEN(Solution_Directory_Name),RIGHT([1]!GetFolder(A260),LEN([1]!GetFolder(A260))-LEN(Solution_Directory_Name)),"")</f>
        <v>\StandardHandlesLab\StandardHandlesLab</v>
      </c>
      <c r="C260" s="46" t="str">
        <f>[1]!GetFile(A260)</f>
        <v>StandardHandleState.H</v>
      </c>
      <c r="D260" s="49">
        <v>7126</v>
      </c>
      <c r="E260" s="48">
        <v>42268.125486111108</v>
      </c>
    </row>
    <row r="261" spans="1:5" x14ac:dyDescent="0.25">
      <c r="A261" s="47" t="s">
        <v>1296</v>
      </c>
      <c r="B261" s="46" t="str">
        <f>IF(LEN([1]!GetFolder(A261))&gt;LEN(Solution_Directory_Name),RIGHT([1]!GetFolder(A261),LEN([1]!GetFolder(A261))-LEN(Solution_Directory_Name)),"")</f>
        <v>\StandardHandlesLab\StandardHandlesLab</v>
      </c>
      <c r="C261" s="46" t="str">
        <f>[1]!GetFile(A261)</f>
        <v>targetver.h</v>
      </c>
      <c r="D261" s="49">
        <v>314</v>
      </c>
      <c r="E261" s="48">
        <v>42181.021886574075</v>
      </c>
    </row>
    <row r="262" spans="1:5" x14ac:dyDescent="0.25">
      <c r="A262" s="47" t="s">
        <v>1295</v>
      </c>
      <c r="B262" s="46" t="str">
        <f>IF(LEN([1]!GetFolder(A262))&gt;LEN(Solution_Directory_Name),RIGHT([1]!GetFolder(A262),LEN([1]!GetFolder(A262))-LEN(Solution_Directory_Name)),"")</f>
        <v>\StandardHandlesLab\StandardHandlesLab\Debug</v>
      </c>
      <c r="C262" s="46" t="str">
        <f>[1]!GetFile(A262)</f>
        <v>ProgramIDFromArgV.asm</v>
      </c>
      <c r="D262" s="49">
        <v>15284</v>
      </c>
      <c r="E262" s="48">
        <v>42269.428240740737</v>
      </c>
    </row>
    <row r="263" spans="1:5" x14ac:dyDescent="0.25">
      <c r="A263" s="47" t="s">
        <v>1294</v>
      </c>
      <c r="B263" s="46" t="str">
        <f>IF(LEN([1]!GetFolder(A263))&gt;LEN(Solution_Directory_Name),RIGHT([1]!GetFolder(A263),LEN([1]!GetFolder(A263))-LEN(Solution_Directory_Name)),"")</f>
        <v>\StandardHandlesLab\StandardHandlesLab\Debug</v>
      </c>
      <c r="C263" s="46" t="str">
        <f>[1]!GetFile(A263)</f>
        <v>ProgramIDFromArgV.obj</v>
      </c>
      <c r="D263" s="49">
        <v>16221</v>
      </c>
      <c r="E263" s="48">
        <v>42269.428240740737</v>
      </c>
    </row>
    <row r="264" spans="1:5" x14ac:dyDescent="0.25">
      <c r="A264" s="47" t="s">
        <v>1293</v>
      </c>
      <c r="B264" s="46" t="str">
        <f>IF(LEN([1]!GetFolder(A264))&gt;LEN(Solution_Directory_Name),RIGHT([1]!GetFolder(A264),LEN([1]!GetFolder(A264))-LEN(Solution_Directory_Name)),"")</f>
        <v>\StandardHandlesLab\StandardHandlesLab\Debug</v>
      </c>
      <c r="C264" s="46" t="str">
        <f>[1]!GetFile(A264)</f>
        <v>StandardHandlesLab.asm</v>
      </c>
      <c r="D264" s="49">
        <v>37943</v>
      </c>
      <c r="E264" s="48">
        <v>42269.428252314814</v>
      </c>
    </row>
    <row r="265" spans="1:5" x14ac:dyDescent="0.25">
      <c r="A265" s="47" t="s">
        <v>1292</v>
      </c>
      <c r="B265" s="46" t="str">
        <f>IF(LEN([1]!GetFolder(A265))&gt;LEN(Solution_Directory_Name),RIGHT([1]!GetFolder(A265),LEN([1]!GetFolder(A265))-LEN(Solution_Directory_Name)),"")</f>
        <v>\StandardHandlesLab\StandardHandlesLab\Debug</v>
      </c>
      <c r="C265" s="46" t="str">
        <f>[1]!GetFile(A265)</f>
        <v>StandardHandlesLab.Build.CppClean.log</v>
      </c>
      <c r="D265" s="49">
        <v>3633</v>
      </c>
      <c r="E265" s="48">
        <v>42269.426053240742</v>
      </c>
    </row>
    <row r="266" spans="1:5" x14ac:dyDescent="0.25">
      <c r="A266" s="47" t="s">
        <v>1291</v>
      </c>
      <c r="B266" s="46" t="str">
        <f>IF(LEN([1]!GetFolder(A266))&gt;LEN(Solution_Directory_Name),RIGHT([1]!GetFolder(A266),LEN([1]!GetFolder(A266))-LEN(Solution_Directory_Name)),"")</f>
        <v>\StandardHandlesLab\StandardHandlesLab\Debug</v>
      </c>
      <c r="C266" s="46" t="str">
        <f>[1]!GetFile(A266)</f>
        <v>StandardHandlesLab.log</v>
      </c>
      <c r="D266" s="49">
        <v>37925</v>
      </c>
      <c r="E266" s="48">
        <v>42269.428263888891</v>
      </c>
    </row>
    <row r="267" spans="1:5" x14ac:dyDescent="0.25">
      <c r="A267" s="47" t="s">
        <v>1290</v>
      </c>
      <c r="B267" s="46" t="str">
        <f>IF(LEN([1]!GetFolder(A267))&gt;LEN(Solution_Directory_Name),RIGHT([1]!GetFolder(A267),LEN([1]!GetFolder(A267))-LEN(Solution_Directory_Name)),"")</f>
        <v>\StandardHandlesLab\StandardHandlesLab\Debug</v>
      </c>
      <c r="C267" s="46" t="str">
        <f>[1]!GetFile(A267)</f>
        <v>StandardHandlesLab.obj</v>
      </c>
      <c r="D267" s="49">
        <v>44113</v>
      </c>
      <c r="E267" s="48">
        <v>42269.428252314814</v>
      </c>
    </row>
    <row r="268" spans="1:5" x14ac:dyDescent="0.25">
      <c r="A268" s="47" t="s">
        <v>1289</v>
      </c>
      <c r="B268" s="46" t="str">
        <f>IF(LEN([1]!GetFolder(A268))&gt;LEN(Solution_Directory_Name),RIGHT([1]!GetFolder(A268),LEN([1]!GetFolder(A268))-LEN(Solution_Directory_Name)),"")</f>
        <v>\StandardHandlesLab\StandardHandlesLab\Debug</v>
      </c>
      <c r="C268" s="46" t="str">
        <f>[1]!GetFile(A268)</f>
        <v>StandardHandlesLab.res</v>
      </c>
      <c r="D268" s="49">
        <v>14060</v>
      </c>
      <c r="E268" s="48">
        <v>42269.428263888891</v>
      </c>
    </row>
    <row r="269" spans="1:5" x14ac:dyDescent="0.25">
      <c r="A269" s="47" t="s">
        <v>1288</v>
      </c>
      <c r="B269" s="46" t="str">
        <f>IF(LEN([1]!GetFolder(A269))&gt;LEN(Solution_Directory_Name),RIGHT([1]!GetFolder(A269),LEN([1]!GetFolder(A269))-LEN(Solution_Directory_Name)),"")</f>
        <v>\StandardHandlesLab\StandardHandlesLab\Debug</v>
      </c>
      <c r="C269" s="46" t="str">
        <f>[1]!GetFile(A269)</f>
        <v>StandardHandleState.asm</v>
      </c>
      <c r="D269" s="49">
        <v>5846</v>
      </c>
      <c r="E269" s="48">
        <v>42269.428252314814</v>
      </c>
    </row>
    <row r="270" spans="1:5" x14ac:dyDescent="0.25">
      <c r="A270" s="47" t="s">
        <v>1287</v>
      </c>
      <c r="B270" s="46" t="str">
        <f>IF(LEN([1]!GetFolder(A270))&gt;LEN(Solution_Directory_Name),RIGHT([1]!GetFolder(A270),LEN([1]!GetFolder(A270))-LEN(Solution_Directory_Name)),"")</f>
        <v>\StandardHandlesLab\StandardHandlesLab\Debug</v>
      </c>
      <c r="C270" s="46" t="str">
        <f>[1]!GetFile(A270)</f>
        <v>StandardHandleState.obj</v>
      </c>
      <c r="D270" s="49">
        <v>25201</v>
      </c>
      <c r="E270" s="48">
        <v>42269.428252314814</v>
      </c>
    </row>
    <row r="271" spans="1:5" x14ac:dyDescent="0.25">
      <c r="A271" s="47" t="s">
        <v>1286</v>
      </c>
      <c r="B271" s="46" t="str">
        <f>IF(LEN([1]!GetFolder(A271))&gt;LEN(Solution_Directory_Name),RIGHT([1]!GetFolder(A271),LEN([1]!GetFolder(A271))-LEN(Solution_Directory_Name)),"")</f>
        <v>\StandardHandlesLab\StandardHandlesLab\Debug</v>
      </c>
      <c r="C271" s="46" t="str">
        <f>[1]!GetFile(A271)</f>
        <v>vc120.idb</v>
      </c>
      <c r="D271" s="49">
        <v>666624</v>
      </c>
      <c r="E271" s="48">
        <v>42269.428252314814</v>
      </c>
    </row>
    <row r="272" spans="1:5" x14ac:dyDescent="0.25">
      <c r="A272" s="47" t="s">
        <v>1285</v>
      </c>
      <c r="B272" s="46" t="str">
        <f>IF(LEN([1]!GetFolder(A272))&gt;LEN(Solution_Directory_Name),RIGHT([1]!GetFolder(A272),LEN([1]!GetFolder(A272))-LEN(Solution_Directory_Name)),"")</f>
        <v>\StandardHandlesLab\StandardHandlesLab\Debug</v>
      </c>
      <c r="C272" s="46" t="str">
        <f>[1]!GetFile(A272)</f>
        <v>vc120.pdb</v>
      </c>
      <c r="D272" s="49">
        <v>167936</v>
      </c>
      <c r="E272" s="48">
        <v>42269.428252314814</v>
      </c>
    </row>
    <row r="273" spans="1:5" x14ac:dyDescent="0.25">
      <c r="A273" s="47" t="s">
        <v>1284</v>
      </c>
      <c r="B273" s="46" t="str">
        <f>IF(LEN([1]!GetFolder(A273))&gt;LEN(Solution_Directory_Name),RIGHT([1]!GetFolder(A273),LEN([1]!GetFolder(A273))-LEN(Solution_Directory_Name)),"")</f>
        <v>\StandardHandlesLab\StandardHandlesLab\Debug\Standard.8E1919AC.tlog</v>
      </c>
      <c r="C273" s="46" t="str">
        <f>[1]!GetFile(A273)</f>
        <v>cl.command.1.tlog</v>
      </c>
      <c r="D273" s="49">
        <v>3268</v>
      </c>
      <c r="E273" s="48">
        <v>42269.428252314814</v>
      </c>
    </row>
    <row r="274" spans="1:5" x14ac:dyDescent="0.25">
      <c r="A274" s="47" t="s">
        <v>1283</v>
      </c>
      <c r="B274" s="46" t="str">
        <f>IF(LEN([1]!GetFolder(A274))&gt;LEN(Solution_Directory_Name),RIGHT([1]!GetFolder(A274),LEN([1]!GetFolder(A274))-LEN(Solution_Directory_Name)),"")</f>
        <v>\StandardHandlesLab\StandardHandlesLab\Debug\Standard.8E1919AC.tlog</v>
      </c>
      <c r="C274" s="46" t="str">
        <f>[1]!GetFile(A274)</f>
        <v>CL.read.1.tlog</v>
      </c>
      <c r="D274" s="49">
        <v>53110</v>
      </c>
      <c r="E274" s="48">
        <v>42269.428252314814</v>
      </c>
    </row>
    <row r="275" spans="1:5" x14ac:dyDescent="0.25">
      <c r="A275" s="47" t="s">
        <v>1282</v>
      </c>
      <c r="B275" s="46" t="str">
        <f>IF(LEN([1]!GetFolder(A275))&gt;LEN(Solution_Directory_Name),RIGHT([1]!GetFolder(A275),LEN([1]!GetFolder(A275))-LEN(Solution_Directory_Name)),"")</f>
        <v>\StandardHandlesLab\StandardHandlesLab\Debug\Standard.8E1919AC.tlog</v>
      </c>
      <c r="C275" s="46" t="str">
        <f>[1]!GetFile(A275)</f>
        <v>CL.read.2.tlog</v>
      </c>
      <c r="D275" s="49">
        <v>2744</v>
      </c>
      <c r="E275" s="48">
        <v>42269.428252314814</v>
      </c>
    </row>
    <row r="276" spans="1:5" x14ac:dyDescent="0.25">
      <c r="A276" s="47" t="s">
        <v>1281</v>
      </c>
      <c r="B276" s="46" t="str">
        <f>IF(LEN([1]!GetFolder(A276))&gt;LEN(Solution_Directory_Name),RIGHT([1]!GetFolder(A276),LEN([1]!GetFolder(A276))-LEN(Solution_Directory_Name)),"")</f>
        <v>\StandardHandlesLab\StandardHandlesLab\Debug\Standard.8E1919AC.tlog</v>
      </c>
      <c r="C276" s="46" t="str">
        <f>[1]!GetFile(A276)</f>
        <v>CL.read.3.tlog</v>
      </c>
      <c r="D276" s="49">
        <v>1026</v>
      </c>
      <c r="E276" s="48">
        <v>42269.428252314814</v>
      </c>
    </row>
    <row r="277" spans="1:5" x14ac:dyDescent="0.25">
      <c r="A277" s="47" t="s">
        <v>1280</v>
      </c>
      <c r="B277" s="46" t="str">
        <f>IF(LEN([1]!GetFolder(A277))&gt;LEN(Solution_Directory_Name),RIGHT([1]!GetFolder(A277),LEN([1]!GetFolder(A277))-LEN(Solution_Directory_Name)),"")</f>
        <v>\StandardHandlesLab\StandardHandlesLab\Debug\Standard.8E1919AC.tlog</v>
      </c>
      <c r="C277" s="46" t="str">
        <f>[1]!GetFile(A277)</f>
        <v>CL.write.1.tlog</v>
      </c>
      <c r="D277" s="49">
        <v>4808</v>
      </c>
      <c r="E277" s="48">
        <v>42269.428252314814</v>
      </c>
    </row>
    <row r="278" spans="1:5" x14ac:dyDescent="0.25">
      <c r="A278" s="47" t="s">
        <v>1279</v>
      </c>
      <c r="B278" s="46" t="str">
        <f>IF(LEN([1]!GetFolder(A278))&gt;LEN(Solution_Directory_Name),RIGHT([1]!GetFolder(A278),LEN([1]!GetFolder(A278))-LEN(Solution_Directory_Name)),"")</f>
        <v>\StandardHandlesLab\StandardHandlesLab\Debug\Standard.8E1919AC.tlog</v>
      </c>
      <c r="C278" s="46" t="str">
        <f>[1]!GetFile(A278)</f>
        <v>link.command.1.tlog</v>
      </c>
      <c r="D278" s="49">
        <v>2902</v>
      </c>
      <c r="E278" s="48">
        <v>42269.428263888891</v>
      </c>
    </row>
    <row r="279" spans="1:5" x14ac:dyDescent="0.25">
      <c r="A279" s="47" t="s">
        <v>1278</v>
      </c>
      <c r="B279" s="46" t="str">
        <f>IF(LEN([1]!GetFolder(A279))&gt;LEN(Solution_Directory_Name),RIGHT([1]!GetFolder(A279),LEN([1]!GetFolder(A279))-LEN(Solution_Directory_Name)),"")</f>
        <v>\StandardHandlesLab\StandardHandlesLab\Debug\Standard.8E1919AC.tlog</v>
      </c>
      <c r="C279" s="46" t="str">
        <f>[1]!GetFile(A279)</f>
        <v>link.read.1.tlog</v>
      </c>
      <c r="D279" s="49">
        <v>5326</v>
      </c>
      <c r="E279" s="48">
        <v>42269.428263888891</v>
      </c>
    </row>
    <row r="280" spans="1:5" x14ac:dyDescent="0.25">
      <c r="A280" s="47" t="s">
        <v>1277</v>
      </c>
      <c r="B280" s="46" t="str">
        <f>IF(LEN([1]!GetFolder(A280))&gt;LEN(Solution_Directory_Name),RIGHT([1]!GetFolder(A280),LEN([1]!GetFolder(A280))-LEN(Solution_Directory_Name)),"")</f>
        <v>\StandardHandlesLab\StandardHandlesLab\Debug\Standard.8E1919AC.tlog</v>
      </c>
      <c r="C280" s="46" t="str">
        <f>[1]!GetFile(A280)</f>
        <v>link.write.1.tlog</v>
      </c>
      <c r="D280" s="49">
        <v>2214</v>
      </c>
      <c r="E280" s="48">
        <v>42269.428263888891</v>
      </c>
    </row>
    <row r="281" spans="1:5" x14ac:dyDescent="0.25">
      <c r="A281" s="47" t="s">
        <v>1276</v>
      </c>
      <c r="B281" s="46" t="str">
        <f>IF(LEN([1]!GetFolder(A281))&gt;LEN(Solution_Directory_Name),RIGHT([1]!GetFolder(A281),LEN([1]!GetFolder(A281))-LEN(Solution_Directory_Name)),"")</f>
        <v>\StandardHandlesLab\StandardHandlesLab\Debug\Standard.8E1919AC.tlog</v>
      </c>
      <c r="C281" s="46" t="str">
        <f>[1]!GetFile(A281)</f>
        <v>rc.command.1.tlog</v>
      </c>
      <c r="D281" s="49">
        <v>916</v>
      </c>
      <c r="E281" s="48">
        <v>42269.428263888891</v>
      </c>
    </row>
    <row r="282" spans="1:5" x14ac:dyDescent="0.25">
      <c r="A282" s="47" t="s">
        <v>1275</v>
      </c>
      <c r="B282" s="46" t="str">
        <f>IF(LEN([1]!GetFolder(A282))&gt;LEN(Solution_Directory_Name),RIGHT([1]!GetFolder(A282),LEN([1]!GetFolder(A282))-LEN(Solution_Directory_Name)),"")</f>
        <v>\StandardHandlesLab\StandardHandlesLab\Debug\Standard.8E1919AC.tlog</v>
      </c>
      <c r="C282" s="46" t="str">
        <f>[1]!GetFile(A282)</f>
        <v>rc.read.1.tlog</v>
      </c>
      <c r="D282" s="49">
        <v>2756</v>
      </c>
      <c r="E282" s="48">
        <v>42269.428263888891</v>
      </c>
    </row>
    <row r="283" spans="1:5" x14ac:dyDescent="0.25">
      <c r="A283" s="47" t="s">
        <v>1274</v>
      </c>
      <c r="B283" s="46" t="str">
        <f>IF(LEN([1]!GetFolder(A283))&gt;LEN(Solution_Directory_Name),RIGHT([1]!GetFolder(A283),LEN([1]!GetFolder(A283))-LEN(Solution_Directory_Name)),"")</f>
        <v>\StandardHandlesLab\StandardHandlesLab\Debug\Standard.8E1919AC.tlog</v>
      </c>
      <c r="C283" s="46" t="str">
        <f>[1]!GetFile(A283)</f>
        <v>rc.write.1.tlog</v>
      </c>
      <c r="D283" s="49">
        <v>582</v>
      </c>
      <c r="E283" s="48">
        <v>42269.428263888891</v>
      </c>
    </row>
    <row r="284" spans="1:5" x14ac:dyDescent="0.25">
      <c r="A284" s="47" t="s">
        <v>1273</v>
      </c>
      <c r="B284" s="46" t="str">
        <f>IF(LEN([1]!GetFolder(A284))&gt;LEN(Solution_Directory_Name),RIGHT([1]!GetFolder(A284),LEN([1]!GetFolder(A284))-LEN(Solution_Directory_Name)),"")</f>
        <v>\StandardHandlesLab\StandardHandlesLab\Debug\Standard.8E1919AC.tlog</v>
      </c>
      <c r="C284" s="46" t="str">
        <f>[1]!GetFile(A284)</f>
        <v>StandardHandlesLab.lastbuildstate</v>
      </c>
      <c r="D284" s="49">
        <v>232</v>
      </c>
      <c r="E284" s="48">
        <v>42269.428263888891</v>
      </c>
    </row>
    <row r="285" spans="1:5" x14ac:dyDescent="0.25">
      <c r="A285" s="47" t="s">
        <v>1272</v>
      </c>
      <c r="B285" s="46" t="str">
        <f>IF(LEN([1]!GetFolder(A285))&gt;LEN(Solution_Directory_Name),RIGHT([1]!GetFolder(A285),LEN([1]!GetFolder(A285))-LEN(Solution_Directory_Name)),"")</f>
        <v>\_archive</v>
      </c>
      <c r="C285" s="46" t="str">
        <f>[1]!GetFile(A285)</f>
        <v>Application_Event_Logs_ENIGMA_20150623_074541.ZIPX</v>
      </c>
      <c r="D285" s="49">
        <v>81615</v>
      </c>
      <c r="E285" s="48">
        <v>42178.323391203703</v>
      </c>
    </row>
    <row r="286" spans="1:5" x14ac:dyDescent="0.25">
      <c r="A286" s="47" t="s">
        <v>1271</v>
      </c>
      <c r="B286" s="46" t="str">
        <f>IF(LEN([1]!GetFolder(A286))&gt;LEN(Solution_Directory_Name),RIGHT([1]!GetFolder(A286),LEN([1]!GetFolder(A286))-LEN(Solution_Directory_Name)),"")</f>
        <v>\_archive</v>
      </c>
      <c r="C286" s="46" t="str">
        <f>[1]!GetFile(A286)</f>
        <v>Archive_DLLServices2.CMD</v>
      </c>
      <c r="D286" s="49">
        <v>1014</v>
      </c>
      <c r="E286" s="48">
        <v>41797.077592592592</v>
      </c>
    </row>
    <row r="287" spans="1:5" x14ac:dyDescent="0.25">
      <c r="A287" s="47" t="s">
        <v>1270</v>
      </c>
      <c r="B287" s="46" t="str">
        <f>IF(LEN([1]!GetFolder(A287))&gt;LEN(Solution_Directory_Name),RIGHT([1]!GetFolder(A287),LEN([1]!GetFolder(A287))-LEN(Solution_Directory_Name)),"")</f>
        <v>\_archive</v>
      </c>
      <c r="C287" s="46" t="str">
        <f>[1]!GetFile(A287)</f>
        <v>Archive_WizardWrx.DLLServices2_5.5.225.35562.LOG</v>
      </c>
      <c r="D287" s="49">
        <v>14935</v>
      </c>
      <c r="E287" s="48">
        <v>42170.876863425925</v>
      </c>
    </row>
    <row r="288" spans="1:5" x14ac:dyDescent="0.25">
      <c r="A288" s="47" t="s">
        <v>1269</v>
      </c>
      <c r="B288" s="46" t="str">
        <f>IF(LEN([1]!GetFolder(A288))&gt;LEN(Solution_Directory_Name),RIGHT([1]!GetFolder(A288),LEN([1]!GetFolder(A288))-LEN(Solution_Directory_Name)),"")</f>
        <v>\_archive</v>
      </c>
      <c r="C288" s="46" t="str">
        <f>[1]!GetFile(A288)</f>
        <v>Archive_WizardWrx.DLLServices_5.0.77.1176.LOG</v>
      </c>
      <c r="D288" s="49">
        <v>2761</v>
      </c>
      <c r="E288" s="48">
        <v>41797.079606481479</v>
      </c>
    </row>
    <row r="289" spans="1:5" x14ac:dyDescent="0.25">
      <c r="A289" s="47" t="s">
        <v>1268</v>
      </c>
      <c r="B289" s="46" t="str">
        <f>IF(LEN([1]!GetFolder(A289))&gt;LEN(Solution_Directory_Name),RIGHT([1]!GetFolder(A289),LEN([1]!GetFolder(A289))-LEN(Solution_Directory_Name)),"")</f>
        <v>\_archive</v>
      </c>
      <c r="C289" s="46" t="str">
        <f>[1]!GetFile(A289)</f>
        <v>Archive_WizardWrx.DLLServices_5.1.141.35301.LOG</v>
      </c>
      <c r="D289" s="49">
        <v>2770</v>
      </c>
      <c r="E289" s="48">
        <v>41811.898958333331</v>
      </c>
    </row>
    <row r="290" spans="1:5" x14ac:dyDescent="0.25">
      <c r="A290" s="47" t="s">
        <v>1267</v>
      </c>
      <c r="B290" s="46" t="str">
        <f>IF(LEN([1]!GetFolder(A290))&gt;LEN(Solution_Directory_Name),RIGHT([1]!GetFolder(A290),LEN([1]!GetFolder(A290))-LEN(Solution_Directory_Name)),"")</f>
        <v>\_archive</v>
      </c>
      <c r="C290" s="46" t="str">
        <f>[1]!GetFile(A290)</f>
        <v>Archive_WizardWrx.DLLServices_5.1.153.41364.LOG</v>
      </c>
      <c r="D290" s="49">
        <v>2733</v>
      </c>
      <c r="E290" s="48">
        <v>41813.424212962964</v>
      </c>
    </row>
    <row r="291" spans="1:5" x14ac:dyDescent="0.25">
      <c r="A291" s="47" t="s">
        <v>1266</v>
      </c>
      <c r="B291" s="46" t="str">
        <f>IF(LEN([1]!GetFolder(A291))&gt;LEN(Solution_Directory_Name),RIGHT([1]!GetFolder(A291),LEN([1]!GetFolder(A291))-LEN(Solution_Directory_Name)),"")</f>
        <v>\_archive</v>
      </c>
      <c r="C291" s="46" t="str">
        <f>[1]!GetFile(A291)</f>
        <v>Archive_WizardWrx.DLLServices_5.1.159.35985.LOG</v>
      </c>
      <c r="D291" s="49">
        <v>2772</v>
      </c>
      <c r="E291" s="48">
        <v>41840.959027777775</v>
      </c>
    </row>
    <row r="292" spans="1:5" x14ac:dyDescent="0.25">
      <c r="A292" s="47" t="s">
        <v>1265</v>
      </c>
      <c r="B292" s="46" t="str">
        <f>IF(LEN([1]!GetFolder(A292))&gt;LEN(Solution_Directory_Name),RIGHT([1]!GetFolder(A292),LEN([1]!GetFolder(A292))-LEN(Solution_Directory_Name)),"")</f>
        <v>\_archive</v>
      </c>
      <c r="C292" s="46" t="str">
        <f>[1]!GetFile(A292)</f>
        <v>Archive_WizardWrx.DLLServices_5.3.162.1712.LOG</v>
      </c>
      <c r="D292" s="49">
        <v>2737</v>
      </c>
      <c r="E292" s="48">
        <v>41926.105138888888</v>
      </c>
    </row>
    <row r="293" spans="1:5" x14ac:dyDescent="0.25">
      <c r="A293" s="47" t="s">
        <v>1264</v>
      </c>
      <c r="B293" s="46" t="str">
        <f>IF(LEN([1]!GetFolder(A293))&gt;LEN(Solution_Directory_Name),RIGHT([1]!GetFolder(A293),LEN([1]!GetFolder(A293))-LEN(Solution_Directory_Name)),"")</f>
        <v>\_archive</v>
      </c>
      <c r="C293" s="46" t="str">
        <f>[1]!GetFile(A293)</f>
        <v>MassUpdate_20141014_020654.ZIPX</v>
      </c>
      <c r="D293" s="49">
        <v>22496</v>
      </c>
      <c r="E293" s="48">
        <v>41926.097569444442</v>
      </c>
    </row>
    <row r="294" spans="1:5" x14ac:dyDescent="0.25">
      <c r="A294" s="47" t="s">
        <v>1263</v>
      </c>
      <c r="B294" s="46" t="str">
        <f>IF(LEN([1]!GetFolder(A294))&gt;LEN(Solution_Directory_Name),RIGHT([1]!GetFolder(A294),LEN([1]!GetFolder(A294))-LEN(Solution_Directory_Name)),"")</f>
        <v>\_archive</v>
      </c>
      <c r="C294" s="46" t="str">
        <f>[1]!GetFile(A294)</f>
        <v>Old_Notes_20150608_213026.ZIPX</v>
      </c>
      <c r="D294" s="49">
        <v>4069527</v>
      </c>
      <c r="E294" s="48">
        <v>42163.896134259259</v>
      </c>
    </row>
    <row r="295" spans="1:5" x14ac:dyDescent="0.25">
      <c r="A295" s="47" t="s">
        <v>1262</v>
      </c>
      <c r="B295" s="46" t="str">
        <f>IF(LEN([1]!GetFolder(A295))&gt;LEN(Solution_Directory_Name),RIGHT([1]!GetFolder(A295),LEN([1]!GetFolder(A295))-LEN(Solution_Directory_Name)),"")</f>
        <v>\_archive</v>
      </c>
      <c r="C295" s="46" t="str">
        <f>[1]!GetFile(A295)</f>
        <v>TestStand_Debug_STDOUTs_20150623_074756.ZIPX</v>
      </c>
      <c r="D295" s="49">
        <v>7618</v>
      </c>
      <c r="E295" s="48">
        <v>42178.324953703705</v>
      </c>
    </row>
    <row r="296" spans="1:5" x14ac:dyDescent="0.25">
      <c r="A296" s="47" t="s">
        <v>1261</v>
      </c>
      <c r="B296" s="46" t="str">
        <f>IF(LEN([1]!GetFolder(A296))&gt;LEN(Solution_Directory_Name),RIGHT([1]!GetFolder(A296),LEN([1]!GetFolder(A296))-LEN(Solution_Directory_Name)),"")</f>
        <v>\_archive</v>
      </c>
      <c r="C296" s="46" t="str">
        <f>[1]!GetFile(A296)</f>
        <v>TestStand_Debug_Trace_Logs_20150623_075606.ZIPX</v>
      </c>
      <c r="D296" s="49">
        <v>9486</v>
      </c>
      <c r="E296" s="48">
        <v>42178.330625000002</v>
      </c>
    </row>
    <row r="297" spans="1:5" x14ac:dyDescent="0.25">
      <c r="A297" s="47" t="s">
        <v>1260</v>
      </c>
      <c r="B297" s="46" t="str">
        <f>IF(LEN([1]!GetFolder(A297))&gt;LEN(Solution_Directory_Name),RIGHT([1]!GetFolder(A297),LEN([1]!GetFolder(A297))-LEN(Solution_Directory_Name)),"")</f>
        <v>\_archive</v>
      </c>
      <c r="C297" s="46" t="str">
        <f>[1]!GetFile(A297)</f>
        <v>Visual_Studio_2010_Source_Backups.lnk</v>
      </c>
      <c r="D297" s="49">
        <v>809</v>
      </c>
      <c r="E297" s="48">
        <v>41791.532916666663</v>
      </c>
    </row>
    <row r="298" spans="1:5" x14ac:dyDescent="0.25">
      <c r="A298" s="47" t="s">
        <v>1259</v>
      </c>
      <c r="B298" s="46" t="str">
        <f>IF(LEN([1]!GetFolder(A298))&gt;LEN(Solution_Directory_Name),RIGHT([1]!GetFolder(A298),LEN([1]!GetFolder(A298))-LEN(Solution_Directory_Name)),"")</f>
        <v>\_archive</v>
      </c>
      <c r="C298" s="46" t="str">
        <f>[1]!GetFile(A298)</f>
        <v>WizardWrx.DLLServices2.dll.config_20140622_170304.ZIPX</v>
      </c>
      <c r="D298" s="49">
        <v>1394</v>
      </c>
      <c r="E298" s="48">
        <v>42170.741481481484</v>
      </c>
    </row>
    <row r="299" spans="1:5" x14ac:dyDescent="0.25">
      <c r="A299" s="47" t="s">
        <v>1258</v>
      </c>
      <c r="B299" s="46" t="str">
        <f>IF(LEN([1]!GetFolder(A299))&gt;LEN(Solution_Directory_Name),RIGHT([1]!GetFolder(A299),LEN([1]!GetFolder(A299))-LEN(Solution_Directory_Name)),"")</f>
        <v>\_archive</v>
      </c>
      <c r="C299" s="46" t="str">
        <f>[1]!GetFile(A299)</f>
        <v>WizardWrx.DLLServices2.dll.config_ENIGMA_20150615_175944.ZIPX</v>
      </c>
      <c r="D299" s="49">
        <v>3890</v>
      </c>
      <c r="E299" s="48">
        <v>42170.749814814815</v>
      </c>
    </row>
    <row r="300" spans="1:5" x14ac:dyDescent="0.25">
      <c r="A300" s="47" t="s">
        <v>1257</v>
      </c>
      <c r="B300" s="46" t="str">
        <f>IF(LEN([1]!GetFolder(A300))&gt;LEN(Solution_Directory_Name),RIGHT([1]!GetFolder(A300),LEN([1]!GetFolder(A300))-LEN(Solution_Directory_Name)),"")</f>
        <v>\_archive</v>
      </c>
      <c r="C300" s="46" t="str">
        <f>[1]!GetFile(A300)</f>
        <v>WizardWrx.DLLServices2_5_3_162_1712.7z.lnk</v>
      </c>
      <c r="D300" s="49">
        <v>1014</v>
      </c>
      <c r="E300" s="48">
        <v>41926.105532407404</v>
      </c>
    </row>
    <row r="301" spans="1:5" x14ac:dyDescent="0.25">
      <c r="A301" s="47" t="s">
        <v>1256</v>
      </c>
      <c r="B301" s="46" t="str">
        <f>IF(LEN([1]!GetFolder(A301))&gt;LEN(Solution_Directory_Name),RIGHT([1]!GetFolder(A301),LEN([1]!GetFolder(A301))-LEN(Solution_Directory_Name)),"")</f>
        <v>\_archive</v>
      </c>
      <c r="C301" s="46" t="str">
        <f>[1]!GetFile(A301)</f>
        <v>WizardWrx.DLLServices2_5_4_174_18276.ZIPX.lnk</v>
      </c>
      <c r="D301" s="49">
        <v>1813</v>
      </c>
      <c r="E301" s="48">
        <v>42161.564641203702</v>
      </c>
    </row>
    <row r="302" spans="1:5" x14ac:dyDescent="0.25">
      <c r="A302" s="47" t="s">
        <v>1255</v>
      </c>
      <c r="B302" s="46" t="str">
        <f>IF(LEN([1]!GetFolder(A302))&gt;LEN(Solution_Directory_Name),RIGHT([1]!GetFolder(A302),LEN([1]!GetFolder(A302))-LEN(Solution_Directory_Name)),"")</f>
        <v>\_NOTES</v>
      </c>
      <c r="C302" s="46" t="str">
        <f>[1]!GetFile(A302)</f>
        <v>ApplicationEvents_ENIGMA_20150708_160335.TXT</v>
      </c>
      <c r="D302" s="49">
        <v>5345</v>
      </c>
      <c r="E302" s="48">
        <v>42193.66915509259</v>
      </c>
    </row>
    <row r="303" spans="1:5" x14ac:dyDescent="0.25">
      <c r="A303" s="47" t="s">
        <v>1254</v>
      </c>
      <c r="B303" s="46" t="str">
        <f>IF(LEN([1]!GetFolder(A303))&gt;LEN(Solution_Directory_Name),RIGHT([1]!GetFolder(A303),LEN([1]!GetFolder(A303))-LEN(Solution_Directory_Name)),"")</f>
        <v>\_NOTES</v>
      </c>
      <c r="C303" s="46" t="str">
        <f>[1]!GetFile(A303)</f>
        <v>ApplicationEvents_ENIGMA_20150708_215653.TXT</v>
      </c>
      <c r="D303" s="49">
        <v>5345</v>
      </c>
      <c r="E303" s="48">
        <v>42193.914502314816</v>
      </c>
    </row>
    <row r="304" spans="1:5" x14ac:dyDescent="0.25">
      <c r="A304" s="47" t="s">
        <v>1253</v>
      </c>
      <c r="B304" s="46" t="str">
        <f>IF(LEN([1]!GetFolder(A304))&gt;LEN(Solution_Directory_Name),RIGHT([1]!GetFolder(A304),LEN([1]!GetFolder(A304))-LEN(Solution_Directory_Name)),"")</f>
        <v>\_NOTES</v>
      </c>
      <c r="C304" s="46" t="str">
        <f>[1]!GetFile(A304)</f>
        <v>ApplicationEvents_ENIGMA_20150713_192241.TXT</v>
      </c>
      <c r="D304" s="49">
        <v>28483</v>
      </c>
      <c r="E304" s="48">
        <v>42198.80741898148</v>
      </c>
    </row>
    <row r="305" spans="1:5" x14ac:dyDescent="0.25">
      <c r="A305" s="47" t="s">
        <v>1252</v>
      </c>
      <c r="B305" s="46" t="str">
        <f>IF(LEN([1]!GetFolder(A305))&gt;LEN(Solution_Directory_Name),RIGHT([1]!GetFolder(A305),LEN([1]!GetFolder(A305))-LEN(Solution_Directory_Name)),"")</f>
        <v>\_NOTES</v>
      </c>
      <c r="C305" s="46" t="str">
        <f>[1]!GetFile(A305)</f>
        <v>ApplicationEvents_ENIGMA_20150713_193222.TXT</v>
      </c>
      <c r="D305" s="49">
        <v>30097</v>
      </c>
      <c r="E305" s="48">
        <v>42198.814143518517</v>
      </c>
    </row>
    <row r="306" spans="1:5" x14ac:dyDescent="0.25">
      <c r="A306" s="47" t="s">
        <v>1251</v>
      </c>
      <c r="B306" s="46" t="str">
        <f>IF(LEN([1]!GetFolder(A306))&gt;LEN(Solution_Directory_Name),RIGHT([1]!GetFolder(A306),LEN([1]!GetFolder(A306))-LEN(Solution_Directory_Name)),"")</f>
        <v>\_NOTES</v>
      </c>
      <c r="C306" s="46" t="str">
        <f>[1]!GetFile(A306)</f>
        <v>ApplicationHelpers3_Program_20150606_223541.CS</v>
      </c>
      <c r="D306" s="49">
        <v>129175</v>
      </c>
      <c r="E306" s="48">
        <v>42161.941446759258</v>
      </c>
    </row>
    <row r="307" spans="1:5" x14ac:dyDescent="0.25">
      <c r="A307" s="47" t="s">
        <v>1250</v>
      </c>
      <c r="B307" s="46" t="str">
        <f>IF(LEN([1]!GetFolder(A307))&gt;LEN(Solution_Directory_Name),RIGHT([1]!GetFolder(A307),LEN([1]!GetFolder(A307))-LEN(Solution_Directory_Name)),"")</f>
        <v>\_NOTES</v>
      </c>
      <c r="C307" s="46" t="str">
        <f>[1]!GetFile(A307)</f>
        <v>BitwiseOperatorsCS.ZIP</v>
      </c>
      <c r="D307" s="49">
        <v>8492</v>
      </c>
      <c r="E307" s="48">
        <v>42165.894363425927</v>
      </c>
    </row>
    <row r="308" spans="1:5" x14ac:dyDescent="0.25">
      <c r="A308" s="47" t="s">
        <v>1249</v>
      </c>
      <c r="B308" s="46" t="str">
        <f>IF(LEN([1]!GetFolder(A308))&gt;LEN(Solution_Directory_Name),RIGHT([1]!GetFolder(A308),LEN([1]!GetFolder(A308))-LEN(Solution_Directory_Name)),"")</f>
        <v>\_NOTES</v>
      </c>
      <c r="C308" s="46" t="str">
        <f>[1]!GetFile(A308)</f>
        <v>Central_Standard_Time_REG_BINARY.REG</v>
      </c>
      <c r="D308" s="49">
        <v>1930</v>
      </c>
      <c r="E308" s="48">
        <v>42167.974791666667</v>
      </c>
    </row>
    <row r="309" spans="1:5" x14ac:dyDescent="0.25">
      <c r="A309" s="47" t="s">
        <v>1248</v>
      </c>
      <c r="B309" s="46" t="str">
        <f>IF(LEN([1]!GetFolder(A309))&gt;LEN(Solution_Directory_Name),RIGHT([1]!GetFolder(A309),LEN([1]!GetFolder(A309))-LEN(Solution_Directory_Name)),"")</f>
        <v>\_NOTES</v>
      </c>
      <c r="C309" s="46" t="str">
        <f>[1]!GetFile(A309)</f>
        <v>DefaultProductID.REG</v>
      </c>
      <c r="D309" s="49">
        <v>9618</v>
      </c>
      <c r="E309" s="48">
        <v>42166.562800925924</v>
      </c>
    </row>
    <row r="310" spans="1:5" x14ac:dyDescent="0.25">
      <c r="A310" s="47" t="s">
        <v>1247</v>
      </c>
      <c r="B310" s="46" t="str">
        <f>IF(LEN([1]!GetFolder(A310))&gt;LEN(Solution_Directory_Name),RIGHT([1]!GetFolder(A310),LEN([1]!GetFolder(A310))-LEN(Solution_Directory_Name)),"")</f>
        <v>\_NOTES</v>
      </c>
      <c r="C310" s="46" t="str">
        <f>[1]!GetFile(A310)</f>
        <v>Development_Notes_5.3.TXT</v>
      </c>
      <c r="D310" s="49">
        <v>80608</v>
      </c>
      <c r="E310" s="48">
        <v>41926.10224537037</v>
      </c>
    </row>
    <row r="311" spans="1:5" x14ac:dyDescent="0.25">
      <c r="A311" s="47" t="s">
        <v>1246</v>
      </c>
      <c r="B311" s="46" t="str">
        <f>IF(LEN([1]!GetFolder(A311))&gt;LEN(Solution_Directory_Name),RIGHT([1]!GetFolder(A311),LEN([1]!GetFolder(A311))-LEN(Solution_Directory_Name)),"")</f>
        <v>\_NOTES</v>
      </c>
      <c r="C311" s="46" t="str">
        <f>[1]!GetFile(A311)</f>
        <v>Development_Notes_5.4.TXT</v>
      </c>
      <c r="D311" s="49">
        <v>2458011</v>
      </c>
      <c r="E311" s="48">
        <v>42160.761724537035</v>
      </c>
    </row>
    <row r="312" spans="1:5" x14ac:dyDescent="0.25">
      <c r="A312" s="47" t="s">
        <v>1245</v>
      </c>
      <c r="B312" s="46" t="str">
        <f>IF(LEN([1]!GetFolder(A312))&gt;LEN(Solution_Directory_Name),RIGHT([1]!GetFolder(A312),LEN([1]!GetFolder(A312))-LEN(Solution_Directory_Name)),"")</f>
        <v>\_NOTES</v>
      </c>
      <c r="C312" s="46" t="str">
        <f>[1]!GetFile(A312)</f>
        <v>Development_Notes_5.5.TXT</v>
      </c>
      <c r="D312" s="49">
        <v>3909737</v>
      </c>
      <c r="E312" s="48">
        <v>42242.871006944442</v>
      </c>
    </row>
    <row r="313" spans="1:5" x14ac:dyDescent="0.25">
      <c r="A313" s="47" t="s">
        <v>1244</v>
      </c>
      <c r="B313" s="46" t="str">
        <f>IF(LEN([1]!GetFolder(A313))&gt;LEN(Solution_Directory_Name),RIGHT([1]!GetFolder(A313),LEN([1]!GetFolder(A313))-LEN(Solution_Directory_Name)),"")</f>
        <v>\_NOTES</v>
      </c>
      <c r="C313" s="46" t="str">
        <f>[1]!GetFile(A313)</f>
        <v>Development_Notes_5.6.TXT</v>
      </c>
      <c r="D313" s="49">
        <v>157795</v>
      </c>
      <c r="E313" s="48">
        <v>42247.056423611109</v>
      </c>
    </row>
    <row r="314" spans="1:5" x14ac:dyDescent="0.25">
      <c r="A314" s="47" t="s">
        <v>1243</v>
      </c>
      <c r="B314" s="46" t="str">
        <f>IF(LEN([1]!GetFolder(A314))&gt;LEN(Solution_Directory_Name),RIGHT([1]!GetFolder(A314),LEN([1]!GetFolder(A314))-LEN(Solution_Directory_Name)),"")</f>
        <v>\_NOTES</v>
      </c>
      <c r="C314" s="46" t="str">
        <f>[1]!GetFile(A314)</f>
        <v>Development_Notes_5.7.TXT</v>
      </c>
      <c r="D314" s="49">
        <v>134009</v>
      </c>
      <c r="E314" s="48">
        <v>42248.599594907406</v>
      </c>
    </row>
    <row r="315" spans="1:5" x14ac:dyDescent="0.25">
      <c r="A315" s="47" t="s">
        <v>1242</v>
      </c>
      <c r="B315" s="46" t="str">
        <f>IF(LEN([1]!GetFolder(A315))&gt;LEN(Solution_Directory_Name),RIGHT([1]!GetFolder(A315),LEN([1]!GetFolder(A315))-LEN(Solution_Directory_Name)),"")</f>
        <v>\_NOTES</v>
      </c>
      <c r="C315" s="46" t="str">
        <f>[1]!GetFile(A315)</f>
        <v>Development_Notes_5.8(0).TXT</v>
      </c>
      <c r="D315" s="49">
        <v>187228</v>
      </c>
      <c r="E315" s="48">
        <v>42269.450300925928</v>
      </c>
    </row>
    <row r="316" spans="1:5" x14ac:dyDescent="0.25">
      <c r="A316" s="47" t="s">
        <v>1241</v>
      </c>
      <c r="B316" s="46" t="str">
        <f>IF(LEN([1]!GetFolder(A316))&gt;LEN(Solution_Directory_Name),RIGHT([1]!GetFolder(A316),LEN([1]!GetFolder(A316))-LEN(Solution_Directory_Name)),"")</f>
        <v>\_NOTES</v>
      </c>
      <c r="C316" s="46" t="str">
        <f>[1]!GetFile(A316)</f>
        <v>Development_Notes_5.8(1).TXT</v>
      </c>
      <c r="D316" s="49">
        <v>274020</v>
      </c>
      <c r="E316" s="48">
        <v>42271.044398148151</v>
      </c>
    </row>
    <row r="317" spans="1:5" x14ac:dyDescent="0.25">
      <c r="A317" s="47" t="s">
        <v>1240</v>
      </c>
      <c r="B317" s="46" t="str">
        <f>IF(LEN([1]!GetFolder(A317))&gt;LEN(Solution_Directory_Name),RIGHT([1]!GetFolder(A317),LEN([1]!GetFolder(A317))-LEN(Solution_Directory_Name)),"")</f>
        <v>\_NOTES</v>
      </c>
      <c r="C317" s="46" t="str">
        <f>[1]!GetFile(A317)</f>
        <v>Development_Notes_5.8(2).TXT</v>
      </c>
      <c r="D317" s="49">
        <v>280198</v>
      </c>
      <c r="E317" s="48">
        <v>42271.239745370367</v>
      </c>
    </row>
    <row r="318" spans="1:5" x14ac:dyDescent="0.25">
      <c r="A318" s="47" t="s">
        <v>1239</v>
      </c>
      <c r="B318" s="46" t="str">
        <f>IF(LEN([1]!GetFolder(A318))&gt;LEN(Solution_Directory_Name),RIGHT([1]!GetFolder(A318),LEN([1]!GetFolder(A318))-LEN(Solution_Directory_Name)),"")</f>
        <v>\_NOTES</v>
      </c>
      <c r="C318" s="46" t="str">
        <f>[1]!GetFile(A318)</f>
        <v>Development_Notes_5.8(3).TXT</v>
      </c>
      <c r="D318" s="49">
        <v>285722</v>
      </c>
      <c r="E318" s="48">
        <v>42271.241284722222</v>
      </c>
    </row>
    <row r="319" spans="1:5" x14ac:dyDescent="0.25">
      <c r="A319" s="47" t="s">
        <v>1238</v>
      </c>
      <c r="B319" s="46" t="str">
        <f>IF(LEN([1]!GetFolder(A319))&gt;LEN(Solution_Directory_Name),RIGHT([1]!GetFolder(A319),LEN([1]!GetFolder(A319))-LEN(Solution_Directory_Name)),"")</f>
        <v>\_NOTES</v>
      </c>
      <c r="C319" s="46" t="str">
        <f>[1]!GetFile(A319)</f>
        <v>Development_Notes_5.8(4).TXT</v>
      </c>
      <c r="D319" s="49">
        <v>298875</v>
      </c>
      <c r="E319" s="48">
        <v>42277.056122685186</v>
      </c>
    </row>
    <row r="320" spans="1:5" x14ac:dyDescent="0.25">
      <c r="A320" s="47" t="s">
        <v>1237</v>
      </c>
      <c r="B320" s="46" t="str">
        <f>IF(LEN([1]!GetFolder(A320))&gt;LEN(Solution_Directory_Name),RIGHT([1]!GetFolder(A320),LEN([1]!GetFolder(A320))-LEN(Solution_Directory_Name)),"")</f>
        <v>\_NOTES</v>
      </c>
      <c r="C320" s="46" t="str">
        <f>[1]!GetFile(A320)</f>
        <v>Development_Notes_5.8(5).TXT</v>
      </c>
      <c r="D320" s="49">
        <v>316961</v>
      </c>
      <c r="E320" s="48">
        <v>42277.551701388889</v>
      </c>
    </row>
    <row r="321" spans="1:5" x14ac:dyDescent="0.25">
      <c r="A321" s="47" t="s">
        <v>1236</v>
      </c>
      <c r="B321" s="46" t="str">
        <f>IF(LEN([1]!GetFolder(A321))&gt;LEN(Solution_Directory_Name),RIGHT([1]!GetFolder(A321),LEN([1]!GetFolder(A321))-LEN(Solution_Directory_Name)),"")</f>
        <v>\_NOTES</v>
      </c>
      <c r="C321" s="46" t="str">
        <f>[1]!GetFile(A321)</f>
        <v>Development_Notes_5.8(6).TXT</v>
      </c>
      <c r="D321" s="49">
        <v>388169</v>
      </c>
      <c r="E321" s="48">
        <v>42277.951585648145</v>
      </c>
    </row>
    <row r="322" spans="1:5" x14ac:dyDescent="0.25">
      <c r="A322" s="47" t="s">
        <v>1235</v>
      </c>
      <c r="B322" s="46" t="str">
        <f>IF(LEN([1]!GetFolder(A322))&gt;LEN(Solution_Directory_Name),RIGHT([1]!GetFolder(A322),LEN([1]!GetFolder(A322))-LEN(Solution_Directory_Name)),"")</f>
        <v>\_NOTES</v>
      </c>
      <c r="C322" s="46" t="str">
        <f>[1]!GetFile(A322)</f>
        <v>Development_Notes_5.8.TXT</v>
      </c>
      <c r="D322" s="49">
        <v>388834</v>
      </c>
      <c r="E322" s="48">
        <v>42285.571493055555</v>
      </c>
    </row>
    <row r="323" spans="1:5" x14ac:dyDescent="0.25">
      <c r="A323" s="47" t="s">
        <v>1234</v>
      </c>
      <c r="B323" s="46" t="str">
        <f>IF(LEN([1]!GetFolder(A323))&gt;LEN(Solution_Directory_Name),RIGHT([1]!GetFolder(A323),LEN([1]!GetFolder(A323))-LEN(Solution_Directory_Name)),"")</f>
        <v>\_NOTES</v>
      </c>
      <c r="C323" s="46" t="str">
        <f>[1]!GetFile(A323)</f>
        <v>Development_Notes_5.8.TXT.bak</v>
      </c>
      <c r="D323" s="49">
        <v>388169</v>
      </c>
      <c r="E323" s="48">
        <v>42277.951585648145</v>
      </c>
    </row>
    <row r="324" spans="1:5" x14ac:dyDescent="0.25">
      <c r="A324" s="47" t="s">
        <v>1233</v>
      </c>
      <c r="B324" s="46" t="str">
        <f>IF(LEN([1]!GetFolder(A324))&gt;LEN(Solution_Directory_Name),RIGHT([1]!GetFolder(A324),LEN([1]!GetFolder(A324))-LEN(Solution_Directory_Name)),"")</f>
        <v>\_NOTES</v>
      </c>
      <c r="C324" s="46" t="str">
        <f>[1]!GetFile(A324)</f>
        <v>Development_Worksheets_5.5.XLSX</v>
      </c>
      <c r="D324" s="49">
        <v>248704</v>
      </c>
      <c r="E324" s="48">
        <v>42285.178182870368</v>
      </c>
    </row>
    <row r="325" spans="1:5" x14ac:dyDescent="0.25">
      <c r="A325" s="47" t="s">
        <v>1232</v>
      </c>
      <c r="B325" s="46" t="str">
        <f>IF(LEN([1]!GetFolder(A325))&gt;LEN(Solution_Directory_Name),RIGHT([1]!GetFolder(A325),LEN([1]!GetFolder(A325))-LEN(Solution_Directory_Name)),"")</f>
        <v>\_NOTES</v>
      </c>
      <c r="C325" s="46" t="str">
        <f>[1]!GetFile(A325)</f>
        <v>DLLServices2TestStand_5.5_Trace.LOG</v>
      </c>
      <c r="D325" s="49">
        <v>55669</v>
      </c>
      <c r="E325" s="48">
        <v>42247.047210648147</v>
      </c>
    </row>
    <row r="326" spans="1:5" x14ac:dyDescent="0.25">
      <c r="A326" s="47" t="s">
        <v>1231</v>
      </c>
      <c r="B326" s="46" t="str">
        <f>IF(LEN([1]!GetFolder(A326))&gt;LEN(Solution_Directory_Name),RIGHT([1]!GetFolder(A326),LEN([1]!GetFolder(A326))-LEN(Solution_Directory_Name)),"")</f>
        <v>\_NOTES</v>
      </c>
      <c r="C326" s="46" t="str">
        <f>[1]!GetFile(A326)</f>
        <v>DLLServices2TestStand_5.5_Trace_20150826_205203.LOG</v>
      </c>
      <c r="D326" s="49">
        <v>48181</v>
      </c>
      <c r="E326" s="48">
        <v>42242.869479166664</v>
      </c>
    </row>
    <row r="327" spans="1:5" x14ac:dyDescent="0.25">
      <c r="A327" s="47" t="s">
        <v>1230</v>
      </c>
      <c r="B327" s="46" t="str">
        <f>IF(LEN([1]!GetFolder(A327))&gt;LEN(Solution_Directory_Name),RIGHT([1]!GetFolder(A327),LEN([1]!GetFolder(A327))-LEN(Solution_Directory_Name)),"")</f>
        <v>\_NOTES</v>
      </c>
      <c r="C327" s="46" t="str">
        <f>[1]!GetFile(A327)</f>
        <v>Full_Color_Output_Demonstration_v5.4.DOCX</v>
      </c>
      <c r="D327" s="49">
        <v>233526</v>
      </c>
      <c r="E327" s="48">
        <v>42160.757673611108</v>
      </c>
    </row>
    <row r="328" spans="1:5" x14ac:dyDescent="0.25">
      <c r="A328" s="47" t="s">
        <v>1229</v>
      </c>
      <c r="B328" s="46" t="str">
        <f>IF(LEN([1]!GetFolder(A328))&gt;LEN(Solution_Directory_Name),RIGHT([1]!GetFolder(A328),LEN([1]!GetFolder(A328))-LEN(Solution_Directory_Name)),"")</f>
        <v>\_NOTES</v>
      </c>
      <c r="C328" s="46" t="str">
        <f>[1]!GetFile(A328)</f>
        <v>Full_Color_Output_Demonstration_v5.5.DOCX</v>
      </c>
      <c r="D328" s="49">
        <v>224922</v>
      </c>
      <c r="E328" s="48">
        <v>42170.770532407405</v>
      </c>
    </row>
    <row r="329" spans="1:5" x14ac:dyDescent="0.25">
      <c r="A329" s="47" t="s">
        <v>1228</v>
      </c>
      <c r="B329" s="46" t="str">
        <f>IF(LEN([1]!GetFolder(A329))&gt;LEN(Solution_Directory_Name),RIGHT([1]!GetFolder(A329),LEN([1]!GetFolder(A329))-LEN(Solution_Directory_Name)),"")</f>
        <v>\_NOTES</v>
      </c>
      <c r="C329" s="46" t="str">
        <f>[1]!GetFile(A329)</f>
        <v>HKCU_Control_Panel_Colors_Current_20150625_070643.REG</v>
      </c>
      <c r="D329" s="49">
        <v>1862</v>
      </c>
      <c r="E329" s="48">
        <v>42180.296331018515</v>
      </c>
    </row>
    <row r="330" spans="1:5" x14ac:dyDescent="0.25">
      <c r="A330" s="47" t="s">
        <v>1227</v>
      </c>
      <c r="B330" s="46" t="str">
        <f>IF(LEN([1]!GetFolder(A330))&gt;LEN(Solution_Directory_Name),RIGHT([1]!GetFolder(A330),LEN([1]!GetFolder(A330))-LEN(Solution_Directory_Name)),"")</f>
        <v>\_NOTES</v>
      </c>
      <c r="C330" s="46" t="str">
        <f>[1]!GetFile(A330)</f>
        <v>HotStart_REG_QWORD.REG</v>
      </c>
      <c r="D330" s="49">
        <v>328</v>
      </c>
      <c r="E330" s="48">
        <v>42166.555891203701</v>
      </c>
    </row>
    <row r="331" spans="1:5" x14ac:dyDescent="0.25">
      <c r="A331" s="47" t="s">
        <v>1226</v>
      </c>
      <c r="B331" s="46" t="str">
        <f>IF(LEN([1]!GetFolder(A331))&gt;LEN(Solution_Directory_Name),RIGHT([1]!GetFolder(A331),LEN([1]!GetFolder(A331))-LEN(Solution_Directory_Name)),"")</f>
        <v>\_NOTES</v>
      </c>
      <c r="C331" s="46" t="str">
        <f>[1]!GetFile(A331)</f>
        <v>Inventory_WizardWrx_DLLServices2_dll_20141013_201430.CSV</v>
      </c>
      <c r="D331" s="49">
        <v>13945</v>
      </c>
      <c r="E331" s="48">
        <v>41925.843425925923</v>
      </c>
    </row>
    <row r="332" spans="1:5" x14ac:dyDescent="0.25">
      <c r="A332" s="47" t="s">
        <v>1225</v>
      </c>
      <c r="B332" s="46" t="str">
        <f>IF(LEN([1]!GetFolder(A332))&gt;LEN(Solution_Directory_Name),RIGHT([1]!GetFolder(A332),LEN([1]!GetFolder(A332))-LEN(Solution_Directory_Name)),"")</f>
        <v>\_NOTES</v>
      </c>
      <c r="C332" s="46" t="str">
        <f>[1]!GetFile(A332)</f>
        <v>Registry_Value_6_EXPAND.REG</v>
      </c>
      <c r="D332" s="49">
        <v>724</v>
      </c>
      <c r="E332" s="48">
        <v>42170.660011574073</v>
      </c>
    </row>
    <row r="333" spans="1:5" x14ac:dyDescent="0.25">
      <c r="A333" s="47" t="s">
        <v>1224</v>
      </c>
      <c r="B333" s="46" t="str">
        <f>IF(LEN([1]!GetFolder(A333))&gt;LEN(Solution_Directory_Name),RIGHT([1]!GetFolder(A333),LEN([1]!GetFolder(A333))-LEN(Solution_Directory_Name)),"")</f>
        <v>\_NOTES</v>
      </c>
      <c r="C333" s="46" t="str">
        <f>[1]!GetFile(A333)</f>
        <v>Report_20150621_174825.wer</v>
      </c>
      <c r="D333" s="49">
        <v>11550</v>
      </c>
      <c r="E333" s="48">
        <v>42176.741956018515</v>
      </c>
    </row>
    <row r="334" spans="1:5" x14ac:dyDescent="0.25">
      <c r="A334" s="47" t="s">
        <v>1223</v>
      </c>
      <c r="B334" s="46" t="str">
        <f>IF(LEN([1]!GetFolder(A334))&gt;LEN(Solution_Directory_Name),RIGHT([1]!GetFolder(A334),LEN([1]!GetFolder(A334))-LEN(Solution_Directory_Name)),"")</f>
        <v>\_NOTES</v>
      </c>
      <c r="C334" s="46" t="str">
        <f>[1]!GetFile(A334)</f>
        <v>StructuredQuery_REG_QWORD.REG</v>
      </c>
      <c r="D334" s="49">
        <v>350</v>
      </c>
      <c r="E334" s="48">
        <v>42167.116724537038</v>
      </c>
    </row>
    <row r="335" spans="1:5" x14ac:dyDescent="0.25">
      <c r="A335" s="47" t="s">
        <v>1222</v>
      </c>
      <c r="B335" s="46" t="str">
        <f>IF(LEN([1]!GetFolder(A335))&gt;LEN(Solution_Directory_Name),RIGHT([1]!GetFolder(A335),LEN([1]!GetFolder(A335))-LEN(Solution_Directory_Name)),"")</f>
        <v>\_NOTES</v>
      </c>
      <c r="C335" s="46" t="str">
        <f>[1]!GetFile(A335)</f>
        <v>UCResult_ArrayInfo_Classes_20150608_212828.TXT</v>
      </c>
      <c r="D335" s="49">
        <v>15858</v>
      </c>
      <c r="E335" s="48">
        <v>42163.894768518519</v>
      </c>
    </row>
    <row r="336" spans="1:5" x14ac:dyDescent="0.25">
      <c r="A336" s="47" t="s">
        <v>1221</v>
      </c>
      <c r="B336" s="46" t="str">
        <f>IF(LEN([1]!GetFolder(A336))&gt;LEN(Solution_Directory_Name),RIGHT([1]!GetFolder(A336),LEN([1]!GetFolder(A336))-LEN(Solution_Directory_Name)),"")</f>
        <v>\_NOTES</v>
      </c>
      <c r="C336" s="46" t="str">
        <f>[1]!GetFile(A336)</f>
        <v>UCResult_CSVFileInfo_Classes_20150609_005000.TXT</v>
      </c>
      <c r="D336" s="49">
        <v>9258</v>
      </c>
      <c r="E336" s="48">
        <v>42164.034722222219</v>
      </c>
    </row>
    <row r="337" spans="1:5" x14ac:dyDescent="0.25">
      <c r="A337" s="47" t="s">
        <v>1220</v>
      </c>
      <c r="B337" s="46" t="str">
        <f>IF(LEN([1]!GetFolder(A337))&gt;LEN(Solution_Directory_Name),RIGHT([1]!GetFolder(A337),LEN([1]!GetFolder(A337))-LEN(Solution_Directory_Name)),"")</f>
        <v>\_NOTES</v>
      </c>
      <c r="C337" s="46" t="str">
        <f>[1]!GetFile(A337)</f>
        <v>UCResult_DisplayFormats_Classes_20150609_010041.TXT</v>
      </c>
      <c r="D337" s="49">
        <v>34922</v>
      </c>
      <c r="E337" s="48">
        <v>42164.042141203703</v>
      </c>
    </row>
    <row r="338" spans="1:5" x14ac:dyDescent="0.25">
      <c r="A338" s="47" t="s">
        <v>1219</v>
      </c>
      <c r="B338" s="46" t="str">
        <f>IF(LEN([1]!GetFolder(A338))&gt;LEN(Solution_Directory_Name),RIGHT([1]!GetFolder(A338),LEN([1]!GetFolder(A338))-LEN(Solution_Directory_Name)),"")</f>
        <v>\_NOTES</v>
      </c>
      <c r="C338" s="46" t="str">
        <f>[1]!GetFile(A338)</f>
        <v>UCResult_ListInfo_Classes_20150608_225348.TXT</v>
      </c>
      <c r="D338" s="49">
        <v>26064</v>
      </c>
      <c r="E338" s="48">
        <v>42163.954027777778</v>
      </c>
    </row>
    <row r="339" spans="1:5" x14ac:dyDescent="0.25">
      <c r="A339" s="47" t="s">
        <v>1218</v>
      </c>
      <c r="B339" s="46" t="str">
        <f>IF(LEN([1]!GetFolder(A339))&gt;LEN(Solution_Directory_Name),RIGHT([1]!GetFolder(A339),LEN([1]!GetFolder(A339))-LEN(Solution_Directory_Name)),"")</f>
        <v>\_NOTES</v>
      </c>
      <c r="C339" s="46" t="str">
        <f>[1]!GetFile(A339)</f>
        <v>UCResult_SpecialCharacters_Classes_20150608_225721.TXT</v>
      </c>
      <c r="D339" s="49">
        <v>14818</v>
      </c>
      <c r="E339" s="48">
        <v>42163.956493055557</v>
      </c>
    </row>
  </sheetData>
  <mergeCells count="4">
    <mergeCell ref="C3:D3"/>
    <mergeCell ref="C4:D4"/>
    <mergeCell ref="C5:D5"/>
    <mergeCell ref="C2:D2"/>
  </mergeCells>
  <conditionalFormatting sqref="A8:E8">
    <cfRule type="expression" dxfId="3" priority="7">
      <formula>$E8&gt;DLLServicesBuildLogModifiedDate</formula>
    </cfRule>
    <cfRule type="expression" dxfId="2" priority="9">
      <formula>$E8&gt;Dllservices__Version_5.5_Backup_ModDate</formula>
    </cfRule>
  </conditionalFormatting>
  <conditionalFormatting sqref="A9:E339">
    <cfRule type="expression" dxfId="1" priority="1">
      <formula>$E9&gt;DLLServicesBuildLogModifiedDate</formula>
    </cfRule>
    <cfRule type="expression" dxfId="0" priority="2">
      <formula>$E9&gt;Dllservices__Version_5.5_Backup_ModDate</formula>
    </cfRule>
  </conditionalFormatting>
  <pageMargins left="0.7" right="0.7" top="0.75" bottom="0.75" header="0.3" footer="0.3"/>
  <pageSetup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heetViews>
  <sheetFormatPr defaultRowHeight="15" x14ac:dyDescent="0.25"/>
  <cols>
    <col min="1" max="1" width="40.75" bestFit="1" customWidth="1"/>
    <col min="2" max="2" width="86.125" bestFit="1" customWidth="1"/>
    <col min="3" max="3" width="53.125" bestFit="1" customWidth="1"/>
  </cols>
  <sheetData>
    <row r="1" spans="1:3" ht="18" x14ac:dyDescent="0.25">
      <c r="A1" s="52" t="s">
        <v>1582</v>
      </c>
      <c r="B1" s="52" t="s">
        <v>1583</v>
      </c>
      <c r="C1" s="52" t="s">
        <v>1599</v>
      </c>
    </row>
    <row r="2" spans="1:3" x14ac:dyDescent="0.25">
      <c r="A2" s="8" t="s">
        <v>1570</v>
      </c>
      <c r="B2" s="8" t="str">
        <f>CONCATENATE("WizardWrx.DLLServices2.Properties.Resources.",A2)</f>
        <v>WizardWrx.DLLServices2.Properties.Resources.IMAGE_SUBSYSTEM_UNKNOWN</v>
      </c>
      <c r="C2" s="8" t="s">
        <v>1584</v>
      </c>
    </row>
    <row r="3" spans="1:3" x14ac:dyDescent="0.25">
      <c r="A3" s="8" t="s">
        <v>1571</v>
      </c>
      <c r="B3" s="8" t="str">
        <f t="shared" ref="B3:B15" si="0">CONCATENATE("WizardWrx.DLLServices2.Properties.Resources.",A3)</f>
        <v>WizardWrx.DLLServices2.Properties.Resources.IMAGE_SUBSYSTEM_NATIVE</v>
      </c>
      <c r="C3" s="8" t="s">
        <v>1589</v>
      </c>
    </row>
    <row r="4" spans="1:3" x14ac:dyDescent="0.25">
      <c r="A4" s="8" t="s">
        <v>1572</v>
      </c>
      <c r="B4" s="8" t="str">
        <f t="shared" si="0"/>
        <v>WizardWrx.DLLServices2.Properties.Resources.IMAGE_SUBSYSTEM_WINDOWS_GUI</v>
      </c>
      <c r="C4" s="8" t="s">
        <v>1587</v>
      </c>
    </row>
    <row r="5" spans="1:3" x14ac:dyDescent="0.25">
      <c r="A5" s="8" t="s">
        <v>1573</v>
      </c>
      <c r="B5" s="8" t="str">
        <f t="shared" si="0"/>
        <v>WizardWrx.DLLServices2.Properties.Resources.IMAGE_SUBSYSTEM_WINDOWS_CUI</v>
      </c>
      <c r="C5" s="8" t="s">
        <v>1586</v>
      </c>
    </row>
    <row r="6" spans="1:3" x14ac:dyDescent="0.25">
      <c r="A6" s="8" t="s">
        <v>1574</v>
      </c>
      <c r="B6" s="8" t="str">
        <f t="shared" si="0"/>
        <v>WizardWrx.DLLServices2.Properties.Resources.IMAGE_SUBSYSTEM_OS2_CUI</v>
      </c>
      <c r="C6" s="8" t="s">
        <v>1594</v>
      </c>
    </row>
    <row r="7" spans="1:3" x14ac:dyDescent="0.25">
      <c r="A7" s="8" t="s">
        <v>1575</v>
      </c>
      <c r="B7" s="8" t="str">
        <f t="shared" si="0"/>
        <v>WizardWrx.DLLServices2.Properties.Resources.IMAGE_SUBSYSTEM_POSIX_CUI</v>
      </c>
      <c r="C7" s="8" t="s">
        <v>1595</v>
      </c>
    </row>
    <row r="8" spans="1:3" x14ac:dyDescent="0.25">
      <c r="A8" s="8" t="s">
        <v>1576</v>
      </c>
      <c r="B8" s="8" t="str">
        <f t="shared" si="0"/>
        <v>WizardWrx.DLLServices2.Properties.Resources.IMAGE_SUBSYSTEM_NATIVE_WINDOWS</v>
      </c>
      <c r="C8" s="8" t="s">
        <v>1596</v>
      </c>
    </row>
    <row r="9" spans="1:3" x14ac:dyDescent="0.25">
      <c r="A9" s="8" t="s">
        <v>1577</v>
      </c>
      <c r="B9" s="8" t="str">
        <f t="shared" si="0"/>
        <v>WizardWrx.DLLServices2.Properties.Resources.IMAGE_SUBSYSTEM_WINDOWS_CE_GUI</v>
      </c>
      <c r="C9" s="8" t="s">
        <v>1585</v>
      </c>
    </row>
    <row r="10" spans="1:3" x14ac:dyDescent="0.25">
      <c r="A10" s="8" t="s">
        <v>1578</v>
      </c>
      <c r="B10" s="8" t="str">
        <f t="shared" si="0"/>
        <v>WizardWrx.DLLServices2.Properties.Resources.IMAGE_SUBSYSTEM_EFI_APPLICATION</v>
      </c>
      <c r="C10" s="8" t="s">
        <v>1593</v>
      </c>
    </row>
    <row r="11" spans="1:3" x14ac:dyDescent="0.25">
      <c r="A11" s="8" t="s">
        <v>1579</v>
      </c>
      <c r="B11" s="8" t="str">
        <f t="shared" si="0"/>
        <v>WizardWrx.DLLServices2.Properties.Resources.IMAGE_SUBSYSTEM_EFI_BOOT_SERVICE_DRIVER</v>
      </c>
      <c r="C11" s="8" t="s">
        <v>1592</v>
      </c>
    </row>
    <row r="12" spans="1:3" x14ac:dyDescent="0.25">
      <c r="A12" s="8" t="s">
        <v>1569</v>
      </c>
      <c r="B12" s="8" t="str">
        <f t="shared" si="0"/>
        <v>WizardWrx.DLLServices2.Properties.Resources.IMAGE_SUBSYSTEM_EFI_RUNTIME_DRIVER</v>
      </c>
      <c r="C12" s="8" t="s">
        <v>1590</v>
      </c>
    </row>
    <row r="13" spans="1:3" x14ac:dyDescent="0.25">
      <c r="A13" s="8" t="s">
        <v>1580</v>
      </c>
      <c r="B13" s="8" t="str">
        <f t="shared" si="0"/>
        <v>WizardWrx.DLLServices2.Properties.Resources.IMAGE_SUBSYSTEM_EFI_ROM</v>
      </c>
      <c r="C13" s="8" t="s">
        <v>1591</v>
      </c>
    </row>
    <row r="14" spans="1:3" x14ac:dyDescent="0.25">
      <c r="A14" s="8" t="s">
        <v>1581</v>
      </c>
      <c r="B14" s="8" t="str">
        <f t="shared" si="0"/>
        <v>WizardWrx.DLLServices2.Properties.Resources.IMAGE_SUBSYSTEM_XBOX</v>
      </c>
      <c r="C14" s="8" t="s">
        <v>1588</v>
      </c>
    </row>
    <row r="15" spans="1:3" x14ac:dyDescent="0.25">
      <c r="A15" s="8" t="s">
        <v>1598</v>
      </c>
      <c r="B15" s="8" t="str">
        <f t="shared" si="0"/>
        <v>WizardWrx.DLLServices2.Properties.Resources.IMAGE_SUBSYSTEM_UNDEFINED_VALUE</v>
      </c>
      <c r="C15" s="8" t="s">
        <v>1597</v>
      </c>
    </row>
  </sheetData>
  <pageMargins left="0.7" right="0.7" top="0.75" bottom="0.75" header="0.3" footer="0.3"/>
  <pageSetup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E31"/>
  <sheetViews>
    <sheetView workbookViewId="0">
      <pane xSplit="1" ySplit="1" topLeftCell="B2" activePane="bottomRight" state="frozen"/>
      <selection pane="topRight" activeCell="B1" sqref="B1"/>
      <selection pane="bottomLeft" activeCell="A2" sqref="A2"/>
      <selection pane="bottomRight" activeCell="B1" sqref="B1"/>
    </sheetView>
  </sheetViews>
  <sheetFormatPr defaultRowHeight="15" x14ac:dyDescent="0.25"/>
  <cols>
    <col min="2" max="2" width="143.875" bestFit="1" customWidth="1"/>
    <col min="4" max="4" width="6.875" bestFit="1" customWidth="1"/>
    <col min="5" max="5" width="20.125" bestFit="1" customWidth="1"/>
  </cols>
  <sheetData>
    <row r="1" spans="1:5" ht="18" x14ac:dyDescent="0.25">
      <c r="A1" s="17" t="s">
        <v>1553</v>
      </c>
      <c r="B1" s="17" t="s">
        <v>1631</v>
      </c>
      <c r="C1" s="17" t="s">
        <v>1054</v>
      </c>
      <c r="D1" s="53" t="s">
        <v>1550</v>
      </c>
      <c r="E1" s="17" t="s">
        <v>1549</v>
      </c>
    </row>
    <row r="2" spans="1:5" x14ac:dyDescent="0.25">
      <c r="A2" s="18" t="s">
        <v>1616</v>
      </c>
      <c r="B2" s="18" t="str">
        <f>[1]!GetFolder(A2)</f>
        <v>C:\Users\DAVE\Documents\Programming\Visual_Studio_6\EXE\Console\WWLOGGER\Debug</v>
      </c>
      <c r="C2" s="18" t="str">
        <f>[1]!GetVersionInfo_WW(A2,3)</f>
        <v>4.0.8.1</v>
      </c>
      <c r="D2" s="54">
        <v>61440</v>
      </c>
      <c r="E2" s="55">
        <v>42281.029490740744</v>
      </c>
    </row>
    <row r="3" spans="1:5" x14ac:dyDescent="0.25">
      <c r="A3" s="18" t="s">
        <v>1630</v>
      </c>
      <c r="B3" s="18" t="str">
        <f>[1]!GetFolder(A3)</f>
        <v>C:\bin</v>
      </c>
      <c r="C3" s="18" t="str">
        <f>[1]!GetVersionInfo_WW(A3,3)</f>
        <v>4.0.8.1</v>
      </c>
      <c r="D3" s="54">
        <v>24064</v>
      </c>
      <c r="E3" s="55">
        <v>41919.652986111112</v>
      </c>
    </row>
    <row r="4" spans="1:5" x14ac:dyDescent="0.25">
      <c r="A4" s="18" t="s">
        <v>1629</v>
      </c>
      <c r="B4" s="18" t="str">
        <f>[1]!GetFolder(A4)</f>
        <v>C:\ProgramData\Documents\H_DEASE\AI_PKG_400</v>
      </c>
      <c r="C4" s="18" t="str">
        <f>[1]!GetVersionInfo_WW(A4,3)</f>
        <v>4, 0, 7, 0</v>
      </c>
      <c r="D4" s="54">
        <v>24064</v>
      </c>
      <c r="E4" s="55">
        <v>41919.652986111112</v>
      </c>
    </row>
    <row r="5" spans="1:5" x14ac:dyDescent="0.25">
      <c r="A5" s="18" t="s">
        <v>1628</v>
      </c>
      <c r="B5" s="18" t="str">
        <f>[1]!GetFolder(A5)</f>
        <v>C:\ProgramData\Documents\H_DEASE\UTIL_from_ZAPHOD42</v>
      </c>
      <c r="C5" s="18" t="str">
        <f>[1]!GetVersionInfo_WW(A5,3)</f>
        <v>4, 0, 7, 0</v>
      </c>
      <c r="D5" s="54">
        <v>24064</v>
      </c>
      <c r="E5" s="55">
        <v>41919.652986111112</v>
      </c>
    </row>
    <row r="6" spans="1:5" x14ac:dyDescent="0.25">
      <c r="A6" s="18" t="s">
        <v>1621</v>
      </c>
      <c r="B6" s="18" t="str">
        <f>[1]!GetFolder(A6)</f>
        <v>C:\ProgramData\Documents\NOLANB\_Installation_Packages\Remote\2014\20141010\AI_PKG_400</v>
      </c>
      <c r="C6" s="18" t="str">
        <f>[1]!GetVersionInfo_WW(A6,3)</f>
        <v>4, 0, 7, 0</v>
      </c>
      <c r="D6" s="54">
        <v>24064</v>
      </c>
      <c r="E6" s="55">
        <v>41919.652986111112</v>
      </c>
    </row>
    <row r="7" spans="1:5" x14ac:dyDescent="0.25">
      <c r="A7" s="18" t="s">
        <v>1620</v>
      </c>
      <c r="B7" s="18" t="str">
        <f>[1]!GetFolder(A7)</f>
        <v>C:\ProgramData\Documents\NOLANB\_Installation_Packages\UTIL_Reference</v>
      </c>
      <c r="C7" s="18" t="str">
        <f>[1]!GetVersionInfo_WW(A7,3)</f>
        <v>4, 0, 7, 0</v>
      </c>
      <c r="D7" s="54">
        <v>24064</v>
      </c>
      <c r="E7" s="55">
        <v>41919.652986111112</v>
      </c>
    </row>
    <row r="8" spans="1:5" x14ac:dyDescent="0.25">
      <c r="A8" s="18" t="s">
        <v>1615</v>
      </c>
      <c r="B8" s="18" t="str">
        <f>[1]!GetFolder(A8)</f>
        <v>C:\Users\DAVE\Documents\Programming\Visual_Studio_6\EXE\Console\WWLOGGER\Release</v>
      </c>
      <c r="C8" s="18" t="str">
        <f>[1]!GetVersionInfo_WW(A8,3)</f>
        <v>4.0.8.1</v>
      </c>
      <c r="D8" s="54">
        <v>24064</v>
      </c>
      <c r="E8" s="55">
        <v>41919.652986111112</v>
      </c>
    </row>
    <row r="9" spans="1:5" x14ac:dyDescent="0.25">
      <c r="A9" s="18" t="s">
        <v>1614</v>
      </c>
      <c r="B9" s="18" t="str">
        <f>[1]!GetFolder(A9)</f>
        <v>C:\Users\DAVE\Documents\Programming\Visual_Studio_6\EXE\Console\WWWinVersion\NOTES\WWWinVersion_Testing</v>
      </c>
      <c r="C9" s="18" t="str">
        <f>[1]!GetVersionInfo_WW(A9,3)</f>
        <v>4, 0, 7, 0</v>
      </c>
      <c r="D9" s="54">
        <v>24064</v>
      </c>
      <c r="E9" s="55">
        <v>41919.652986111112</v>
      </c>
    </row>
    <row r="10" spans="1:5" x14ac:dyDescent="0.25">
      <c r="A10" s="18" t="s">
        <v>1612</v>
      </c>
      <c r="B10" s="18" t="str">
        <f>[1]!GetFolder(A10)</f>
        <v>C:\Users\Public\Documents\H_DEASE\AI_PKG_400</v>
      </c>
      <c r="C10" s="18" t="str">
        <f>[1]!GetVersionInfo_WW(A10,3)</f>
        <v>4, 0, 7, 0</v>
      </c>
      <c r="D10" s="54">
        <v>24064</v>
      </c>
      <c r="E10" s="55">
        <v>41919.652986111112</v>
      </c>
    </row>
    <row r="11" spans="1:5" x14ac:dyDescent="0.25">
      <c r="A11" s="18" t="s">
        <v>1611</v>
      </c>
      <c r="B11" s="18" t="str">
        <f>[1]!GetFolder(A11)</f>
        <v>C:\Users\Public\Documents\H_DEASE\UTIL_from_ZAPHOD42</v>
      </c>
      <c r="C11" s="18" t="str">
        <f>[1]!GetVersionInfo_WW(A11,3)</f>
        <v>4, 0, 7, 0</v>
      </c>
      <c r="D11" s="54">
        <v>24064</v>
      </c>
      <c r="E11" s="55">
        <v>41919.652986111112</v>
      </c>
    </row>
    <row r="12" spans="1:5" x14ac:dyDescent="0.25">
      <c r="A12" s="18" t="s">
        <v>1604</v>
      </c>
      <c r="B12" s="18" t="str">
        <f>[1]!GetFolder(A12)</f>
        <v>C:\Users\Public\Documents\NOLANB\_Installation_Packages\Remote\2014\20141010\AI_PKG_400</v>
      </c>
      <c r="C12" s="18" t="str">
        <f>[1]!GetVersionInfo_WW(A12,3)</f>
        <v>4, 0, 7, 0</v>
      </c>
      <c r="D12" s="54">
        <v>24064</v>
      </c>
      <c r="E12" s="55">
        <v>41919.652986111112</v>
      </c>
    </row>
    <row r="13" spans="1:5" x14ac:dyDescent="0.25">
      <c r="A13" s="18" t="s">
        <v>1603</v>
      </c>
      <c r="B13" s="18" t="str">
        <f>[1]!GetFolder(A13)</f>
        <v>C:\Users\Public\Documents\NOLANB\_Installation_Packages\UTIL_Reference</v>
      </c>
      <c r="C13" s="18" t="str">
        <f>[1]!GetVersionInfo_WW(A13,3)</f>
        <v>4, 0, 7, 0</v>
      </c>
      <c r="D13" s="54">
        <v>24064</v>
      </c>
      <c r="E13" s="55">
        <v>41919.652986111112</v>
      </c>
    </row>
    <row r="14" spans="1:5" x14ac:dyDescent="0.25">
      <c r="A14" s="18" t="s">
        <v>1601</v>
      </c>
      <c r="B14" s="18" t="str">
        <f>[1]!GetFolder(A14)</f>
        <v>C:\UTIL</v>
      </c>
      <c r="C14" s="18" t="str">
        <f>[1]!GetVersionInfo_WW(A14,3)</f>
        <v>4, 0, 7, 0</v>
      </c>
      <c r="D14" s="54">
        <v>24064</v>
      </c>
      <c r="E14" s="55">
        <v>41919.652974537035</v>
      </c>
    </row>
    <row r="15" spans="1:5" x14ac:dyDescent="0.25">
      <c r="A15" s="18" t="s">
        <v>1624</v>
      </c>
      <c r="B15" s="18" t="str">
        <f>[1]!GetFolder(A15)</f>
        <v>C:\ProgramData\Documents\NOLANB\_Installation_Packages\Remote\2013\20131016\400</v>
      </c>
      <c r="C15" s="18" t="str">
        <f>[1]!GetVersionInfo_WW(A15,3)</f>
        <v>3, 2, 6, 0</v>
      </c>
      <c r="D15" s="54">
        <v>24064</v>
      </c>
      <c r="E15" s="55">
        <v>41456.993726851855</v>
      </c>
    </row>
    <row r="16" spans="1:5" x14ac:dyDescent="0.25">
      <c r="A16" s="18" t="s">
        <v>1623</v>
      </c>
      <c r="B16" s="18" t="str">
        <f>[1]!GetFolder(A16)</f>
        <v>C:\ProgramData\Documents\NOLANB\_Installation_Packages\Remote\2013\20131016\REPORTS\UTIL_20130919_150654</v>
      </c>
      <c r="C16" s="18" t="str">
        <f>[1]!GetVersionInfo_WW(A16,3)</f>
        <v>3, 2, 6, 0</v>
      </c>
      <c r="D16" s="54">
        <v>24064</v>
      </c>
      <c r="E16" s="55">
        <v>41456.993726851855</v>
      </c>
    </row>
    <row r="17" spans="1:5" x14ac:dyDescent="0.25">
      <c r="A17" s="18" t="s">
        <v>1613</v>
      </c>
      <c r="B17" s="18" t="str">
        <f>[1]!GetFolder(A17)</f>
        <v>C:\Users\DAVE\Documents\Programming\WinBatch_Studio\Clients\NOLANB\EZSTART\NOTES\UTL_For_Testing</v>
      </c>
      <c r="C17" s="18" t="str">
        <f>[1]!GetVersionInfo_WW(A17,3)</f>
        <v>3, 2, 6, 0</v>
      </c>
      <c r="D17" s="54">
        <v>24064</v>
      </c>
      <c r="E17" s="55">
        <v>41456.993726851855</v>
      </c>
    </row>
    <row r="18" spans="1:5" x14ac:dyDescent="0.25">
      <c r="A18" s="18" t="s">
        <v>1607</v>
      </c>
      <c r="B18" s="18" t="str">
        <f>[1]!GetFolder(A18)</f>
        <v>C:\Users\Public\Documents\NOLANB\_Installation_Packages\Remote\2013\20131016\400</v>
      </c>
      <c r="C18" s="18" t="str">
        <f>[1]!GetVersionInfo_WW(A18,3)</f>
        <v>3, 2, 6, 0</v>
      </c>
      <c r="D18" s="54">
        <v>24064</v>
      </c>
      <c r="E18" s="55">
        <v>41456.993726851855</v>
      </c>
    </row>
    <row r="19" spans="1:5" x14ac:dyDescent="0.25">
      <c r="A19" s="18" t="s">
        <v>1606</v>
      </c>
      <c r="B19" s="18" t="str">
        <f>[1]!GetFolder(A19)</f>
        <v>C:\Users\Public\Documents\NOLANB\_Installation_Packages\Remote\2013\20131016\REPORTS\UTIL_20130919_150654</v>
      </c>
      <c r="C19" s="18" t="str">
        <f>[1]!GetVersionInfo_WW(A19,3)</f>
        <v>3, 2, 6, 0</v>
      </c>
      <c r="D19" s="54">
        <v>24064</v>
      </c>
      <c r="E19" s="55">
        <v>41456.993726851855</v>
      </c>
    </row>
    <row r="20" spans="1:5" x14ac:dyDescent="0.25">
      <c r="A20" s="18" t="s">
        <v>1627</v>
      </c>
      <c r="B20" s="18" t="str">
        <f>[1]!GetFolder(A20)</f>
        <v>C:\ProgramData\Documents\NOLANB\BACKUPS\_Misc_Backups\UTIL_DAGDEV\UTIL_Milestone_20140129_113158</v>
      </c>
      <c r="C20" s="18" t="str">
        <f>[1]!GetVersionInfo_WW(A20,3)</f>
        <v>3, 2, 6, 0</v>
      </c>
      <c r="D20" s="54">
        <v>24064</v>
      </c>
      <c r="E20" s="55">
        <v>41456.952060185184</v>
      </c>
    </row>
    <row r="21" spans="1:5" x14ac:dyDescent="0.25">
      <c r="A21" s="18" t="s">
        <v>1610</v>
      </c>
      <c r="B21" s="18" t="str">
        <f>[1]!GetFolder(A21)</f>
        <v>C:\Users\Public\Documents\NOLANB\BACKUPS\_Misc_Backups\UTIL_DAGDEV\UTIL_Milestone_20140129_113158</v>
      </c>
      <c r="C21" s="18" t="str">
        <f>[1]!GetVersionInfo_WW(A21,3)</f>
        <v>3, 2, 6, 0</v>
      </c>
      <c r="D21" s="54">
        <v>24064</v>
      </c>
      <c r="E21" s="55">
        <v>41456.952060185184</v>
      </c>
    </row>
    <row r="22" spans="1:5" x14ac:dyDescent="0.25">
      <c r="A22" s="18" t="s">
        <v>1625</v>
      </c>
      <c r="B22" s="18" t="str">
        <f>[1]!GetFolder(A22)</f>
        <v>C:\ProgramData\Documents\NOLANB\TASKS\DataEase_on_X64\Windows_Server_REFERENCE\UTIL_SQLSERVER2K</v>
      </c>
      <c r="C22" s="18" t="str">
        <f>[1]!GetVersionInfo_WW(A22,3)</f>
        <v>3, 2, 4, 0</v>
      </c>
      <c r="D22" s="54">
        <v>24064</v>
      </c>
      <c r="E22" s="55">
        <v>41108.112453703703</v>
      </c>
    </row>
    <row r="23" spans="1:5" x14ac:dyDescent="0.25">
      <c r="A23" s="18" t="s">
        <v>1608</v>
      </c>
      <c r="B23" s="18" t="str">
        <f>[1]!GetFolder(A23)</f>
        <v>C:\Users\Public\Documents\NOLANB\TASKS\DataEase_on_X64\Windows_Server_REFERENCE\UTIL_SQLSERVER2K</v>
      </c>
      <c r="C23" s="18" t="str">
        <f>[1]!GetVersionInfo_WW(A23,3)</f>
        <v>3, 2, 4, 0</v>
      </c>
      <c r="D23" s="54">
        <v>24064</v>
      </c>
      <c r="E23" s="55">
        <v>41108.112453703703</v>
      </c>
    </row>
    <row r="24" spans="1:5" x14ac:dyDescent="0.25">
      <c r="A24" s="18" t="s">
        <v>1626</v>
      </c>
      <c r="B24" s="18" t="str">
        <f>[1]!GetFolder(A24)</f>
        <v>C:\ProgramData\Documents\NOLANB\TASKS\DataEase_on_X64\Windows_Server_REFERENCE\CALL_OUT_UTIL_20130423_111142</v>
      </c>
      <c r="C24" s="18" t="str">
        <f>[1]!GetVersionInfo_WW(A24,3)</f>
        <v>2, 0, 1, 0</v>
      </c>
      <c r="D24" s="54">
        <v>40960</v>
      </c>
      <c r="E24" s="55">
        <v>40105.733217592591</v>
      </c>
    </row>
    <row r="25" spans="1:5" x14ac:dyDescent="0.25">
      <c r="A25" s="18" t="s">
        <v>1618</v>
      </c>
      <c r="B25" s="18" t="str">
        <f>[1]!GetFolder(A25)</f>
        <v>C:\Users\DAVE\Documents\Programming\VBScript\DelTempFiles</v>
      </c>
      <c r="C25" s="18" t="str">
        <f>[1]!GetVersionInfo_WW(A25,3)</f>
        <v>2, 0, 1, 0</v>
      </c>
      <c r="D25" s="54">
        <v>40960</v>
      </c>
      <c r="E25" s="55">
        <v>40105.733217592591</v>
      </c>
    </row>
    <row r="26" spans="1:5" x14ac:dyDescent="0.25">
      <c r="A26" s="18" t="s">
        <v>1617</v>
      </c>
      <c r="B26" s="18" t="str">
        <f>[1]!GetFolder(A26)</f>
        <v>C:\Users\DAVE\Documents\Programming\VBScript\ParseTaggedArgs</v>
      </c>
      <c r="C26" s="18" t="str">
        <f>[1]!GetVersionInfo_WW(A26,3)</f>
        <v>2, 0, 1, 0</v>
      </c>
      <c r="D26" s="54">
        <v>40960</v>
      </c>
      <c r="E26" s="55">
        <v>40105.733217592591</v>
      </c>
    </row>
    <row r="27" spans="1:5" x14ac:dyDescent="0.25">
      <c r="A27" s="18" t="s">
        <v>1609</v>
      </c>
      <c r="B27" s="18" t="str">
        <f>[1]!GetFolder(A27)</f>
        <v>C:\Users\Public\Documents\NOLANB\TASKS\DataEase_on_X64\Windows_Server_REFERENCE\CALL_OUT_UTIL_20130423_111142</v>
      </c>
      <c r="C27" s="18" t="str">
        <f>[1]!GetVersionInfo_WW(A27,3)</f>
        <v>2, 0, 1, 0</v>
      </c>
      <c r="D27" s="54">
        <v>40960</v>
      </c>
      <c r="E27" s="55">
        <v>40105.733217592591</v>
      </c>
    </row>
    <row r="28" spans="1:5" x14ac:dyDescent="0.25">
      <c r="A28" s="18" t="s">
        <v>1622</v>
      </c>
      <c r="B28" s="18" t="str">
        <f>[1]!GetFolder(A28)</f>
        <v>C:\ProgramData\Documents\NOLANB\_Installation_Packages\Remote\2013\20131016\REPORTS\UTIL_20130919_150654\WWWebLink_RMT</v>
      </c>
      <c r="C28" s="18" t="str">
        <f>[1]!GetVersionInfo_WW(A28,3)</f>
        <v>1, 0, 0, 5</v>
      </c>
      <c r="D28" s="54">
        <v>36864</v>
      </c>
      <c r="E28" s="55">
        <v>39816.661643518521</v>
      </c>
    </row>
    <row r="29" spans="1:5" x14ac:dyDescent="0.25">
      <c r="A29" s="18" t="s">
        <v>1605</v>
      </c>
      <c r="B29" s="18" t="str">
        <f>[1]!GetFolder(A29)</f>
        <v>C:\Users\Public\Documents\NOLANB\_Installation_Packages\Remote\2013\20131016\REPORTS\UTIL_20130919_150654\WWWebLink_RMT</v>
      </c>
      <c r="C29" s="18" t="str">
        <f>[1]!GetVersionInfo_WW(A29,3)</f>
        <v>1, 0, 0, 5</v>
      </c>
      <c r="D29" s="54">
        <v>36864</v>
      </c>
      <c r="E29" s="55">
        <v>39816.661643518521</v>
      </c>
    </row>
    <row r="30" spans="1:5" x14ac:dyDescent="0.25">
      <c r="A30" s="18" t="s">
        <v>1619</v>
      </c>
      <c r="B30" s="18" t="str">
        <f>[1]!GetFolder(A30)</f>
        <v>C:\ProgramData\Documents\Other_Clients\Justice_Marty\01144</v>
      </c>
      <c r="C30" s="18" t="str">
        <f>[1]!GetVersionInfo_WW(A30,3)</f>
        <v>1, 0, 0, 5</v>
      </c>
      <c r="D30" s="54">
        <v>36864</v>
      </c>
      <c r="E30" s="55">
        <v>39816.661620370367</v>
      </c>
    </row>
    <row r="31" spans="1:5" x14ac:dyDescent="0.25">
      <c r="A31" s="18" t="s">
        <v>1602</v>
      </c>
      <c r="B31" s="18" t="str">
        <f>[1]!GetFolder(A31)</f>
        <v>C:\Users\Public\Documents\Other_Clients\Justice_Marty\01144</v>
      </c>
      <c r="C31" s="18" t="str">
        <f>[1]!GetVersionInfo_WW(A31,3)</f>
        <v>1, 0, 0, 5</v>
      </c>
      <c r="D31" s="54">
        <v>36864</v>
      </c>
      <c r="E31" s="55">
        <v>39816.661620370367</v>
      </c>
    </row>
  </sheetData>
  <sortState ref="A2:E70">
    <sortCondition descending="1" ref="E2:E70"/>
    <sortCondition ref="B2:B70"/>
  </sortSt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E34"/>
  <sheetViews>
    <sheetView workbookViewId="0">
      <pane xSplit="1" ySplit="1" topLeftCell="B2" activePane="bottomRight" state="frozen"/>
      <selection pane="topRight" activeCell="B1" sqref="B1"/>
      <selection pane="bottomLeft" activeCell="A2" sqref="A2"/>
      <selection pane="bottomRight" activeCell="B4" sqref="B4"/>
    </sheetView>
  </sheetViews>
  <sheetFormatPr defaultRowHeight="15" x14ac:dyDescent="0.25"/>
  <cols>
    <col min="2" max="2" width="129.5" bestFit="1" customWidth="1"/>
    <col min="4" max="4" width="7.875" bestFit="1" customWidth="1"/>
    <col min="5" max="5" width="20.125" bestFit="1" customWidth="1"/>
  </cols>
  <sheetData>
    <row r="1" spans="1:5" ht="18" x14ac:dyDescent="0.25">
      <c r="A1" s="56" t="s">
        <v>1553</v>
      </c>
      <c r="B1" s="56" t="s">
        <v>1631</v>
      </c>
      <c r="C1" s="56" t="s">
        <v>1054</v>
      </c>
      <c r="D1" s="57" t="s">
        <v>1550</v>
      </c>
      <c r="E1" s="56" t="s">
        <v>1549</v>
      </c>
    </row>
    <row r="2" spans="1:5" x14ac:dyDescent="0.25">
      <c r="A2" s="58" t="s">
        <v>1664</v>
      </c>
      <c r="B2" s="58" t="str">
        <f>[1]!GetFolder(A2)</f>
        <v>C:\bin</v>
      </c>
      <c r="C2" s="58" t="str">
        <f>[1]!GetVersionInfo_WW(A2,3)</f>
        <v>1, 9, 0, 2</v>
      </c>
      <c r="D2" s="59">
        <v>21504</v>
      </c>
      <c r="E2" s="60">
        <v>42029.068090277775</v>
      </c>
    </row>
    <row r="3" spans="1:5" x14ac:dyDescent="0.25">
      <c r="A3" s="58" t="s">
        <v>1663</v>
      </c>
      <c r="B3" s="58" t="str">
        <f>[1]!GetFolder(A3)</f>
        <v>C:\Program Files (x86)\WinBatch\Redistrb</v>
      </c>
      <c r="C3" s="58" t="str">
        <f>[1]!GetVersionInfo_WW(A3,3)</f>
        <v>1, 9, 0, 1</v>
      </c>
      <c r="D3" s="59">
        <v>21504</v>
      </c>
      <c r="E3" s="60">
        <v>42029.068090277775</v>
      </c>
    </row>
    <row r="4" spans="1:5" x14ac:dyDescent="0.25">
      <c r="A4" s="58" t="s">
        <v>1662</v>
      </c>
      <c r="B4" s="58" t="str">
        <f>[1]!GetFolder(A4)</f>
        <v>C:\Program Files (x86)\WinBatch\System</v>
      </c>
      <c r="C4" s="58" t="str">
        <f>[1]!GetVersionInfo_WW(A4,3)</f>
        <v>1, 9, 0, 1</v>
      </c>
      <c r="D4" s="59">
        <v>21504</v>
      </c>
      <c r="E4" s="60">
        <v>42029.068090277775</v>
      </c>
    </row>
    <row r="5" spans="1:5" x14ac:dyDescent="0.25">
      <c r="A5" s="58" t="s">
        <v>1653</v>
      </c>
      <c r="B5" s="58" t="str">
        <f>[1]!GetFolder(A5)</f>
        <v>C:\ProgramData\Documents\NOLANB\_Installation_Packages\Remote\2015\20150209\AI_PKG_400</v>
      </c>
      <c r="C5" s="58" t="str">
        <f>[1]!GetVersionInfo_WW(A5,3)</f>
        <v>1, 9, 0, 1</v>
      </c>
      <c r="D5" s="59">
        <v>21504</v>
      </c>
      <c r="E5" s="60">
        <v>42029.068090277775</v>
      </c>
    </row>
    <row r="6" spans="1:5" x14ac:dyDescent="0.25">
      <c r="A6" s="58" t="s">
        <v>1651</v>
      </c>
      <c r="B6" s="58" t="str">
        <f>[1]!GetFolder(A6)</f>
        <v>C:\Users\DAVE\Documents\Articles_2015\Static_Buffers\FixedStringBuffers_1_0_0_1\LIB</v>
      </c>
      <c r="C6" s="58" t="str">
        <f>[1]!GetVersionInfo_WW(A6,3)</f>
        <v>1, 9, 0, 1</v>
      </c>
      <c r="D6" s="59">
        <v>21504</v>
      </c>
      <c r="E6" s="60">
        <v>42029.068090277775</v>
      </c>
    </row>
    <row r="7" spans="1:5" x14ac:dyDescent="0.25">
      <c r="A7" s="58" t="s">
        <v>1650</v>
      </c>
      <c r="B7" s="58" t="str">
        <f>[1]!GetFolder(A7)</f>
        <v>C:\Users\DAVE\Documents\Articles_2015\Static_Buffers\FixedStringBuffers_Binaries\LIB</v>
      </c>
      <c r="C7" s="58" t="str">
        <f>[1]!GetVersionInfo_WW(A7,3)</f>
        <v>1, 9, 0, 1</v>
      </c>
      <c r="D7" s="59">
        <v>21504</v>
      </c>
      <c r="E7" s="60">
        <v>42029.068090277775</v>
      </c>
    </row>
    <row r="8" spans="1:5" x14ac:dyDescent="0.25">
      <c r="A8" s="58" t="s">
        <v>1648</v>
      </c>
      <c r="B8" s="58" t="str">
        <f>[1]!GetFolder(A8)</f>
        <v>C:\Users\DAVE\Documents\Programming\Visual_Studio_6\DLL\P6VersionInfo\Release</v>
      </c>
      <c r="C8" s="58" t="str">
        <f>[1]!GetVersionInfo_WW(A8,3)</f>
        <v>1, 9, 0, 1</v>
      </c>
      <c r="D8" s="59">
        <v>21504</v>
      </c>
      <c r="E8" s="60">
        <v>42029.068090277775</v>
      </c>
    </row>
    <row r="9" spans="1:5" x14ac:dyDescent="0.25">
      <c r="A9" s="58" t="s">
        <v>1647</v>
      </c>
      <c r="B9" s="58" t="str">
        <f>[1]!GetFolder(A9)</f>
        <v>C:\Users\DAVE\Documents\Programming\Visual_Studio_6\DLL\WWWILMuscle44i\DISTRIB\WWWILMuscle</v>
      </c>
      <c r="C9" s="58" t="str">
        <f>[1]!GetVersionInfo_WW(A9,3)</f>
        <v>1, 9, 0, 1</v>
      </c>
      <c r="D9" s="59">
        <v>21504</v>
      </c>
      <c r="E9" s="60">
        <v>42029.068090277775</v>
      </c>
    </row>
    <row r="10" spans="1:5" x14ac:dyDescent="0.25">
      <c r="A10" s="58" t="s">
        <v>1646</v>
      </c>
      <c r="B10" s="58" t="str">
        <f>[1]!GetFolder(A10)</f>
        <v>C:\Users\DAVE\Documents\Programming\Visual_Studio_6\EXE\Console\SettingsChangeNotify\Debug</v>
      </c>
      <c r="C10" s="58" t="str">
        <f>[1]!GetVersionInfo_WW(A10,3)</f>
        <v>1, 9, 0, 1</v>
      </c>
      <c r="D10" s="59">
        <v>21504</v>
      </c>
      <c r="E10" s="60">
        <v>42029.068090277775</v>
      </c>
    </row>
    <row r="11" spans="1:5" x14ac:dyDescent="0.25">
      <c r="A11" s="58" t="s">
        <v>1645</v>
      </c>
      <c r="B11" s="58" t="str">
        <f>[1]!GetFolder(A11)</f>
        <v>C:\Users\DAVE\Documents\Programming\Visual_Studio_6\LIB</v>
      </c>
      <c r="C11" s="58" t="str">
        <f>[1]!GetVersionInfo_WW(A11,3)</f>
        <v>1, 9, 0, 2</v>
      </c>
      <c r="D11" s="59">
        <v>21504</v>
      </c>
      <c r="E11" s="60">
        <v>42029.068090277775</v>
      </c>
    </row>
    <row r="12" spans="1:5" x14ac:dyDescent="0.25">
      <c r="A12" s="58" t="s">
        <v>1634</v>
      </c>
      <c r="B12" s="58" t="str">
        <f>[1]!GetFolder(A12)</f>
        <v>C:\Users\Public\Documents\NOLANB\_Installation_Packages\Remote\2015\20150209\AI_PKG_400</v>
      </c>
      <c r="C12" s="58" t="str">
        <f>[1]!GetVersionInfo_WW(A12,3)</f>
        <v>1, 9, 0, 1</v>
      </c>
      <c r="D12" s="59">
        <v>21504</v>
      </c>
      <c r="E12" s="60">
        <v>42029.068090277775</v>
      </c>
    </row>
    <row r="13" spans="1:5" x14ac:dyDescent="0.25">
      <c r="A13" s="58" t="s">
        <v>1649</v>
      </c>
      <c r="B13" s="58" t="str">
        <f>[1]!GetFolder(A13)</f>
        <v>C:\Users\DAVE\Documents\Programming\Visual_Studio_6\DLL\P6VersionInfo\Debug</v>
      </c>
      <c r="C13" s="58" t="str">
        <f>[1]!GetVersionInfo_WW(A13,3)</f>
        <v>1, 9, 0, 1</v>
      </c>
      <c r="D13" s="59">
        <v>112769</v>
      </c>
      <c r="E13" s="60">
        <v>42028.702152777776</v>
      </c>
    </row>
    <row r="14" spans="1:5" x14ac:dyDescent="0.25">
      <c r="A14" s="58" t="s">
        <v>1661</v>
      </c>
      <c r="B14" s="58" t="str">
        <f>[1]!GetFolder(A14)</f>
        <v>C:\ProgramData\Documents\H_DEASE\AI_PKG_400</v>
      </c>
      <c r="C14" s="58" t="str">
        <f>[1]!GetVersionInfo_WW(A14,3)</f>
        <v>1, 9, 0, 0</v>
      </c>
      <c r="D14" s="59">
        <v>21504</v>
      </c>
      <c r="E14" s="60">
        <v>41876.126759259256</v>
      </c>
    </row>
    <row r="15" spans="1:5" x14ac:dyDescent="0.25">
      <c r="A15" s="58" t="s">
        <v>1660</v>
      </c>
      <c r="B15" s="58" t="str">
        <f>[1]!GetFolder(A15)</f>
        <v>C:\ProgramData\Documents\H_DEASE\UTIL_from_ZAPHOD42</v>
      </c>
      <c r="C15" s="58" t="str">
        <f>[1]!GetVersionInfo_WW(A15,3)</f>
        <v>1, 9, 0, 0</v>
      </c>
      <c r="D15" s="59">
        <v>21504</v>
      </c>
      <c r="E15" s="60">
        <v>41876.126759259256</v>
      </c>
    </row>
    <row r="16" spans="1:5" x14ac:dyDescent="0.25">
      <c r="A16" s="58" t="s">
        <v>1654</v>
      </c>
      <c r="B16" s="58" t="str">
        <f>[1]!GetFolder(A16)</f>
        <v>C:\ProgramData\Documents\NOLANB\_Installation_Packages\Remote\2014\20141010\AI_PKG_400</v>
      </c>
      <c r="C16" s="58" t="str">
        <f>[1]!GetVersionInfo_WW(A16,3)</f>
        <v>1, 9, 0, 0</v>
      </c>
      <c r="D16" s="59">
        <v>21504</v>
      </c>
      <c r="E16" s="60">
        <v>41876.126759259256</v>
      </c>
    </row>
    <row r="17" spans="1:5" x14ac:dyDescent="0.25">
      <c r="A17" s="58" t="s">
        <v>1652</v>
      </c>
      <c r="B17" s="58" t="str">
        <f>[1]!GetFolder(A17)</f>
        <v>C:\ProgramData\Documents\NOLANB\_Installation_Packages\UTIL_Reference</v>
      </c>
      <c r="C17" s="58" t="str">
        <f>[1]!GetVersionInfo_WW(A17,3)</f>
        <v>1, 9, 0, 0</v>
      </c>
      <c r="D17" s="59">
        <v>21504</v>
      </c>
      <c r="E17" s="60">
        <v>41876.126759259256</v>
      </c>
    </row>
    <row r="18" spans="1:5" x14ac:dyDescent="0.25">
      <c r="A18" s="58" t="s">
        <v>1642</v>
      </c>
      <c r="B18" s="58" t="str">
        <f>[1]!GetFolder(A18)</f>
        <v>C:\Users\Public\Documents\H_DEASE\AI_PKG_400</v>
      </c>
      <c r="C18" s="58" t="str">
        <f>[1]!GetVersionInfo_WW(A18,3)</f>
        <v>1, 9, 0, 0</v>
      </c>
      <c r="D18" s="59">
        <v>21504</v>
      </c>
      <c r="E18" s="60">
        <v>41876.126759259256</v>
      </c>
    </row>
    <row r="19" spans="1:5" x14ac:dyDescent="0.25">
      <c r="A19" s="58" t="s">
        <v>1641</v>
      </c>
      <c r="B19" s="58" t="str">
        <f>[1]!GetFolder(A19)</f>
        <v>C:\Users\Public\Documents\H_DEASE\UTIL_from_ZAPHOD42</v>
      </c>
      <c r="C19" s="58" t="str">
        <f>[1]!GetVersionInfo_WW(A19,3)</f>
        <v>1, 9, 0, 0</v>
      </c>
      <c r="D19" s="59">
        <v>21504</v>
      </c>
      <c r="E19" s="60">
        <v>41876.126759259256</v>
      </c>
    </row>
    <row r="20" spans="1:5" x14ac:dyDescent="0.25">
      <c r="A20" s="58" t="s">
        <v>1635</v>
      </c>
      <c r="B20" s="58" t="str">
        <f>[1]!GetFolder(A20)</f>
        <v>C:\Users\Public\Documents\NOLANB\_Installation_Packages\Remote\2014\20141010\AI_PKG_400</v>
      </c>
      <c r="C20" s="58" t="str">
        <f>[1]!GetVersionInfo_WW(A20,3)</f>
        <v>1, 9, 0, 0</v>
      </c>
      <c r="D20" s="59">
        <v>21504</v>
      </c>
      <c r="E20" s="60">
        <v>41876.126759259256</v>
      </c>
    </row>
    <row r="21" spans="1:5" x14ac:dyDescent="0.25">
      <c r="A21" s="58" t="s">
        <v>1633</v>
      </c>
      <c r="B21" s="58" t="str">
        <f>[1]!GetFolder(A21)</f>
        <v>C:\Users\Public\Documents\NOLANB\_Installation_Packages\UTIL_Reference</v>
      </c>
      <c r="C21" s="58" t="str">
        <f>[1]!GetVersionInfo_WW(A21,3)</f>
        <v>1, 9, 0, 0</v>
      </c>
      <c r="D21" s="59">
        <v>21504</v>
      </c>
      <c r="E21" s="60">
        <v>41876.126759259256</v>
      </c>
    </row>
    <row r="22" spans="1:5" x14ac:dyDescent="0.25">
      <c r="A22" s="58" t="s">
        <v>1632</v>
      </c>
      <c r="B22" s="58" t="str">
        <f>[1]!GetFolder(A22)</f>
        <v>C:\UTIL</v>
      </c>
      <c r="C22" s="58" t="str">
        <f>[1]!GetVersionInfo_WW(A22,3)</f>
        <v>1, 9, 0, 0</v>
      </c>
      <c r="D22" s="59">
        <v>21504</v>
      </c>
      <c r="E22" s="60">
        <v>41876.126747685186</v>
      </c>
    </row>
    <row r="23" spans="1:5" x14ac:dyDescent="0.25">
      <c r="A23" s="58" t="s">
        <v>1656</v>
      </c>
      <c r="B23" s="58" t="str">
        <f>[1]!GetFolder(A23)</f>
        <v>C:\ProgramData\Documents\NOLANB\_Installation_Packages\Remote\2013\20131016\400</v>
      </c>
      <c r="C23" s="58" t="str">
        <f>[1]!GetVersionInfo_WW(A23,3)</f>
        <v>1, 8, 0, 0</v>
      </c>
      <c r="D23" s="59">
        <v>22528</v>
      </c>
      <c r="E23" s="60">
        <v>41445.179606481484</v>
      </c>
    </row>
    <row r="24" spans="1:5" x14ac:dyDescent="0.25">
      <c r="A24" s="58" t="s">
        <v>1655</v>
      </c>
      <c r="B24" s="58" t="str">
        <f>[1]!GetFolder(A24)</f>
        <v>C:\ProgramData\Documents\NOLANB\_Installation_Packages\Remote\2013\20131016\REPORTS\UTIL_20130919_150654</v>
      </c>
      <c r="C24" s="58" t="str">
        <f>[1]!GetVersionInfo_WW(A24,3)</f>
        <v>1, 8, 0, 0</v>
      </c>
      <c r="D24" s="59">
        <v>22528</v>
      </c>
      <c r="E24" s="60">
        <v>41445.179606481484</v>
      </c>
    </row>
    <row r="25" spans="1:5" x14ac:dyDescent="0.25">
      <c r="A25" s="58" t="s">
        <v>1644</v>
      </c>
      <c r="B25" s="58" t="str">
        <f>[1]!GetFolder(A25)</f>
        <v>C:\Users\DAVE\Documents\Programming\WinBatch_Studio\Clients\NOLANB\EZSTART\NOTES\UTL_For_Testing</v>
      </c>
      <c r="C25" s="58" t="str">
        <f>[1]!GetVersionInfo_WW(A25,3)</f>
        <v>1, 8, 0, 0</v>
      </c>
      <c r="D25" s="59">
        <v>22528</v>
      </c>
      <c r="E25" s="60">
        <v>41445.179606481484</v>
      </c>
    </row>
    <row r="26" spans="1:5" x14ac:dyDescent="0.25">
      <c r="A26" s="58" t="s">
        <v>1643</v>
      </c>
      <c r="B26" s="58" t="str">
        <f>[1]!GetFolder(A26)</f>
        <v>C:\Users\DAVE\Documents\Programming\WinBatch_Studio\Clients\NOLANB\EZXFER</v>
      </c>
      <c r="C26" s="58" t="str">
        <f>[1]!GetVersionInfo_WW(A26,3)</f>
        <v>1, 8, 0, 0</v>
      </c>
      <c r="D26" s="59">
        <v>22528</v>
      </c>
      <c r="E26" s="60">
        <v>41445.179606481484</v>
      </c>
    </row>
    <row r="27" spans="1:5" x14ac:dyDescent="0.25">
      <c r="A27" s="58" t="s">
        <v>1637</v>
      </c>
      <c r="B27" s="58" t="str">
        <f>[1]!GetFolder(A27)</f>
        <v>C:\Users\Public\Documents\NOLANB\_Installation_Packages\Remote\2013\20131016\400</v>
      </c>
      <c r="C27" s="58" t="str">
        <f>[1]!GetVersionInfo_WW(A27,3)</f>
        <v>1, 8, 0, 0</v>
      </c>
      <c r="D27" s="59">
        <v>22528</v>
      </c>
      <c r="E27" s="60">
        <v>41445.179606481484</v>
      </c>
    </row>
    <row r="28" spans="1:5" x14ac:dyDescent="0.25">
      <c r="A28" s="58" t="s">
        <v>1636</v>
      </c>
      <c r="B28" s="58" t="str">
        <f>[1]!GetFolder(A28)</f>
        <v>C:\Users\Public\Documents\NOLANB\_Installation_Packages\Remote\2013\20131016\REPORTS\UTIL_20130919_150654</v>
      </c>
      <c r="C28" s="58" t="str">
        <f>[1]!GetVersionInfo_WW(A28,3)</f>
        <v>1, 8, 0, 0</v>
      </c>
      <c r="D28" s="59">
        <v>22528</v>
      </c>
      <c r="E28" s="60">
        <v>41445.179606481484</v>
      </c>
    </row>
    <row r="29" spans="1:5" x14ac:dyDescent="0.25">
      <c r="A29" s="58" t="s">
        <v>1659</v>
      </c>
      <c r="B29" s="58" t="str">
        <f>[1]!GetFolder(A29)</f>
        <v>C:\ProgramData\Documents\NOLANB\BACKUPS\_Misc_Backups\UTIL_DAGDEV\UTIL_Bare_Bones_20140129_114719</v>
      </c>
      <c r="C29" s="58" t="str">
        <f>[1]!GetVersionInfo_WW(A29,3)</f>
        <v>1, 8, 0, 0</v>
      </c>
      <c r="D29" s="59">
        <v>22528</v>
      </c>
      <c r="E29" s="60">
        <v>41445.137939814813</v>
      </c>
    </row>
    <row r="30" spans="1:5" x14ac:dyDescent="0.25">
      <c r="A30" s="58" t="s">
        <v>1658</v>
      </c>
      <c r="B30" s="58" t="str">
        <f>[1]!GetFolder(A30)</f>
        <v>C:\ProgramData\Documents\NOLANB\BACKUPS\_Misc_Backups\UTIL_DAGDEV\UTIL_Milestone_20140129_113158</v>
      </c>
      <c r="C30" s="58" t="str">
        <f>[1]!GetVersionInfo_WW(A30,3)</f>
        <v>1, 8, 0, 0</v>
      </c>
      <c r="D30" s="59">
        <v>22528</v>
      </c>
      <c r="E30" s="60">
        <v>41445.137939814813</v>
      </c>
    </row>
    <row r="31" spans="1:5" x14ac:dyDescent="0.25">
      <c r="A31" s="58" t="s">
        <v>1640</v>
      </c>
      <c r="B31" s="58" t="str">
        <f>[1]!GetFolder(A31)</f>
        <v>C:\Users\Public\Documents\NOLANB\BACKUPS\_Misc_Backups\UTIL_DAGDEV\UTIL_Bare_Bones_20140129_114719</v>
      </c>
      <c r="C31" s="58" t="str">
        <f>[1]!GetVersionInfo_WW(A31,3)</f>
        <v>1, 8, 0, 0</v>
      </c>
      <c r="D31" s="59">
        <v>22528</v>
      </c>
      <c r="E31" s="60">
        <v>41445.137939814813</v>
      </c>
    </row>
    <row r="32" spans="1:5" x14ac:dyDescent="0.25">
      <c r="A32" s="58" t="s">
        <v>1639</v>
      </c>
      <c r="B32" s="58" t="str">
        <f>[1]!GetFolder(A32)</f>
        <v>C:\Users\Public\Documents\NOLANB\BACKUPS\_Misc_Backups\UTIL_DAGDEV\UTIL_Milestone_20140129_113158</v>
      </c>
      <c r="C32" s="58" t="str">
        <f>[1]!GetVersionInfo_WW(A32,3)</f>
        <v>1, 8, 0, 0</v>
      </c>
      <c r="D32" s="59">
        <v>22528</v>
      </c>
      <c r="E32" s="60">
        <v>41445.137939814813</v>
      </c>
    </row>
    <row r="33" spans="1:5" x14ac:dyDescent="0.25">
      <c r="A33" s="58" t="s">
        <v>1657</v>
      </c>
      <c r="B33" s="58" t="str">
        <f>[1]!GetFolder(A33)</f>
        <v>C:\ProgramData\Documents\NOLANB\TASKS\DataEase_on_X64\Windows_Server_REFERENCE\UTIL_SQLSERVER2K</v>
      </c>
      <c r="C33" s="58" t="str">
        <f>[1]!GetVersionInfo_WW(A33,3)</f>
        <v>1, 7, 0, 2</v>
      </c>
      <c r="D33" s="59">
        <v>22016</v>
      </c>
      <c r="E33" s="60">
        <v>41107.136134259257</v>
      </c>
    </row>
    <row r="34" spans="1:5" x14ac:dyDescent="0.25">
      <c r="A34" s="58" t="s">
        <v>1638</v>
      </c>
      <c r="B34" s="58" t="str">
        <f>[1]!GetFolder(A34)</f>
        <v>C:\Users\Public\Documents\NOLANB\TASKS\DataEase_on_X64\Windows_Server_REFERENCE\UTIL_SQLSERVER2K</v>
      </c>
      <c r="C34" s="58" t="str">
        <f>[1]!GetVersionInfo_WW(A34,3)</f>
        <v>1, 7, 0, 2</v>
      </c>
      <c r="D34" s="59">
        <v>22016</v>
      </c>
      <c r="E34" s="60">
        <v>41107.136134259257</v>
      </c>
    </row>
  </sheetData>
  <sortState ref="A2:E73">
    <sortCondition descending="1" ref="E2:E73"/>
    <sortCondition ref="B2:B73"/>
  </sortState>
  <pageMargins left="0.7" right="0.7" top="0.75" bottom="0.75" header="0.3" footer="0.3"/>
  <pageSetup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abSelected="1" workbookViewId="0">
      <pane xSplit="1" ySplit="7" topLeftCell="D8" activePane="bottomRight" state="frozen"/>
      <selection pane="topRight" activeCell="B1" sqref="B1"/>
      <selection pane="bottomLeft" activeCell="A7" sqref="A7"/>
      <selection pane="bottomRight" activeCell="F1" sqref="F1"/>
    </sheetView>
  </sheetViews>
  <sheetFormatPr defaultRowHeight="15" x14ac:dyDescent="0.25"/>
  <cols>
    <col min="1" max="1" width="20" bestFit="1" customWidth="1"/>
    <col min="2" max="2" width="23.25" bestFit="1" customWidth="1"/>
    <col min="3" max="3" width="28.875" bestFit="1" customWidth="1"/>
    <col min="4" max="4" width="25.875" bestFit="1" customWidth="1"/>
    <col min="5" max="5" width="25.875" customWidth="1"/>
    <col min="6" max="6" width="108.875" bestFit="1" customWidth="1"/>
    <col min="7" max="7" width="19.125" bestFit="1" customWidth="1"/>
    <col min="8" max="8" width="7.125" bestFit="1" customWidth="1"/>
    <col min="9" max="9" width="108.875" bestFit="1" customWidth="1"/>
    <col min="10" max="10" width="19.125" bestFit="1" customWidth="1"/>
  </cols>
  <sheetData>
    <row r="1" spans="1:11" ht="18" x14ac:dyDescent="0.25">
      <c r="A1" s="32" t="s">
        <v>1691</v>
      </c>
    </row>
    <row r="2" spans="1:11" x14ac:dyDescent="0.25">
      <c r="A2" s="86" t="s">
        <v>1692</v>
      </c>
    </row>
    <row r="3" spans="1:11" x14ac:dyDescent="0.25">
      <c r="A3" s="85" t="s">
        <v>1693</v>
      </c>
    </row>
    <row r="4" spans="1:11" x14ac:dyDescent="0.25">
      <c r="A4" s="88" t="s">
        <v>1694</v>
      </c>
    </row>
    <row r="5" spans="1:11" x14ac:dyDescent="0.25">
      <c r="A5" s="8"/>
    </row>
    <row r="6" spans="1:11" ht="18" x14ac:dyDescent="0.25">
      <c r="A6" s="8"/>
      <c r="G6" s="66" t="s">
        <v>1714</v>
      </c>
      <c r="H6" s="68"/>
      <c r="J6" s="66" t="s">
        <v>1714</v>
      </c>
      <c r="K6" s="68"/>
    </row>
    <row r="7" spans="1:11" ht="18" x14ac:dyDescent="0.25">
      <c r="A7" s="32" t="s">
        <v>1680</v>
      </c>
      <c r="B7" s="32" t="s">
        <v>1688</v>
      </c>
      <c r="C7" s="32" t="s">
        <v>1695</v>
      </c>
      <c r="D7" s="32" t="s">
        <v>1696</v>
      </c>
      <c r="E7" s="32" t="s">
        <v>1729</v>
      </c>
      <c r="F7" s="32" t="s">
        <v>1713</v>
      </c>
      <c r="G7" s="32" t="s">
        <v>1715</v>
      </c>
      <c r="H7" s="32" t="s">
        <v>1716</v>
      </c>
      <c r="I7" s="32" t="s">
        <v>1712</v>
      </c>
      <c r="J7" s="32" t="s">
        <v>1715</v>
      </c>
      <c r="K7" s="32" t="s">
        <v>1716</v>
      </c>
    </row>
    <row r="8" spans="1:11" x14ac:dyDescent="0.25">
      <c r="A8" s="8" t="s">
        <v>1681</v>
      </c>
      <c r="B8" s="8"/>
      <c r="C8" s="8"/>
      <c r="D8" s="8"/>
      <c r="E8" s="8" t="str">
        <f>IF(LEN(D8)&gt;0,D8,IF(LEN(C8)&gt;0,C8,IF(LEN(B8)&gt;0,B8,IF(LEN(A8)&gt;0,A8,""))))</f>
        <v>WWConAid.dll</v>
      </c>
      <c r="F8" s="8" t="s">
        <v>1679</v>
      </c>
      <c r="G8" s="8" t="s">
        <v>1717</v>
      </c>
      <c r="H8" s="89">
        <v>0.95208333333333339</v>
      </c>
      <c r="I8" s="8" t="str">
        <f>IF(LEN(F8)&gt;0,SUBSTITUTE(F8,".dll",".lib"),"")</f>
        <v>C:\Users\DAVE\Documents\Programming\Visual_Studio_6\DLL\WWConAid\Release\WWConAid.lib</v>
      </c>
      <c r="J8" s="8" t="s">
        <v>1724</v>
      </c>
      <c r="K8" s="89">
        <v>0.95208333333333339</v>
      </c>
    </row>
    <row r="9" spans="1:11" x14ac:dyDescent="0.25">
      <c r="A9" s="8"/>
      <c r="B9" s="8" t="s">
        <v>1682</v>
      </c>
      <c r="C9" s="8"/>
      <c r="D9" s="8"/>
      <c r="E9" s="8" t="str">
        <f t="shared" ref="E9:E50" si="0">IF(LEN(D9)&gt;0,D9,IF(LEN(C9)&gt;0,C9,IF(LEN(B9)&gt;0,B9,IF(LEN(A9)&gt;0,A9,""))))</f>
        <v>FixedStringBuffers.dll</v>
      </c>
      <c r="F9" s="8" t="s">
        <v>1686</v>
      </c>
      <c r="G9" s="8" t="s">
        <v>1718</v>
      </c>
      <c r="H9" s="89">
        <v>0.76111111111111107</v>
      </c>
      <c r="I9" s="8" t="str">
        <f t="shared" ref="I9:I50" si="1">IF(LEN(F9)&gt;0,SUBSTITUTE(F9,".dll",".lib"),"")</f>
        <v>C:\Users\DAVE\Documents\Programming\Visual_Studio_6\DLL\FixedStringBuffers\Release\FixedStringBuffers.lib</v>
      </c>
      <c r="J9" s="8" t="s">
        <v>1724</v>
      </c>
      <c r="K9" s="89">
        <v>0.76180555555555562</v>
      </c>
    </row>
    <row r="10" spans="1:11" x14ac:dyDescent="0.25">
      <c r="A10" s="8"/>
      <c r="B10" s="8"/>
      <c r="C10" s="8" t="s">
        <v>1687</v>
      </c>
      <c r="D10" s="8"/>
      <c r="E10" s="8" t="str">
        <f t="shared" si="0"/>
        <v>ProcessInfo.dll</v>
      </c>
      <c r="F10" s="8" t="s">
        <v>1697</v>
      </c>
      <c r="G10" s="8" t="s">
        <v>1719</v>
      </c>
      <c r="H10" s="89">
        <v>0.95000000000000007</v>
      </c>
      <c r="I10" s="8" t="str">
        <f t="shared" si="1"/>
        <v>C:\Users\DAVE\Documents\Programming\Visual_Studio_6\DLL\ProcessInfo\Release\ProcessInfo.lib</v>
      </c>
      <c r="J10" s="8" t="s">
        <v>1725</v>
      </c>
      <c r="K10" s="89">
        <v>0.95000000000000007</v>
      </c>
    </row>
    <row r="11" spans="1:11" x14ac:dyDescent="0.25">
      <c r="A11" s="8"/>
      <c r="B11" s="8"/>
      <c r="C11" s="8"/>
      <c r="D11" s="87" t="s">
        <v>1698</v>
      </c>
      <c r="E11" s="87" t="str">
        <f t="shared" si="0"/>
        <v>PSAPI.DLL</v>
      </c>
      <c r="F11" s="8"/>
      <c r="G11" s="8"/>
      <c r="H11" s="89"/>
      <c r="I11" s="8" t="str">
        <f t="shared" si="1"/>
        <v/>
      </c>
      <c r="J11" s="8"/>
      <c r="K11" s="89"/>
    </row>
    <row r="12" spans="1:11" x14ac:dyDescent="0.25">
      <c r="A12" s="8"/>
      <c r="B12" s="8"/>
      <c r="C12" s="8"/>
      <c r="D12" s="87" t="s">
        <v>1689</v>
      </c>
      <c r="E12" s="87" t="str">
        <f t="shared" si="0"/>
        <v>SHLWAPI.dll</v>
      </c>
      <c r="F12" s="8"/>
      <c r="G12" s="8"/>
      <c r="H12" s="89"/>
      <c r="I12" s="8" t="str">
        <f t="shared" si="1"/>
        <v/>
      </c>
      <c r="J12" s="8"/>
      <c r="K12" s="89"/>
    </row>
    <row r="13" spans="1:11" x14ac:dyDescent="0.25">
      <c r="A13" s="8"/>
      <c r="B13" s="8"/>
      <c r="C13" s="8"/>
      <c r="D13" s="83" t="s">
        <v>1683</v>
      </c>
      <c r="E13" s="83" t="str">
        <f t="shared" si="0"/>
        <v>WWKernelLibWrapper.dll</v>
      </c>
      <c r="F13" s="8" t="str">
        <f>F23</f>
        <v>C:\Users\DAVE\Documents\Programming\Visual_Studio_6\DLL\WWKernelLibWrapper\Release\WWKernelLibWrapper.dll</v>
      </c>
      <c r="G13" s="8" t="str">
        <f t="shared" ref="G13:K13" si="2">G23</f>
        <v>2015-10-28 @ 18:06</v>
      </c>
      <c r="H13" s="89">
        <f t="shared" si="2"/>
        <v>0.95277777777777783</v>
      </c>
      <c r="I13" s="8" t="str">
        <f t="shared" si="1"/>
        <v>C:\Users\DAVE\Documents\Programming\Visual_Studio_6\DLL\WWKernelLibWrapper\Release\WWKernelLibWrapper.lib</v>
      </c>
      <c r="J13" s="8" t="str">
        <f t="shared" si="2"/>
        <v>2015-10-28 @ 18:13</v>
      </c>
      <c r="K13" s="89">
        <f t="shared" si="2"/>
        <v>0.95277777777777783</v>
      </c>
    </row>
    <row r="14" spans="1:11" x14ac:dyDescent="0.25">
      <c r="A14" s="8"/>
      <c r="B14" s="8"/>
      <c r="C14" s="8"/>
      <c r="D14" s="84" t="s">
        <v>1684</v>
      </c>
      <c r="E14" s="84" t="str">
        <f t="shared" si="0"/>
        <v>KERNEL32.dll</v>
      </c>
      <c r="F14" s="8"/>
      <c r="G14" s="8"/>
      <c r="H14" s="89"/>
      <c r="I14" s="8" t="str">
        <f t="shared" si="1"/>
        <v/>
      </c>
      <c r="J14" s="8"/>
      <c r="K14" s="89"/>
    </row>
    <row r="15" spans="1:11" x14ac:dyDescent="0.25">
      <c r="A15" s="8"/>
      <c r="B15" s="8"/>
      <c r="C15" s="8"/>
      <c r="D15" s="84" t="s">
        <v>1690</v>
      </c>
      <c r="E15" s="84" t="str">
        <f t="shared" si="0"/>
        <v>USER32.dll</v>
      </c>
      <c r="F15" s="8"/>
      <c r="G15" s="8"/>
      <c r="H15" s="89"/>
      <c r="I15" s="8" t="str">
        <f t="shared" si="1"/>
        <v/>
      </c>
      <c r="J15" s="8"/>
      <c r="K15" s="89"/>
    </row>
    <row r="16" spans="1:11" x14ac:dyDescent="0.25">
      <c r="A16" s="8"/>
      <c r="B16" s="8"/>
      <c r="C16" s="8"/>
      <c r="D16" s="84" t="s">
        <v>1699</v>
      </c>
      <c r="E16" s="84" t="str">
        <f t="shared" si="0"/>
        <v>ADVAPI32.dll</v>
      </c>
      <c r="F16" s="8"/>
      <c r="G16" s="8"/>
      <c r="H16" s="89"/>
      <c r="I16" s="8" t="str">
        <f t="shared" si="1"/>
        <v/>
      </c>
      <c r="J16" s="8"/>
      <c r="K16" s="89"/>
    </row>
    <row r="17" spans="1:11" x14ac:dyDescent="0.25">
      <c r="A17" s="8"/>
      <c r="B17" s="8"/>
      <c r="C17" s="8"/>
      <c r="D17" s="87" t="s">
        <v>1700</v>
      </c>
      <c r="E17" s="87" t="str">
        <f t="shared" si="0"/>
        <v>MSVCRT.dll</v>
      </c>
      <c r="F17" s="8"/>
      <c r="G17" s="8"/>
      <c r="H17" s="89"/>
      <c r="I17" s="8" t="str">
        <f t="shared" si="1"/>
        <v/>
      </c>
      <c r="J17" s="8"/>
      <c r="K17" s="89"/>
    </row>
    <row r="18" spans="1:11" x14ac:dyDescent="0.25">
      <c r="A18" s="8"/>
      <c r="B18" s="8"/>
      <c r="C18" s="83" t="s">
        <v>1683</v>
      </c>
      <c r="D18" s="83"/>
      <c r="E18" s="83" t="str">
        <f t="shared" si="0"/>
        <v>WWKernelLibWrapper.dll</v>
      </c>
      <c r="F18" s="8" t="str">
        <f>F23</f>
        <v>C:\Users\DAVE\Documents\Programming\Visual_Studio_6\DLL\WWKernelLibWrapper\Release\WWKernelLibWrapper.dll</v>
      </c>
      <c r="G18" s="8" t="str">
        <f>G23</f>
        <v>2015-10-28 @ 18:06</v>
      </c>
      <c r="H18" s="89">
        <f>H23</f>
        <v>0.95277777777777783</v>
      </c>
      <c r="I18" s="8" t="str">
        <f t="shared" si="1"/>
        <v>C:\Users\DAVE\Documents\Programming\Visual_Studio_6\DLL\WWKernelLibWrapper\Release\WWKernelLibWrapper.lib</v>
      </c>
      <c r="J18" s="8" t="str">
        <f t="shared" ref="J18:K18" si="3">J23</f>
        <v>2015-10-28 @ 18:13</v>
      </c>
      <c r="K18" s="89">
        <f t="shared" si="3"/>
        <v>0.95277777777777783</v>
      </c>
    </row>
    <row r="19" spans="1:11" x14ac:dyDescent="0.25">
      <c r="A19" s="8"/>
      <c r="B19" s="8"/>
      <c r="C19" s="84" t="s">
        <v>1689</v>
      </c>
      <c r="D19" s="84"/>
      <c r="E19" s="84" t="str">
        <f t="shared" si="0"/>
        <v>SHLWAPI.dll</v>
      </c>
      <c r="F19" s="8"/>
      <c r="G19" s="8"/>
      <c r="H19" s="89"/>
      <c r="I19" s="8" t="str">
        <f t="shared" si="1"/>
        <v/>
      </c>
      <c r="J19" s="8"/>
      <c r="K19" s="89"/>
    </row>
    <row r="20" spans="1:11" x14ac:dyDescent="0.25">
      <c r="A20" s="8"/>
      <c r="B20" s="8"/>
      <c r="C20" s="84" t="s">
        <v>1684</v>
      </c>
      <c r="D20" s="84"/>
      <c r="E20" s="84" t="str">
        <f t="shared" si="0"/>
        <v>KERNEL32.dll</v>
      </c>
      <c r="F20" s="8"/>
      <c r="G20" s="8"/>
      <c r="H20" s="89"/>
      <c r="I20" s="8" t="str">
        <f t="shared" si="1"/>
        <v/>
      </c>
      <c r="J20" s="8"/>
      <c r="K20" s="89"/>
    </row>
    <row r="21" spans="1:11" x14ac:dyDescent="0.25">
      <c r="A21" s="8"/>
      <c r="B21" s="8"/>
      <c r="C21" s="84" t="s">
        <v>1690</v>
      </c>
      <c r="D21" s="84"/>
      <c r="E21" s="84" t="str">
        <f t="shared" si="0"/>
        <v>USER32.dll</v>
      </c>
      <c r="F21" s="8"/>
      <c r="G21" s="8"/>
      <c r="H21" s="89"/>
      <c r="I21" s="8" t="str">
        <f t="shared" si="1"/>
        <v/>
      </c>
      <c r="J21" s="8"/>
      <c r="K21" s="89"/>
    </row>
    <row r="22" spans="1:11" x14ac:dyDescent="0.25">
      <c r="A22" s="8"/>
      <c r="B22" s="8"/>
      <c r="C22" s="87" t="s">
        <v>1685</v>
      </c>
      <c r="D22" s="87"/>
      <c r="E22" s="87" t="str">
        <f t="shared" si="0"/>
        <v>MSVCR120.dll</v>
      </c>
      <c r="F22" s="8"/>
      <c r="G22" s="8"/>
      <c r="H22" s="89"/>
      <c r="I22" s="8" t="str">
        <f t="shared" si="1"/>
        <v/>
      </c>
      <c r="J22" s="8"/>
      <c r="K22" s="89"/>
    </row>
    <row r="23" spans="1:11" x14ac:dyDescent="0.25">
      <c r="A23" s="8"/>
      <c r="B23" s="83" t="s">
        <v>1683</v>
      </c>
      <c r="C23" s="8"/>
      <c r="D23" s="8"/>
      <c r="E23" s="8" t="str">
        <f t="shared" si="0"/>
        <v>WWKernelLibWrapper.dll</v>
      </c>
      <c r="F23" s="8" t="s">
        <v>1701</v>
      </c>
      <c r="G23" s="8" t="s">
        <v>1723</v>
      </c>
      <c r="H23" s="89">
        <v>0.95277777777777783</v>
      </c>
      <c r="I23" s="8" t="str">
        <f t="shared" si="1"/>
        <v>C:\Users\DAVE\Documents\Programming\Visual_Studio_6\DLL\WWKernelLibWrapper\Release\WWKernelLibWrapper.lib</v>
      </c>
      <c r="J23" s="8" t="s">
        <v>1726</v>
      </c>
      <c r="K23" s="89">
        <v>0.95277777777777783</v>
      </c>
    </row>
    <row r="24" spans="1:11" x14ac:dyDescent="0.25">
      <c r="A24" s="8"/>
      <c r="B24" s="8"/>
      <c r="C24" s="84" t="s">
        <v>1689</v>
      </c>
      <c r="D24" s="8"/>
      <c r="E24" s="8" t="str">
        <f t="shared" si="0"/>
        <v>SHLWAPI.dll</v>
      </c>
      <c r="F24" s="8"/>
      <c r="G24" s="8"/>
      <c r="H24" s="89"/>
      <c r="I24" s="8" t="str">
        <f t="shared" si="1"/>
        <v/>
      </c>
      <c r="J24" s="8"/>
      <c r="K24" s="89"/>
    </row>
    <row r="25" spans="1:11" x14ac:dyDescent="0.25">
      <c r="A25" s="8"/>
      <c r="B25" s="8"/>
      <c r="C25" s="84" t="s">
        <v>1684</v>
      </c>
      <c r="D25" s="8"/>
      <c r="E25" s="8" t="str">
        <f t="shared" si="0"/>
        <v>KERNEL32.dll</v>
      </c>
      <c r="F25" s="8"/>
      <c r="G25" s="8"/>
      <c r="H25" s="89"/>
      <c r="I25" s="8" t="str">
        <f t="shared" si="1"/>
        <v/>
      </c>
      <c r="J25" s="8"/>
      <c r="K25" s="89"/>
    </row>
    <row r="26" spans="1:11" x14ac:dyDescent="0.25">
      <c r="A26" s="8"/>
      <c r="B26" s="8"/>
      <c r="C26" s="84" t="s">
        <v>1685</v>
      </c>
      <c r="D26" s="8"/>
      <c r="E26" s="8" t="str">
        <f t="shared" si="0"/>
        <v>MSVCR120.dll</v>
      </c>
      <c r="F26" s="8"/>
      <c r="G26" s="8"/>
      <c r="H26" s="89"/>
      <c r="I26" s="8" t="str">
        <f t="shared" si="1"/>
        <v/>
      </c>
      <c r="J26" s="8"/>
      <c r="K26" s="89"/>
    </row>
    <row r="27" spans="1:11" x14ac:dyDescent="0.25">
      <c r="A27" s="8"/>
      <c r="B27" s="84" t="s">
        <v>1684</v>
      </c>
      <c r="C27" s="8"/>
      <c r="D27" s="8"/>
      <c r="E27" s="8" t="str">
        <f t="shared" si="0"/>
        <v>KERNEL32.dll</v>
      </c>
      <c r="F27" s="8"/>
      <c r="G27" s="8"/>
      <c r="H27" s="89"/>
      <c r="I27" s="8" t="str">
        <f t="shared" si="1"/>
        <v/>
      </c>
      <c r="J27" s="8"/>
      <c r="K27" s="89"/>
    </row>
    <row r="28" spans="1:11" x14ac:dyDescent="0.25">
      <c r="A28" s="8"/>
      <c r="B28" s="87" t="s">
        <v>1685</v>
      </c>
      <c r="C28" s="8"/>
      <c r="D28" s="8"/>
      <c r="E28" s="8" t="str">
        <f t="shared" si="0"/>
        <v>MSVCR120.dll</v>
      </c>
      <c r="F28" s="8"/>
      <c r="G28" s="8"/>
      <c r="H28" s="89"/>
      <c r="I28" s="8" t="str">
        <f t="shared" si="1"/>
        <v/>
      </c>
      <c r="J28" s="8"/>
      <c r="K28" s="89"/>
    </row>
    <row r="29" spans="1:11" x14ac:dyDescent="0.25">
      <c r="A29" s="8" t="s">
        <v>1703</v>
      </c>
      <c r="B29" s="8"/>
      <c r="C29" s="8"/>
      <c r="D29" s="8"/>
      <c r="E29" s="8" t="str">
        <f t="shared" si="0"/>
        <v>P6CUtilLib1.dll</v>
      </c>
      <c r="F29" s="8" t="s">
        <v>1702</v>
      </c>
      <c r="G29" s="8" t="s">
        <v>1720</v>
      </c>
      <c r="H29" s="89">
        <v>0.9472222222222223</v>
      </c>
      <c r="I29" s="8" t="str">
        <f t="shared" si="1"/>
        <v>C:\Users\DAVE\Documents\Programming\Visual_Studio_6\DLL\P6CUtilLib1\Release\P6CUtilLib1.lib</v>
      </c>
      <c r="J29" s="8" t="s">
        <v>1727</v>
      </c>
      <c r="K29" s="89">
        <v>0.9472222222222223</v>
      </c>
    </row>
    <row r="30" spans="1:11" x14ac:dyDescent="0.25">
      <c r="A30" s="8"/>
      <c r="B30" s="84" t="s">
        <v>1684</v>
      </c>
      <c r="C30" s="8"/>
      <c r="D30" s="8"/>
      <c r="E30" s="8" t="str">
        <f t="shared" si="0"/>
        <v>KERNEL32.dll</v>
      </c>
      <c r="F30" s="8"/>
      <c r="G30" s="8"/>
      <c r="H30" s="89"/>
      <c r="I30" s="8" t="str">
        <f t="shared" si="1"/>
        <v/>
      </c>
      <c r="J30" s="8"/>
      <c r="K30" s="89"/>
    </row>
    <row r="31" spans="1:11" x14ac:dyDescent="0.25">
      <c r="A31" s="8"/>
      <c r="B31" s="84" t="s">
        <v>1690</v>
      </c>
      <c r="C31" s="8"/>
      <c r="D31" s="8"/>
      <c r="E31" s="8" t="str">
        <f t="shared" si="0"/>
        <v>USER32.dll</v>
      </c>
      <c r="F31" s="8"/>
      <c r="G31" s="8"/>
      <c r="H31" s="89"/>
      <c r="I31" s="8" t="str">
        <f t="shared" si="1"/>
        <v/>
      </c>
      <c r="J31" s="8"/>
      <c r="K31" s="89"/>
    </row>
    <row r="32" spans="1:11" x14ac:dyDescent="0.25">
      <c r="A32" s="8"/>
      <c r="B32" s="84" t="s">
        <v>1704</v>
      </c>
      <c r="C32" s="8"/>
      <c r="D32" s="8"/>
      <c r="E32" s="8" t="str">
        <f t="shared" si="0"/>
        <v>SHELL32.dll</v>
      </c>
      <c r="F32" s="8"/>
      <c r="G32" s="8"/>
      <c r="H32" s="89"/>
      <c r="I32" s="8" t="str">
        <f t="shared" si="1"/>
        <v/>
      </c>
      <c r="J32" s="8"/>
      <c r="K32" s="89"/>
    </row>
    <row r="33" spans="1:11" x14ac:dyDescent="0.25">
      <c r="A33" s="8"/>
      <c r="B33" s="84" t="s">
        <v>1705</v>
      </c>
      <c r="C33" s="8"/>
      <c r="D33" s="8"/>
      <c r="E33" s="8" t="str">
        <f t="shared" si="0"/>
        <v>OLEAUT32.dll</v>
      </c>
      <c r="F33" s="8"/>
      <c r="G33" s="8"/>
      <c r="H33" s="89"/>
      <c r="I33" s="8" t="str">
        <f t="shared" si="1"/>
        <v/>
      </c>
      <c r="J33" s="8"/>
      <c r="K33" s="89"/>
    </row>
    <row r="34" spans="1:11" x14ac:dyDescent="0.25">
      <c r="A34" s="8"/>
      <c r="B34" s="84" t="s">
        <v>1706</v>
      </c>
      <c r="C34" s="8"/>
      <c r="D34" s="8"/>
      <c r="E34" s="8" t="str">
        <f t="shared" si="0"/>
        <v>NETAPI32.dll</v>
      </c>
      <c r="F34" s="8"/>
      <c r="G34" s="8"/>
      <c r="H34" s="89"/>
      <c r="I34" s="8" t="str">
        <f t="shared" si="1"/>
        <v/>
      </c>
      <c r="J34" s="8"/>
      <c r="K34" s="89"/>
    </row>
    <row r="35" spans="1:11" x14ac:dyDescent="0.25">
      <c r="A35" s="8"/>
      <c r="B35" s="84" t="s">
        <v>1698</v>
      </c>
      <c r="C35" s="8"/>
      <c r="D35" s="8"/>
      <c r="E35" s="8" t="str">
        <f t="shared" si="0"/>
        <v>PSAPI.DLL</v>
      </c>
      <c r="F35" s="8"/>
      <c r="G35" s="8"/>
      <c r="H35" s="89"/>
      <c r="I35" s="8" t="str">
        <f t="shared" si="1"/>
        <v/>
      </c>
      <c r="J35" s="8"/>
      <c r="K35" s="89"/>
    </row>
    <row r="36" spans="1:11" x14ac:dyDescent="0.25">
      <c r="A36" s="8"/>
      <c r="B36" s="8" t="s">
        <v>1707</v>
      </c>
      <c r="C36" s="8"/>
      <c r="D36" s="8"/>
      <c r="E36" s="8" t="str">
        <f t="shared" si="0"/>
        <v>P6CStringLib1.dll</v>
      </c>
      <c r="F36" s="8" t="s">
        <v>1709</v>
      </c>
      <c r="G36" s="8" t="s">
        <v>1721</v>
      </c>
      <c r="H36" s="89">
        <v>0.95347222222222217</v>
      </c>
      <c r="I36" s="8" t="str">
        <f t="shared" si="1"/>
        <v>C:\Users\DAVE\Documents\Programming\Visual_Studio_6\DLL\P6CStringLib1\Release\P6CStringLib1.lib</v>
      </c>
      <c r="J36" s="8" t="s">
        <v>1728</v>
      </c>
      <c r="K36" s="89">
        <v>0.95347222222222217</v>
      </c>
    </row>
    <row r="37" spans="1:11" x14ac:dyDescent="0.25">
      <c r="A37" s="8"/>
      <c r="B37" s="8"/>
      <c r="C37" s="8" t="s">
        <v>1710</v>
      </c>
      <c r="D37" s="8"/>
      <c r="E37" s="8" t="str">
        <f t="shared" si="0"/>
        <v>SafeMemCpy.dll</v>
      </c>
      <c r="F37" s="8" t="s">
        <v>1711</v>
      </c>
      <c r="G37" s="89" t="s">
        <v>1722</v>
      </c>
      <c r="H37" s="89">
        <v>0.95138888888888884</v>
      </c>
      <c r="I37" s="8" t="str">
        <f t="shared" si="1"/>
        <v>C:\Users\DAVE\Documents\Programming\Visual_Studio_6\DLL\SafeMemCpy\Release\SafeMemCpy.lib</v>
      </c>
      <c r="J37" s="8" t="s">
        <v>1728</v>
      </c>
      <c r="K37" s="89">
        <v>0.95138888888888884</v>
      </c>
    </row>
    <row r="38" spans="1:11" x14ac:dyDescent="0.25">
      <c r="A38" s="8"/>
      <c r="B38" s="8"/>
      <c r="C38" s="8"/>
      <c r="D38" s="84" t="s">
        <v>1684</v>
      </c>
      <c r="E38" s="84" t="str">
        <f t="shared" si="0"/>
        <v>KERNEL32.dll</v>
      </c>
      <c r="F38" s="8"/>
      <c r="G38" s="8"/>
      <c r="H38" s="89"/>
      <c r="I38" s="8" t="str">
        <f t="shared" si="1"/>
        <v/>
      </c>
      <c r="J38" s="8"/>
      <c r="K38" s="89"/>
    </row>
    <row r="39" spans="1:11" x14ac:dyDescent="0.25">
      <c r="A39" s="8"/>
      <c r="B39" s="8"/>
      <c r="C39" s="8"/>
      <c r="D39" s="87" t="s">
        <v>1700</v>
      </c>
      <c r="E39" s="87" t="str">
        <f t="shared" si="0"/>
        <v>MSVCRT.dll</v>
      </c>
      <c r="F39" s="8"/>
      <c r="G39" s="8"/>
      <c r="H39" s="89"/>
      <c r="I39" s="8" t="str">
        <f t="shared" si="1"/>
        <v/>
      </c>
      <c r="J39" s="8"/>
      <c r="K39" s="89"/>
    </row>
    <row r="40" spans="1:11" x14ac:dyDescent="0.25">
      <c r="A40" s="8"/>
      <c r="B40" s="8"/>
      <c r="C40" s="83" t="s">
        <v>1683</v>
      </c>
      <c r="D40" s="8"/>
      <c r="E40" s="8" t="str">
        <f t="shared" si="0"/>
        <v>WWKernelLibWrapper.dll</v>
      </c>
      <c r="F40" s="8" t="str">
        <f>F23</f>
        <v>C:\Users\DAVE\Documents\Programming\Visual_Studio_6\DLL\WWKernelLibWrapper\Release\WWKernelLibWrapper.dll</v>
      </c>
      <c r="G40" s="8" t="str">
        <f t="shared" ref="G40:K40" si="4">G23</f>
        <v>2015-10-28 @ 18:06</v>
      </c>
      <c r="H40" s="89">
        <f t="shared" si="4"/>
        <v>0.95277777777777783</v>
      </c>
      <c r="I40" s="8" t="str">
        <f t="shared" si="1"/>
        <v>C:\Users\DAVE\Documents\Programming\Visual_Studio_6\DLL\WWKernelLibWrapper\Release\WWKernelLibWrapper.lib</v>
      </c>
      <c r="J40" s="8" t="str">
        <f t="shared" si="4"/>
        <v>2015-10-28 @ 18:13</v>
      </c>
      <c r="K40" s="89">
        <f t="shared" si="4"/>
        <v>0.95277777777777783</v>
      </c>
    </row>
    <row r="41" spans="1:11" x14ac:dyDescent="0.25">
      <c r="A41" s="8"/>
      <c r="B41" s="8"/>
      <c r="C41" s="84" t="s">
        <v>1689</v>
      </c>
      <c r="D41" s="8"/>
      <c r="E41" s="8" t="str">
        <f t="shared" si="0"/>
        <v>SHLWAPI.dll</v>
      </c>
      <c r="F41" s="8"/>
      <c r="G41" s="8"/>
      <c r="H41" s="89"/>
      <c r="I41" s="8" t="str">
        <f t="shared" si="1"/>
        <v/>
      </c>
      <c r="J41" s="8"/>
      <c r="K41" s="89"/>
    </row>
    <row r="42" spans="1:11" x14ac:dyDescent="0.25">
      <c r="A42" s="8"/>
      <c r="B42" s="8"/>
      <c r="C42" s="84" t="s">
        <v>1684</v>
      </c>
      <c r="D42" s="8"/>
      <c r="E42" s="8" t="str">
        <f t="shared" si="0"/>
        <v>KERNEL32.dll</v>
      </c>
      <c r="F42" s="8"/>
      <c r="G42" s="8"/>
      <c r="H42" s="89"/>
      <c r="I42" s="8" t="str">
        <f t="shared" si="1"/>
        <v/>
      </c>
      <c r="J42" s="8"/>
      <c r="K42" s="89"/>
    </row>
    <row r="43" spans="1:11" x14ac:dyDescent="0.25">
      <c r="A43" s="8"/>
      <c r="B43" s="8"/>
      <c r="C43" s="84" t="s">
        <v>1690</v>
      </c>
      <c r="D43" s="8"/>
      <c r="E43" s="8" t="str">
        <f t="shared" si="0"/>
        <v>USER32.dll</v>
      </c>
      <c r="F43" s="8"/>
      <c r="G43" s="8"/>
      <c r="H43" s="89"/>
      <c r="I43" s="8" t="str">
        <f t="shared" si="1"/>
        <v/>
      </c>
      <c r="J43" s="8"/>
      <c r="K43" s="89"/>
    </row>
    <row r="44" spans="1:11" x14ac:dyDescent="0.25">
      <c r="A44" s="8"/>
      <c r="B44" s="8"/>
      <c r="C44" s="84" t="s">
        <v>1705</v>
      </c>
      <c r="D44" s="8"/>
      <c r="E44" s="8" t="str">
        <f t="shared" si="0"/>
        <v>OLEAUT32.dll</v>
      </c>
      <c r="F44" s="8"/>
      <c r="G44" s="8"/>
      <c r="H44" s="89"/>
      <c r="I44" s="8" t="str">
        <f t="shared" si="1"/>
        <v/>
      </c>
      <c r="J44" s="8"/>
      <c r="K44" s="89"/>
    </row>
    <row r="45" spans="1:11" x14ac:dyDescent="0.25">
      <c r="A45" s="8"/>
      <c r="B45" s="8"/>
      <c r="C45" s="87" t="s">
        <v>1685</v>
      </c>
      <c r="D45" s="8"/>
      <c r="E45" s="8" t="str">
        <f t="shared" si="0"/>
        <v>MSVCR120.dll</v>
      </c>
      <c r="F45" s="8"/>
      <c r="G45" s="8"/>
      <c r="H45" s="89"/>
      <c r="I45" s="8" t="str">
        <f t="shared" si="1"/>
        <v/>
      </c>
      <c r="J45" s="8"/>
      <c r="K45" s="89"/>
    </row>
    <row r="46" spans="1:11" x14ac:dyDescent="0.25">
      <c r="A46" s="8"/>
      <c r="B46" s="8"/>
      <c r="C46" s="84" t="s">
        <v>1699</v>
      </c>
      <c r="D46" s="8"/>
      <c r="E46" s="8" t="str">
        <f t="shared" si="0"/>
        <v>ADVAPI32.dll</v>
      </c>
      <c r="F46" s="8"/>
      <c r="G46" s="8"/>
      <c r="H46" s="89"/>
      <c r="I46" s="8" t="str">
        <f t="shared" si="1"/>
        <v/>
      </c>
      <c r="J46" s="8"/>
      <c r="K46" s="89"/>
    </row>
    <row r="47" spans="1:11" x14ac:dyDescent="0.25">
      <c r="A47" s="8"/>
      <c r="B47" s="87" t="s">
        <v>1700</v>
      </c>
      <c r="C47" s="8"/>
      <c r="D47" s="8"/>
      <c r="E47" s="8" t="str">
        <f t="shared" si="0"/>
        <v>MSVCRT.dll</v>
      </c>
      <c r="F47" s="8"/>
      <c r="G47" s="8"/>
      <c r="H47" s="89"/>
      <c r="I47" s="8" t="str">
        <f t="shared" si="1"/>
        <v/>
      </c>
      <c r="J47" s="8"/>
      <c r="K47" s="89"/>
    </row>
    <row r="48" spans="1:11" x14ac:dyDescent="0.25">
      <c r="A48" s="8"/>
      <c r="B48" s="84" t="s">
        <v>1708</v>
      </c>
      <c r="C48" s="8"/>
      <c r="D48" s="8"/>
      <c r="E48" s="8" t="str">
        <f t="shared" si="0"/>
        <v>comdlg32.dll</v>
      </c>
      <c r="F48" s="8"/>
      <c r="G48" s="8"/>
      <c r="H48" s="89"/>
      <c r="I48" s="8" t="str">
        <f t="shared" si="1"/>
        <v/>
      </c>
      <c r="J48" s="8"/>
      <c r="K48" s="89"/>
    </row>
    <row r="49" spans="1:11" x14ac:dyDescent="0.25">
      <c r="A49" s="8"/>
      <c r="B49" s="83" t="s">
        <v>1683</v>
      </c>
      <c r="C49" s="8"/>
      <c r="D49" s="8"/>
      <c r="E49" s="8" t="str">
        <f t="shared" si="0"/>
        <v>WWKernelLibWrapper.dll</v>
      </c>
      <c r="F49" s="8" t="str">
        <f>F23</f>
        <v>C:\Users\DAVE\Documents\Programming\Visual_Studio_6\DLL\WWKernelLibWrapper\Release\WWKernelLibWrapper.dll</v>
      </c>
      <c r="G49" s="8" t="str">
        <f>G23</f>
        <v>2015-10-28 @ 18:06</v>
      </c>
      <c r="H49" s="89">
        <f>H23</f>
        <v>0.95277777777777783</v>
      </c>
      <c r="I49" s="8" t="str">
        <f t="shared" si="1"/>
        <v>C:\Users\DAVE\Documents\Programming\Visual_Studio_6\DLL\WWKernelLibWrapper\Release\WWKernelLibWrapper.lib</v>
      </c>
      <c r="J49" s="8" t="str">
        <f>J23</f>
        <v>2015-10-28 @ 18:13</v>
      </c>
      <c r="K49" s="89">
        <f>K23</f>
        <v>0.95277777777777783</v>
      </c>
    </row>
    <row r="50" spans="1:11" x14ac:dyDescent="0.25">
      <c r="A50" s="8"/>
      <c r="B50" s="8"/>
      <c r="C50" s="8"/>
      <c r="D50" s="8"/>
      <c r="E50" s="8" t="str">
        <f t="shared" si="0"/>
        <v/>
      </c>
      <c r="F50" s="8"/>
      <c r="G50" s="8"/>
      <c r="H50" s="89"/>
      <c r="I50" s="8" t="str">
        <f t="shared" si="1"/>
        <v/>
      </c>
      <c r="J50" s="8"/>
      <c r="K50" s="89"/>
    </row>
  </sheetData>
  <mergeCells count="2">
    <mergeCell ref="G6:H6"/>
    <mergeCell ref="J6:K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30</vt:i4>
      </vt:variant>
    </vt:vector>
  </HeadingPairs>
  <TitlesOfParts>
    <vt:vector size="64" baseType="lpstr">
      <vt:lpstr>Index</vt:lpstr>
      <vt:lpstr>ENIGMA Application Events 1</vt:lpstr>
      <vt:lpstr>ENIGMA Application Events 2</vt:lpstr>
      <vt:lpstr>ENIGMA Application Events 3</vt:lpstr>
      <vt:lpstr>ENIGMA Application Events 4</vt:lpstr>
      <vt:lpstr>ENIGMA Application Events 5</vt:lpstr>
      <vt:lpstr>ENIGMA Application Events 6</vt:lpstr>
      <vt:lpstr>ENIGMA Application Events 7</vt:lpstr>
      <vt:lpstr>WWLogger SxS Event Log 6</vt:lpstr>
      <vt:lpstr>WWLogger SxS Event Log 7</vt:lpstr>
      <vt:lpstr>WWLogger IMPORT</vt:lpstr>
      <vt:lpstr>Windows Event Log IMPORT</vt:lpstr>
      <vt:lpstr>Tests 6 and 7, 1 and 2</vt:lpstr>
      <vt:lpstr>Test 3</vt:lpstr>
      <vt:lpstr>Test 8</vt:lpstr>
      <vt:lpstr>Complete Run, Paged</vt:lpstr>
      <vt:lpstr>RedirectedStreamTester Strings</vt:lpstr>
      <vt:lpstr>Substrings for Shell Scripts</vt:lpstr>
      <vt:lpstr>WWConAid Standard Handles</vt:lpstr>
      <vt:lpstr>ShsStandardHandle</vt:lpstr>
      <vt:lpstr>WWConAid Strings</vt:lpstr>
      <vt:lpstr>asArgInfo</vt:lpstr>
      <vt:lpstr>Shell Script Shortcuts</vt:lpstr>
      <vt:lpstr>MakeShortcut Variables</vt:lpstr>
      <vt:lpstr>WWLOGGER Status Codes</vt:lpstr>
      <vt:lpstr>Baked Strings to Resources</vt:lpstr>
      <vt:lpstr>WaitForCarbonUnit Buffer Usage</vt:lpstr>
      <vt:lpstr>HereDocs Exception Codes</vt:lpstr>
      <vt:lpstr>WWCONAID_TESTS</vt:lpstr>
      <vt:lpstr>DllServices_Catalog</vt:lpstr>
      <vt:lpstr>PESubsystemID Mappings</vt:lpstr>
      <vt:lpstr>WWLogger2_Catalog_ENIGMA</vt:lpstr>
      <vt:lpstr>P6VersionInfo_dll_Catalog_ENIGM</vt:lpstr>
      <vt:lpstr>Native DLL Dependencies</vt:lpstr>
      <vt:lpstr>APPLICATION_ERROR_MASK</vt:lpstr>
      <vt:lpstr>'ENIGMA Application Events 2'!Application_ZAPHOD42_20140305_004026</vt:lpstr>
      <vt:lpstr>'ENIGMA Application Events 3'!Application_ZAPHOD42_20140305_004026</vt:lpstr>
      <vt:lpstr>'ENIGMA Application Events 5'!Application_ZAPHOD42_20140305_004026</vt:lpstr>
      <vt:lpstr>'ENIGMA Application Events 6'!Application_ZAPHOD42_20140305_004026</vt:lpstr>
      <vt:lpstr>'Windows Event Log IMPORT'!Application_ZAPHOD42_20140305_004026</vt:lpstr>
      <vt:lpstr>ApplicationHelpers2</vt:lpstr>
      <vt:lpstr>ApplicationHelpers2_Source_File_Data</vt:lpstr>
      <vt:lpstr>ApplicationHelpers2_Source_File_Labels</vt:lpstr>
      <vt:lpstr>Dllservices__Version_5.5</vt:lpstr>
      <vt:lpstr>Dllservices__Version_5.5_Backup_ModDate</vt:lpstr>
      <vt:lpstr>Dllservices__Version_5.6</vt:lpstr>
      <vt:lpstr>Dllservices__Version_5.6_Backup_ModDate</vt:lpstr>
      <vt:lpstr>Dllservices__Version_5.7</vt:lpstr>
      <vt:lpstr>Dllservices__Version_5.7_Backup_ModDate</vt:lpstr>
      <vt:lpstr>DLLServices2</vt:lpstr>
      <vt:lpstr>DLLServices2_Library_Build_Log</vt:lpstr>
      <vt:lpstr>DLLServices2_Source_File_Data</vt:lpstr>
      <vt:lpstr>DLLServices2_Source_File_Labels</vt:lpstr>
      <vt:lpstr>DLLServicesBuildLogModifiedDate</vt:lpstr>
      <vt:lpstr>DWORD</vt:lpstr>
      <vt:lpstr>asArgInfo!HAVE_ARG_SHORTCUTARGS</vt:lpstr>
      <vt:lpstr>asArgInfo!HAVE_ARG_SHORTCUTFILE</vt:lpstr>
      <vt:lpstr>asArgInfo!HAVE_ARG_SHORTCUTTARG</vt:lpstr>
      <vt:lpstr>asArgInfo!HAVE_ARG_SHORTCUTWDIR</vt:lpstr>
      <vt:lpstr>Longest_Label_Symbol</vt:lpstr>
      <vt:lpstr>'WWLogger IMPORT'!PSTFileBackups</vt:lpstr>
      <vt:lpstr>Scripts_Directory_name</vt:lpstr>
      <vt:lpstr>Shortcut_Maker_Command</vt:lpstr>
      <vt:lpstr>Solution_Directory_Name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 Gray</dc:creator>
  <cp:lastModifiedBy>David A. Gray</cp:lastModifiedBy>
  <dcterms:created xsi:type="dcterms:W3CDTF">2015-06-19T19:40:52Z</dcterms:created>
  <dcterms:modified xsi:type="dcterms:W3CDTF">2015-10-29T04:15:08Z</dcterms:modified>
</cp:coreProperties>
</file>