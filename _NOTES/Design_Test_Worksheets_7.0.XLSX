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omments1.xml" ContentType="application/vnd.openxmlformats-officedocument.spreadsheetml.comments+xml"/>
  <Override PartName="/xl/queryTables/queryTable2.xml" ContentType="application/vnd.openxmlformats-officedocument.spreadsheetml.queryTable+xml"/>
  <Override PartName="/xl/comments2.xml" ContentType="application/vnd.openxmlformats-officedocument.spreadsheetml.comments+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7.xml" ContentType="application/vnd.openxmlformats-officedocument.spreadsheetml.queryTable+xml"/>
  <Override PartName="/xl/queryTables/queryTable8.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480" yWindow="270" windowWidth="14640" windowHeight="7935" firstSheet="7" activeTab="10"/>
  </bookViews>
  <sheets>
    <sheet name="Index" sheetId="16" r:id="rId1"/>
    <sheet name="_Index of Named Ranges" sheetId="17" r:id="rId2"/>
    <sheet name="Check List" sheetId="1" r:id="rId3"/>
    <sheet name="Anatomy of a System.GUID" sheetId="39" r:id="rId4"/>
    <sheet name="Application Event Log 20170829" sheetId="34" r:id="rId5"/>
    <sheet name="AssemblyInfo Subdivisions" sheetId="24" r:id="rId6"/>
    <sheet name="Commoon .NET Exception Types" sheetId="35" r:id="rId7"/>
    <sheet name="DependentAssemblyInfoReport 3" sheetId="41" r:id="rId8"/>
    <sheet name="DependentAssemblyInfoReport 2" sheetId="23" r:id="rId9"/>
    <sheet name="DependentAssemblyInfoReport 1" sheetId="20" r:id="rId10"/>
    <sheet name="Sheet1" sheetId="42" r:id="rId11"/>
    <sheet name="Escape Characters in C" sheetId="38" r:id="rId12"/>
    <sheet name="OutputOptions Bit Masks" sheetId="40" r:id="rId13"/>
    <sheet name="PESubsystemID Mappings" sheetId="37" r:id="rId14"/>
    <sheet name="STANDARD_DISPLAY_DATE_FORMAT XR" sheetId="11" r:id="rId15"/>
    <sheet name="String Resources to Relocate" sheetId="6" r:id="rId16"/>
    <sheet name="ERRMSG_ARG_IS_NULL XREF" sheetId="9" r:id="rId17"/>
    <sheet name="ERRMSG_ARG_IS_NULL_OR_EMPTY XRF" sheetId="8" r:id="rId18"/>
    <sheet name="CSVFileInfo XREF" sheetId="7" r:id="rId19"/>
    <sheet name="RegistryValues XREF" sheetId="4" r:id="rId20"/>
    <sheet name="SysDateFormatters XREF" sheetId="3" r:id="rId21"/>
    <sheet name="Catalog_WizardWrx_AssemblyPrope" sheetId="10" r:id="rId22"/>
    <sheet name="WizardWrx_DLLServices2_DLL_Conf" sheetId="12" r:id="rId23"/>
    <sheet name="FatalExceptionTextColor XREF" sheetId="13" r:id="rId24"/>
    <sheet name="ConsoleStreams Strings" sheetId="14" r:id="rId25"/>
    <sheet name="ConsoleStreams Strings XREF" sheetId="15" r:id="rId26"/>
    <sheet name="_Private Links" sheetId="25" r:id="rId27"/>
    <sheet name="Byte Order Marks" sheetId="18" r:id="rId28"/>
    <sheet name="MagicNumbers" sheetId="21" r:id="rId29"/>
    <sheet name="GetFinalPathNameByHandleW" sheetId="22" r:id="rId30"/>
    <sheet name="DLLServices2TestStand Classes" sheetId="26" r:id="rId31"/>
    <sheet name="xsd_exe_Inventory_ENIGMA" sheetId="28" r:id="rId32"/>
    <sheet name="New Special_Characters" sheetId="27" r:id="rId33"/>
    <sheet name="Directories on Path (ENIGMA)" sheetId="29" r:id="rId34"/>
    <sheet name="SharedUtl4 TestStand Settings" sheetId="30" r:id="rId35"/>
    <sheet name="SharedUtl2 TestStand Strings" sheetId="31" r:id="rId36"/>
    <sheet name="SharedUtl4 Test Classes" sheetId="32" r:id="rId37"/>
    <sheet name="Windows Forms Keys" sheetId="36" r:id="rId38"/>
    <sheet name="DependentAssemblyInfoReport IMP" sheetId="19" r:id="rId39"/>
    <sheet name="Windows Event Log IMPORT" sheetId="33" r:id="rId40"/>
  </sheets>
  <externalReferences>
    <externalReference r:id="rId41"/>
  </externalReferences>
  <definedNames>
    <definedName name="__Workbook_Index">Index!$A$1:$A$37</definedName>
    <definedName name="ActiveProperties">'OutputOptions Bit Masks'!$D$14</definedName>
    <definedName name="ActivePropsEverywhere">'OutputOptions Bit Masks'!$D$18</definedName>
    <definedName name="ActivePropsToEventLog">'OutputOptions Bit Masks'!$D$15</definedName>
    <definedName name="ActivePropsToStdErr">'OutputOptions Bit Masks'!$D$16</definedName>
    <definedName name="ActivePropsToStdOut">'OutputOptions Bit Masks'!$D$17</definedName>
    <definedName name="Application_ZAPHOD42_20140305_004026" localSheetId="39">'Windows Event Log IMPORT'!$A$2:$I$77</definedName>
    <definedName name="AssemblyPropertyViewer_CS">'ERRMSG_ARG_IS_NULL XREF'!$D$40</definedName>
    <definedName name="AssemblyPropertyViewer_Source_Directory">'ERRMSG_ARG_IS_NULL XREF'!$H$40</definedName>
    <definedName name="BinaryRecordBuffer_CS">'ERRMSG_ARG_IS_NULL XREF'!$D$9</definedName>
    <definedName name="DataDirectoryName_Token" localSheetId="34">"$$DATADIRNAME$$\"</definedName>
    <definedName name="DataEaseDirectoryReader_SourceDirectory">'ERRMSG_ARG_IS_NULL XREF'!$H$7</definedName>
    <definedName name="Date2FN_Source_Directory">'SysDateFormatters XREF'!$H$8</definedName>
    <definedName name="DependentAssemblyInfoReport_20170328_021444" localSheetId="9">'DependentAssemblyInfoReport 1'!$A$1:$Q$11</definedName>
    <definedName name="DependentAssemblyInfoReport_20170328_021444" localSheetId="38">'DependentAssemblyInfoReport IMP'!$A$1:$Q$13</definedName>
    <definedName name="Destiations">'OutputOptions Bit Masks'!$D$20</definedName>
    <definedName name="Directories_on_Path_Details">'Directories on Path (ENIGMA)'!$H$6:$J$40</definedName>
    <definedName name="Directories_on_Path_Labels">'Directories on Path (ENIGMA)'!$H$4:$J$4</definedName>
    <definedName name="DisplayOrder_XREF_20140721_182516" localSheetId="18">'CSVFileInfo XREF'!$A$7:$E$94</definedName>
    <definedName name="DisplayOrder_XREF_20140721_182516" localSheetId="16">'ERRMSG_ARG_IS_NULL XREF'!$A$7:$C$184</definedName>
    <definedName name="DisplayOrder_XREF_20140721_182516" localSheetId="17">'ERRMSG_ARG_IS_NULL_OR_EMPTY XRF'!$A$7:$K$78</definedName>
    <definedName name="DisplayOrder_XREF_20140721_182516" localSheetId="19">'RegistryValues XREF'!$A$7:$G$18</definedName>
    <definedName name="DisplayOrder_XREF_20140721_182516" localSheetId="20">'SysDateFormatters XREF'!$A$7:$I$223</definedName>
    <definedName name="DLLServices_Source_Util_CS">'RegistryValues XREF'!$D$7</definedName>
    <definedName name="DLLServices2_Source_Directory">'RegistryValues XREF'!$H$7</definedName>
    <definedName name="DLLServices2_Test_Stand_Progrm_Directory">'DLLServices2TestStand Classes'!$C$2</definedName>
    <definedName name="Environment_Block_Label" localSheetId="33">'Directories on Path (ENIGMA)'!$I$47</definedName>
    <definedName name="Equaity_Operator" localSheetId="33">'Directories on Path (ENIGMA)'!$E$4</definedName>
    <definedName name="EventLog">'OutputOptions Bit Masks'!$D$8</definedName>
    <definedName name="FileNameSuffixEngine.cs">'SysDateFormatters XREF'!$D$7</definedName>
    <definedName name="FileNameSuffixEngine_CS_Source_Filename">'SysDateFormatters XREF'!$D$8</definedName>
    <definedName name="FormsDirectory_CS">'ERRMSG_ARG_IS_NULL XREF'!$D$7</definedName>
    <definedName name="GUIDBytes_1">'Commoon .NET Exception Types'!$N$4</definedName>
    <definedName name="Inclusions">'OutputOptions Bit Masks'!$D$19</definedName>
    <definedName name="Longest_Name" localSheetId="28">MagicNumbers!$B$32</definedName>
    <definedName name="MemCalc_Program_CS">'CSVFileInfo XREF'!$D$7</definedName>
    <definedName name="MemCalc_Source_Directory">'CSVFileInfo XREF'!$H$15</definedName>
    <definedName name="Method">'OutputOptions Bit Masks'!$D$5</definedName>
    <definedName name="Name_Lengths" localSheetId="28">MagicNumbers!$B$1:$B$31</definedName>
    <definedName name="NewClassTests_20140914_CS">'RegistryValues XREF'!$D$9</definedName>
    <definedName name="OutputOptions_ActiveProperties">'OutputOptions Bit Masks'!$D$14</definedName>
    <definedName name="OutputOptions_ActivePropsEverywhere">'OutputOptions Bit Masks'!$D$18</definedName>
    <definedName name="OutputOptions_ActivePropsToEventLog">'OutputOptions Bit Masks'!$D$15</definedName>
    <definedName name="OutputOptions_ActivePropsToStdErr">'OutputOptions Bit Masks'!$D$16</definedName>
    <definedName name="OutputOptions_ActivePropsToStdOut">'OutputOptions Bit Masks'!$D$17</definedName>
    <definedName name="OutputOptions_AllDestinations">'OutputOptions Bit Masks'!$D$20</definedName>
    <definedName name="OutputOptions_AllFlags">'OutputOptions Bit Masks'!$D$21</definedName>
    <definedName name="OutputOptions_AllProperties">'OutputOptions Bit Masks'!$D$19</definedName>
    <definedName name="OutputOptions_Bit_Masks_Details">'OutputOptions Bit Masks'!$A$2:$L$21</definedName>
    <definedName name="OutputOptions_Bit_Masks_Labels">'OutputOptions Bit Masks'!$A$1:$L$1</definedName>
    <definedName name="OutputOptions_DiscardNewlines">'OutputOptions Bit Masks'!$D$11</definedName>
    <definedName name="OutputOptions_EventLog">'OutputOptions Bit Masks'!$D$8</definedName>
    <definedName name="OutputOptions_Method">'OutputOptions Bit Masks'!$D$5</definedName>
    <definedName name="OutputOptions_NBSpaceForNewlines">'OutputOptions Bit Masks'!$D$12</definedName>
    <definedName name="OutputOptions_NoFlags">'OutputOptions Bit Masks'!$D$4</definedName>
    <definedName name="OutputOptions_Source">'OutputOptions Bit Masks'!$D$6</definedName>
    <definedName name="OutputOptions_Stack">'OutputOptions Bit Masks'!$D$7</definedName>
    <definedName name="OutputOptions_StandardError">'OutputOptions Bit Masks'!$D$10</definedName>
    <definedName name="OutputOptions_StandardOutput">'OutputOptions Bit Masks'!$D$9</definedName>
    <definedName name="Path_String_Lengths" localSheetId="33">'Directories on Path (ENIGMA)'!$I$4:$I$41</definedName>
    <definedName name="Program_Files_Root_Directory_Name">'Check List'!$E$3</definedName>
    <definedName name="ProgramFiles_Directory_Name">'Check List'!$E$1</definedName>
    <definedName name="ProgramFiles_x86_Directory_Name">'Check List'!$E$2</definedName>
    <definedName name="Reserved1">'OutputOptions Bit Masks'!$D$11</definedName>
    <definedName name="Reserved2">'OutputOptions Bit Masks'!$D$12</definedName>
    <definedName name="Resource_String_Added">'String Resources to Relocate'!$D$3</definedName>
    <definedName name="Resource_String_Deleted">'String Resources to Relocate'!$D$2</definedName>
    <definedName name="Resource_String_Disposition_Choices">'String Resources to Relocate'!$D$2:$D$4</definedName>
    <definedName name="Resource_String_Tested">'String Resources to Relocate'!$D$4</definedName>
    <definedName name="s_achrUTF16_BE">'Byte Order Marks'!$A$36</definedName>
    <definedName name="s_achrUTF16_LE">'Byte Order Marks'!$A$31</definedName>
    <definedName name="s_achrUTF32_BE">'Byte Order Marks'!$A$51</definedName>
    <definedName name="s_achrUTF32_LE">'Byte Order Marks'!$A$44</definedName>
    <definedName name="s_achrUTF8">'Byte Order Marks'!$A$22</definedName>
    <definedName name="SharedUtl4_Test_Stand_Progrm_Directory">'DLLServices2TestStand Classes'!$C$1</definedName>
    <definedName name="Source">'OutputOptions Bit Masks'!$D$6</definedName>
    <definedName name="Source_Code_Status_Choices">'SysDateFormatters XREF'!$I$2:$I$4</definedName>
    <definedName name="Source_File_Status_Fixed">'SysDateFormatters XREF'!$I$4</definedName>
    <definedName name="Source_File_Status_Obsolete_Frozen">'SysDateFormatters XREF'!$I$2</definedName>
    <definedName name="Source_File_Status_Will_Break">'SysDateFormatters XREF'!$I$3</definedName>
    <definedName name="Source_File_Statuses" localSheetId="18">'CSVFileInfo XREF'!$I$6:$I$97</definedName>
    <definedName name="Source_File_Statuses" localSheetId="16">'ERRMSG_ARG_IS_NULL XREF'!$I$6:$I$187</definedName>
    <definedName name="Source_File_Statuses" localSheetId="17">'ERRMSG_ARG_IS_NULL_OR_EMPTY XRF'!$I$6:$I$81</definedName>
    <definedName name="Source_File_Statuses" localSheetId="19">'RegistryValues XREF'!$I$6:$I$21</definedName>
    <definedName name="Source_File_Statuses" localSheetId="20">'SysDateFormatters XREF'!$I$6:$I$226</definedName>
    <definedName name="Stack">'OutputOptions Bit Masks'!$D$7</definedName>
    <definedName name="StandardError">'OutputOptions Bit Masks'!$D$10</definedName>
    <definedName name="StandardOutput">'OutputOptions Bit Masks'!$D$9</definedName>
    <definedName name="Status_Choices">'Check List'!$A$2:$A$4</definedName>
    <definedName name="Status_Done">'Check List'!$A$4</definedName>
    <definedName name="Status_In_Progress">'Check List'!$A$2</definedName>
    <definedName name="Status_Ready_to_Test">'Check List'!$A$3</definedName>
    <definedName name="Substring_Count" localSheetId="33">'Directories on Path (ENIGMA)'!$I$43</definedName>
    <definedName name="Substring_Nbr" localSheetId="33">'Directories on Path (ENIGMA)'!$C$4</definedName>
    <definedName name="SupportedEncoders">'Commoon .NET Exception Types'!$T$44:$V$49</definedName>
    <definedName name="TableDrivenConversionEngine_CS">'ERRMSG_ARG_IS_NULL XREF'!$D$12</definedName>
    <definedName name="TestStandNamespaceName">'DLLServices2TestStand Classes'!$C$3</definedName>
    <definedName name="Total_Length_Exclusive_of_Delimiters" localSheetId="33">'Directories on Path (ENIGMA)'!$I$42</definedName>
    <definedName name="Undefined">'OutputOptions Bit Masks'!$D$4</definedName>
    <definedName name="Windows_Root_Directory_Name">'Check List'!$E$4</definedName>
  </definedNames>
  <calcPr calcId="145621"/>
</workbook>
</file>

<file path=xl/calcChain.xml><?xml version="1.0" encoding="utf-8"?>
<calcChain xmlns="http://schemas.openxmlformats.org/spreadsheetml/2006/main">
  <c r="E1" i="42" l="1"/>
  <c r="D1" i="42"/>
  <c r="C1" i="42"/>
  <c r="B1" i="42"/>
  <c r="R14" i="41" l="1"/>
  <c r="R13" i="41"/>
  <c r="R12" i="41"/>
  <c r="R11" i="41"/>
  <c r="R10" i="41"/>
  <c r="R9" i="41"/>
  <c r="R8" i="41"/>
  <c r="R7" i="41"/>
  <c r="R5" i="41"/>
  <c r="R4" i="41"/>
  <c r="R3" i="41"/>
  <c r="R2" i="41"/>
  <c r="S2" i="41" s="1"/>
  <c r="T1" i="41"/>
  <c r="U1" i="41" s="1"/>
  <c r="S14" i="41" l="1"/>
  <c r="V14" i="41" s="1"/>
  <c r="T14" i="41"/>
  <c r="U14" i="41" s="1"/>
  <c r="Y14" i="41" s="1"/>
  <c r="S13" i="41"/>
  <c r="V13" i="41" s="1"/>
  <c r="T13" i="41"/>
  <c r="U13" i="41" s="1"/>
  <c r="Y13" i="41" s="1"/>
  <c r="S12" i="41"/>
  <c r="V12" i="41" s="1"/>
  <c r="T12" i="41"/>
  <c r="U12" i="41" s="1"/>
  <c r="Y12" i="41" s="1"/>
  <c r="S11" i="41"/>
  <c r="V11" i="41" s="1"/>
  <c r="T11" i="41"/>
  <c r="U11" i="41" s="1"/>
  <c r="Y11" i="41" s="1"/>
  <c r="S10" i="41"/>
  <c r="V10" i="41" s="1"/>
  <c r="T10" i="41"/>
  <c r="U10" i="41" s="1"/>
  <c r="Y10" i="41" s="1"/>
  <c r="S9" i="41"/>
  <c r="V9" i="41" s="1"/>
  <c r="U9" i="41"/>
  <c r="X9" i="41" s="1"/>
  <c r="T9" i="41"/>
  <c r="W9" i="41" s="1"/>
  <c r="S8" i="41"/>
  <c r="V8" i="41" s="1"/>
  <c r="T8" i="41"/>
  <c r="U8" i="41" s="1"/>
  <c r="Y8" i="41" s="1"/>
  <c r="S7" i="41"/>
  <c r="V7" i="41" s="1"/>
  <c r="T7" i="41"/>
  <c r="U7" i="41" s="1"/>
  <c r="Y7" i="41" s="1"/>
  <c r="S5" i="41"/>
  <c r="V5" i="41" s="1"/>
  <c r="T5" i="41"/>
  <c r="U5" i="41" s="1"/>
  <c r="Y5" i="41" s="1"/>
  <c r="S4" i="41"/>
  <c r="V4" i="41" s="1"/>
  <c r="S3" i="41"/>
  <c r="V3" i="41" s="1"/>
  <c r="T3" i="41"/>
  <c r="U3" i="41" s="1"/>
  <c r="Y3" i="41" s="1"/>
  <c r="T2" i="41"/>
  <c r="W2" i="41" s="1"/>
  <c r="V2" i="41"/>
  <c r="E79" i="17"/>
  <c r="D79" i="17"/>
  <c r="E78" i="17"/>
  <c r="D78" i="17"/>
  <c r="E77" i="17"/>
  <c r="D77" i="17"/>
  <c r="E76" i="17"/>
  <c r="D76" i="17"/>
  <c r="E75" i="17"/>
  <c r="D75" i="17"/>
  <c r="E74" i="17"/>
  <c r="D74" i="17"/>
  <c r="E73" i="17"/>
  <c r="D73" i="17"/>
  <c r="E72" i="17"/>
  <c r="D72" i="17"/>
  <c r="E71" i="17"/>
  <c r="D71" i="17"/>
  <c r="E70" i="17"/>
  <c r="D70" i="17"/>
  <c r="E69" i="17"/>
  <c r="D69" i="17"/>
  <c r="E68" i="17"/>
  <c r="D68" i="17"/>
  <c r="E67" i="17"/>
  <c r="D67" i="17"/>
  <c r="E66" i="17"/>
  <c r="D66" i="17"/>
  <c r="E65" i="17"/>
  <c r="D65" i="17"/>
  <c r="E64" i="17"/>
  <c r="D64" i="17"/>
  <c r="E63" i="17"/>
  <c r="D63" i="17"/>
  <c r="E62" i="17"/>
  <c r="D62" i="17"/>
  <c r="E61" i="17"/>
  <c r="D61" i="17"/>
  <c r="F79" i="17"/>
  <c r="F75" i="17"/>
  <c r="F71" i="17"/>
  <c r="F67" i="17"/>
  <c r="F61" i="17"/>
  <c r="C77" i="17"/>
  <c r="C74" i="17"/>
  <c r="C72" i="17"/>
  <c r="C70" i="17"/>
  <c r="C68" i="17"/>
  <c r="C66" i="17"/>
  <c r="C64" i="17"/>
  <c r="C62" i="17"/>
  <c r="F76" i="17"/>
  <c r="F70" i="17"/>
  <c r="G79" i="17"/>
  <c r="G75" i="17"/>
  <c r="G71" i="17"/>
  <c r="G68" i="17"/>
  <c r="G64" i="17"/>
  <c r="F66" i="17"/>
  <c r="F74" i="17"/>
  <c r="F63" i="17"/>
  <c r="G76" i="17"/>
  <c r="G72" i="17"/>
  <c r="G67" i="17"/>
  <c r="G63" i="17"/>
  <c r="F73" i="17"/>
  <c r="F69" i="17"/>
  <c r="C78" i="17"/>
  <c r="C73" i="17"/>
  <c r="C69" i="17"/>
  <c r="C65" i="17"/>
  <c r="C63" i="17"/>
  <c r="F72" i="17"/>
  <c r="G77" i="17"/>
  <c r="G70" i="17"/>
  <c r="G66" i="17"/>
  <c r="F78" i="17"/>
  <c r="G78" i="17"/>
  <c r="G69" i="17"/>
  <c r="G61" i="17"/>
  <c r="F77" i="17"/>
  <c r="F64" i="17"/>
  <c r="C75" i="17"/>
  <c r="C71" i="17"/>
  <c r="C67" i="17"/>
  <c r="F62" i="17"/>
  <c r="F65" i="17"/>
  <c r="G73" i="17"/>
  <c r="G62" i="17"/>
  <c r="F68" i="17"/>
  <c r="G74" i="17"/>
  <c r="G65" i="17"/>
  <c r="T4" i="41" l="1"/>
  <c r="U4" i="41" s="1"/>
  <c r="Y4" i="41" s="1"/>
  <c r="Y9" i="41"/>
  <c r="W14" i="41"/>
  <c r="X14" i="41"/>
  <c r="W13" i="41"/>
  <c r="X13" i="41"/>
  <c r="W12" i="41"/>
  <c r="X12" i="41"/>
  <c r="W11" i="41"/>
  <c r="X11" i="41"/>
  <c r="W10" i="41"/>
  <c r="X10" i="41"/>
  <c r="W8" i="41"/>
  <c r="X8" i="41"/>
  <c r="W7" i="41"/>
  <c r="X7" i="41"/>
  <c r="W5" i="41"/>
  <c r="X5" i="41"/>
  <c r="W4" i="41"/>
  <c r="X4" i="41"/>
  <c r="W3" i="41"/>
  <c r="X3" i="41"/>
  <c r="U2" i="41"/>
  <c r="Y2" i="41" s="1"/>
  <c r="H62" i="17"/>
  <c r="H66" i="17"/>
  <c r="H61" i="17"/>
  <c r="H63" i="17"/>
  <c r="H64" i="17"/>
  <c r="H65" i="17"/>
  <c r="H67" i="17"/>
  <c r="H68" i="17"/>
  <c r="H69" i="17"/>
  <c r="H70" i="17"/>
  <c r="H71" i="17"/>
  <c r="H72" i="17"/>
  <c r="H73" i="17"/>
  <c r="H74" i="17"/>
  <c r="H75" i="17"/>
  <c r="H76" i="17"/>
  <c r="H77" i="17"/>
  <c r="H78" i="17"/>
  <c r="H79" i="17"/>
  <c r="D20" i="40"/>
  <c r="D14" i="40"/>
  <c r="C4" i="40"/>
  <c r="C21" i="40"/>
  <c r="C20" i="40"/>
  <c r="C19" i="40"/>
  <c r="C18" i="40"/>
  <c r="C17" i="40"/>
  <c r="C16" i="40"/>
  <c r="C15" i="40"/>
  <c r="C14" i="40"/>
  <c r="C12" i="40"/>
  <c r="C11" i="40"/>
  <c r="C10" i="40"/>
  <c r="C9" i="40"/>
  <c r="C8" i="40"/>
  <c r="C7" i="40"/>
  <c r="C6" i="40"/>
  <c r="C5" i="40"/>
  <c r="X16" i="41" l="1"/>
  <c r="X2" i="41"/>
  <c r="D21" i="40"/>
  <c r="D16" i="40"/>
  <c r="D19" i="40"/>
  <c r="D15" i="40"/>
  <c r="D17" i="40"/>
  <c r="D18" i="40"/>
  <c r="E60" i="17"/>
  <c r="D60" i="17"/>
  <c r="E59" i="17"/>
  <c r="D59" i="17"/>
  <c r="E58" i="17"/>
  <c r="D58" i="17"/>
  <c r="E57" i="17"/>
  <c r="D57" i="17"/>
  <c r="E56" i="17"/>
  <c r="D56" i="17"/>
  <c r="E55" i="17"/>
  <c r="D55" i="17"/>
  <c r="E54" i="17"/>
  <c r="D54" i="17"/>
  <c r="E53" i="17"/>
  <c r="D53" i="17"/>
  <c r="E52" i="17"/>
  <c r="D52" i="17"/>
  <c r="E51" i="17"/>
  <c r="D51" i="17"/>
  <c r="E50" i="17"/>
  <c r="D50" i="17"/>
  <c r="E49" i="17"/>
  <c r="D49" i="17"/>
  <c r="E48" i="17"/>
  <c r="D48" i="17"/>
  <c r="E47" i="17"/>
  <c r="D47" i="17"/>
  <c r="E46" i="17"/>
  <c r="D46" i="17"/>
  <c r="E45" i="17"/>
  <c r="D45" i="17"/>
  <c r="E44" i="17"/>
  <c r="D44" i="17"/>
  <c r="F53" i="17"/>
  <c r="G51" i="17"/>
  <c r="F51" i="17"/>
  <c r="G48" i="17"/>
  <c r="C52" i="17"/>
  <c r="G49" i="17"/>
  <c r="F49" i="17"/>
  <c r="G47" i="17"/>
  <c r="C55" i="17"/>
  <c r="F55" i="17"/>
  <c r="G58" i="17"/>
  <c r="G50" i="17"/>
  <c r="F58" i="17"/>
  <c r="C54" i="17"/>
  <c r="F45" i="17"/>
  <c r="G45" i="17"/>
  <c r="C53" i="17"/>
  <c r="F44" i="17"/>
  <c r="G60" i="17"/>
  <c r="G44" i="17"/>
  <c r="C56" i="17"/>
  <c r="F56" i="17"/>
  <c r="G59" i="17"/>
  <c r="F60" i="17"/>
  <c r="G56" i="17"/>
  <c r="F46" i="17"/>
  <c r="C44" i="17"/>
  <c r="G55" i="17"/>
  <c r="F52" i="17"/>
  <c r="C45" i="17"/>
  <c r="G54" i="17"/>
  <c r="F50" i="17"/>
  <c r="G53" i="17"/>
  <c r="F48" i="17"/>
  <c r="F59" i="17"/>
  <c r="F54" i="17"/>
  <c r="G57" i="17"/>
  <c r="F57" i="17"/>
  <c r="F47" i="17"/>
  <c r="G46" i="17"/>
  <c r="C46" i="17"/>
  <c r="C47" i="17"/>
  <c r="G52" i="17"/>
  <c r="C51" i="17"/>
  <c r="H44" i="17" l="1"/>
  <c r="H45" i="17"/>
  <c r="H46" i="17"/>
  <c r="H47" i="17"/>
  <c r="H48" i="17"/>
  <c r="H49" i="17"/>
  <c r="H50" i="17"/>
  <c r="H51" i="17"/>
  <c r="H52" i="17"/>
  <c r="H53" i="17"/>
  <c r="H54" i="17"/>
  <c r="H55" i="17"/>
  <c r="H56" i="17"/>
  <c r="H57" i="17"/>
  <c r="H58" i="17"/>
  <c r="H59" i="17"/>
  <c r="H60" i="17"/>
  <c r="F20" i="40"/>
  <c r="F12" i="40"/>
  <c r="E12" i="40"/>
  <c r="F11" i="40"/>
  <c r="E11" i="40"/>
  <c r="F10" i="40"/>
  <c r="E10" i="40"/>
  <c r="F9" i="40"/>
  <c r="E9" i="40"/>
  <c r="F8" i="40"/>
  <c r="E8" i="40"/>
  <c r="F7" i="40"/>
  <c r="E7" i="40"/>
  <c r="F6" i="40"/>
  <c r="E6" i="40"/>
  <c r="F5" i="40"/>
  <c r="E5" i="40"/>
  <c r="F4" i="40"/>
  <c r="E4" i="40"/>
  <c r="D2" i="40"/>
  <c r="E2" i="40" s="1"/>
  <c r="F21" i="40" l="1"/>
  <c r="E20" i="40"/>
  <c r="E14" i="40"/>
  <c r="F17" i="40"/>
  <c r="F15" i="40"/>
  <c r="E18" i="40"/>
  <c r="F18" i="40"/>
  <c r="F2" i="40"/>
  <c r="F14" i="40"/>
  <c r="E17" i="40"/>
  <c r="E19" i="40"/>
  <c r="F19" i="40"/>
  <c r="E21" i="40" l="1"/>
  <c r="E15" i="40"/>
  <c r="E16" i="40"/>
  <c r="F16" i="40"/>
  <c r="B12" i="38" l="1"/>
  <c r="B11" i="38"/>
  <c r="B10" i="38"/>
  <c r="B9" i="38"/>
  <c r="B8" i="38"/>
  <c r="B7" i="38"/>
  <c r="B6" i="38"/>
  <c r="B5" i="38"/>
  <c r="B4" i="38"/>
  <c r="B3" i="38"/>
  <c r="B2" i="38"/>
  <c r="B15" i="37"/>
  <c r="B14" i="37"/>
  <c r="B13" i="37"/>
  <c r="B12" i="37"/>
  <c r="B11" i="37"/>
  <c r="B10" i="37"/>
  <c r="B9" i="37"/>
  <c r="B8" i="37"/>
  <c r="B7" i="37"/>
  <c r="B6" i="37"/>
  <c r="B5" i="37"/>
  <c r="B4" i="37"/>
  <c r="B3" i="37"/>
  <c r="B2" i="37"/>
  <c r="D195" i="36"/>
  <c r="B195" i="36"/>
  <c r="D194" i="36"/>
  <c r="B194" i="36"/>
  <c r="D193" i="36"/>
  <c r="B193" i="36"/>
  <c r="D192" i="36"/>
  <c r="B192" i="36"/>
  <c r="D191" i="36"/>
  <c r="B191" i="36"/>
  <c r="D190" i="36"/>
  <c r="B190" i="36"/>
  <c r="D189" i="36"/>
  <c r="B189" i="36"/>
  <c r="D188" i="36"/>
  <c r="B188" i="36"/>
  <c r="D187" i="36"/>
  <c r="B187" i="36"/>
  <c r="D186" i="36"/>
  <c r="B186" i="36"/>
  <c r="D185" i="36"/>
  <c r="B185" i="36"/>
  <c r="D184" i="36"/>
  <c r="B184" i="36"/>
  <c r="D183" i="36"/>
  <c r="B183" i="36"/>
  <c r="D182" i="36"/>
  <c r="B182" i="36"/>
  <c r="D181" i="36"/>
  <c r="B181" i="36"/>
  <c r="D180" i="36"/>
  <c r="B180" i="36"/>
  <c r="D179" i="36"/>
  <c r="B179" i="36"/>
  <c r="D178" i="36"/>
  <c r="B178" i="36"/>
  <c r="D177" i="36"/>
  <c r="B177" i="36"/>
  <c r="D176" i="36"/>
  <c r="B176" i="36"/>
  <c r="D175" i="36"/>
  <c r="B175" i="36"/>
  <c r="D174" i="36"/>
  <c r="B174" i="36"/>
  <c r="D173" i="36"/>
  <c r="B173" i="36"/>
  <c r="D172" i="36"/>
  <c r="B172" i="36"/>
  <c r="D171" i="36"/>
  <c r="B171" i="36"/>
  <c r="D170" i="36"/>
  <c r="B170" i="36"/>
  <c r="D169" i="36"/>
  <c r="B169" i="36"/>
  <c r="D168" i="36"/>
  <c r="B168" i="36"/>
  <c r="D167" i="36"/>
  <c r="B167" i="36"/>
  <c r="D166" i="36"/>
  <c r="B166" i="36"/>
  <c r="D165" i="36"/>
  <c r="B165" i="36"/>
  <c r="D164" i="36"/>
  <c r="B164" i="36"/>
  <c r="D163" i="36"/>
  <c r="B163" i="36"/>
  <c r="D162" i="36"/>
  <c r="B162" i="36"/>
  <c r="D161" i="36"/>
  <c r="B161" i="36"/>
  <c r="D160" i="36"/>
  <c r="B160" i="36"/>
  <c r="D159" i="36"/>
  <c r="B159" i="36"/>
  <c r="D158" i="36"/>
  <c r="B158" i="36"/>
  <c r="D157" i="36"/>
  <c r="B157" i="36"/>
  <c r="D156" i="36"/>
  <c r="B156" i="36"/>
  <c r="D155" i="36"/>
  <c r="B155" i="36"/>
  <c r="D154" i="36"/>
  <c r="B154" i="36"/>
  <c r="D153" i="36"/>
  <c r="B153" i="36"/>
  <c r="D152" i="36"/>
  <c r="B152" i="36"/>
  <c r="D151" i="36"/>
  <c r="B151" i="36"/>
  <c r="D150" i="36"/>
  <c r="B150" i="36"/>
  <c r="D149" i="36"/>
  <c r="B149" i="36"/>
  <c r="D148" i="36"/>
  <c r="B148" i="36"/>
  <c r="D147" i="36"/>
  <c r="B147" i="36"/>
  <c r="D146" i="36"/>
  <c r="B146" i="36"/>
  <c r="D145" i="36"/>
  <c r="B145" i="36"/>
  <c r="D144" i="36"/>
  <c r="B144" i="36"/>
  <c r="D143" i="36"/>
  <c r="B143" i="36"/>
  <c r="D142" i="36"/>
  <c r="B142" i="36"/>
  <c r="D141" i="36"/>
  <c r="B141" i="36"/>
  <c r="D140" i="36"/>
  <c r="B140" i="36"/>
  <c r="D139" i="36"/>
  <c r="B139" i="36"/>
  <c r="D138" i="36"/>
  <c r="B138" i="36"/>
  <c r="D137" i="36"/>
  <c r="B137" i="36"/>
  <c r="D136" i="36"/>
  <c r="B136" i="36"/>
  <c r="D135" i="36"/>
  <c r="B135" i="36"/>
  <c r="D134" i="36"/>
  <c r="B134" i="36"/>
  <c r="D133" i="36"/>
  <c r="B133" i="36"/>
  <c r="D132" i="36"/>
  <c r="B132" i="36"/>
  <c r="D131" i="36"/>
  <c r="B131" i="36"/>
  <c r="D130" i="36"/>
  <c r="B130" i="36"/>
  <c r="D129" i="36"/>
  <c r="B129" i="36"/>
  <c r="D128" i="36"/>
  <c r="B128" i="36"/>
  <c r="D127" i="36"/>
  <c r="B127" i="36"/>
  <c r="D126" i="36"/>
  <c r="B126" i="36"/>
  <c r="D125" i="36"/>
  <c r="B125" i="36"/>
  <c r="D124" i="36"/>
  <c r="B124" i="36"/>
  <c r="D123" i="36"/>
  <c r="B123" i="36"/>
  <c r="D122" i="36"/>
  <c r="B122" i="36"/>
  <c r="D121" i="36"/>
  <c r="B121" i="36"/>
  <c r="D120" i="36"/>
  <c r="B120" i="36"/>
  <c r="D119" i="36"/>
  <c r="B119" i="36"/>
  <c r="D118" i="36"/>
  <c r="B118" i="36"/>
  <c r="D117" i="36"/>
  <c r="B117" i="36"/>
  <c r="D116" i="36"/>
  <c r="B116" i="36"/>
  <c r="D115" i="36"/>
  <c r="B115" i="36"/>
  <c r="D114" i="36"/>
  <c r="B114" i="36"/>
  <c r="D113" i="36"/>
  <c r="B113" i="36"/>
  <c r="D112" i="36"/>
  <c r="B112" i="36"/>
  <c r="D111" i="36"/>
  <c r="B111" i="36"/>
  <c r="D110" i="36"/>
  <c r="B110" i="36"/>
  <c r="D109" i="36"/>
  <c r="B109" i="36"/>
  <c r="D108" i="36"/>
  <c r="B108" i="36"/>
  <c r="D107" i="36"/>
  <c r="B107" i="36"/>
  <c r="D106" i="36"/>
  <c r="B106" i="36"/>
  <c r="D105" i="36"/>
  <c r="B105" i="36"/>
  <c r="D104" i="36"/>
  <c r="B104" i="36"/>
  <c r="D103" i="36"/>
  <c r="B103" i="36"/>
  <c r="D102" i="36"/>
  <c r="B102" i="36"/>
  <c r="D101" i="36"/>
  <c r="B101" i="36"/>
  <c r="D100" i="36"/>
  <c r="B100" i="36"/>
  <c r="D99" i="36"/>
  <c r="B99" i="36"/>
  <c r="D98" i="36"/>
  <c r="B98" i="36"/>
  <c r="D97" i="36"/>
  <c r="B97" i="36"/>
  <c r="D96" i="36"/>
  <c r="B96" i="36"/>
  <c r="D95" i="36"/>
  <c r="B95" i="36"/>
  <c r="D94" i="36"/>
  <c r="B94" i="36"/>
  <c r="D93" i="36"/>
  <c r="B93" i="36"/>
  <c r="D92" i="36"/>
  <c r="B92" i="36"/>
  <c r="D91" i="36"/>
  <c r="B91" i="36"/>
  <c r="D90" i="36"/>
  <c r="B90" i="36"/>
  <c r="D89" i="36"/>
  <c r="B89" i="36"/>
  <c r="D88" i="36"/>
  <c r="B88" i="36"/>
  <c r="D87" i="36"/>
  <c r="B87" i="36"/>
  <c r="D86" i="36"/>
  <c r="B86" i="36"/>
  <c r="D85" i="36"/>
  <c r="B85" i="36"/>
  <c r="D84" i="36"/>
  <c r="B84" i="36"/>
  <c r="D83" i="36"/>
  <c r="B83" i="36"/>
  <c r="D82" i="36"/>
  <c r="B82" i="36"/>
  <c r="D81" i="36"/>
  <c r="B81" i="36"/>
  <c r="D80" i="36"/>
  <c r="B80" i="36"/>
  <c r="D79" i="36"/>
  <c r="B79" i="36"/>
  <c r="D78" i="36"/>
  <c r="B78" i="36"/>
  <c r="D77" i="36"/>
  <c r="B77" i="36"/>
  <c r="D76" i="36"/>
  <c r="B76" i="36"/>
  <c r="D75" i="36"/>
  <c r="B75" i="36"/>
  <c r="D74" i="36"/>
  <c r="B74" i="36"/>
  <c r="D73" i="36"/>
  <c r="B73" i="36"/>
  <c r="D72" i="36"/>
  <c r="B72" i="36"/>
  <c r="D71" i="36"/>
  <c r="B71" i="36"/>
  <c r="D70" i="36"/>
  <c r="B70" i="36"/>
  <c r="D69" i="36"/>
  <c r="B69" i="36"/>
  <c r="D68" i="36"/>
  <c r="B68" i="36"/>
  <c r="D67" i="36"/>
  <c r="B67" i="36"/>
  <c r="D66" i="36"/>
  <c r="B66" i="36"/>
  <c r="D65" i="36"/>
  <c r="B65" i="36"/>
  <c r="D64" i="36"/>
  <c r="B64" i="36"/>
  <c r="D63" i="36"/>
  <c r="B63" i="36"/>
  <c r="D62" i="36"/>
  <c r="B62" i="36"/>
  <c r="D61" i="36"/>
  <c r="B61" i="36"/>
  <c r="D60" i="36"/>
  <c r="B60" i="36"/>
  <c r="D59" i="36"/>
  <c r="B59" i="36"/>
  <c r="D58" i="36"/>
  <c r="B58" i="36"/>
  <c r="D57" i="36"/>
  <c r="B57" i="36"/>
  <c r="D56" i="36"/>
  <c r="B56" i="36"/>
  <c r="D55" i="36"/>
  <c r="B55" i="36"/>
  <c r="D54" i="36"/>
  <c r="B54" i="36"/>
  <c r="D53" i="36"/>
  <c r="B53" i="36"/>
  <c r="D52" i="36"/>
  <c r="B52" i="36"/>
  <c r="D51" i="36"/>
  <c r="B51" i="36"/>
  <c r="D50" i="36"/>
  <c r="B50" i="36"/>
  <c r="D49" i="36"/>
  <c r="B49" i="36"/>
  <c r="D48" i="36"/>
  <c r="B48" i="36"/>
  <c r="D47" i="36"/>
  <c r="B47" i="36"/>
  <c r="D46" i="36"/>
  <c r="B46" i="36"/>
  <c r="D45" i="36"/>
  <c r="B45" i="36"/>
  <c r="D44" i="36"/>
  <c r="B44" i="36"/>
  <c r="D43" i="36"/>
  <c r="B43" i="36"/>
  <c r="D42" i="36"/>
  <c r="B42" i="36"/>
  <c r="D41" i="36"/>
  <c r="B41" i="36"/>
  <c r="D40" i="36"/>
  <c r="B40" i="36"/>
  <c r="D39" i="36"/>
  <c r="B39" i="36"/>
  <c r="D38" i="36"/>
  <c r="B38" i="36"/>
  <c r="D37" i="36"/>
  <c r="B37" i="36"/>
  <c r="D36" i="36"/>
  <c r="B36" i="36"/>
  <c r="D35" i="36"/>
  <c r="B35" i="36"/>
  <c r="D34" i="36"/>
  <c r="B34" i="36"/>
  <c r="D33" i="36"/>
  <c r="B33" i="36"/>
  <c r="D32" i="36"/>
  <c r="B32" i="36"/>
  <c r="D31" i="36"/>
  <c r="B31" i="36"/>
  <c r="D30" i="36"/>
  <c r="B30" i="36"/>
  <c r="D29" i="36"/>
  <c r="B29" i="36"/>
  <c r="D28" i="36"/>
  <c r="B28" i="36"/>
  <c r="D27" i="36"/>
  <c r="B27" i="36"/>
  <c r="D26" i="36"/>
  <c r="B26" i="36"/>
  <c r="D25" i="36"/>
  <c r="B25" i="36"/>
  <c r="D24" i="36"/>
  <c r="B24" i="36"/>
  <c r="D23" i="36"/>
  <c r="B23" i="36"/>
  <c r="D22" i="36"/>
  <c r="B22" i="36"/>
  <c r="D21" i="36"/>
  <c r="B21" i="36"/>
  <c r="D20" i="36"/>
  <c r="B20" i="36"/>
  <c r="D19" i="36"/>
  <c r="B19" i="36"/>
  <c r="D18" i="36"/>
  <c r="B18" i="36"/>
  <c r="D17" i="36"/>
  <c r="B17" i="36"/>
  <c r="D16" i="36"/>
  <c r="B16" i="36"/>
  <c r="D15" i="36"/>
  <c r="B15" i="36"/>
  <c r="D14" i="36"/>
  <c r="B14" i="36"/>
  <c r="D13" i="36"/>
  <c r="B13" i="36"/>
  <c r="D12" i="36"/>
  <c r="B12" i="36"/>
  <c r="D11" i="36"/>
  <c r="B11" i="36"/>
  <c r="D10" i="36"/>
  <c r="B10" i="36"/>
  <c r="D9" i="36"/>
  <c r="B9" i="36"/>
  <c r="D8" i="36"/>
  <c r="B8" i="36"/>
  <c r="D7" i="36"/>
  <c r="B7" i="36"/>
  <c r="D6" i="36"/>
  <c r="B6" i="36"/>
  <c r="D5" i="36"/>
  <c r="B5" i="36"/>
  <c r="D4" i="36"/>
  <c r="B4" i="36"/>
  <c r="D3" i="36"/>
  <c r="B3" i="36"/>
  <c r="D2" i="36"/>
  <c r="B2" i="36"/>
  <c r="B197" i="36" s="1"/>
  <c r="Y49" i="35"/>
  <c r="X49" i="35"/>
  <c r="U49" i="35"/>
  <c r="V49" i="35" s="1"/>
  <c r="I49" i="35"/>
  <c r="L49" i="35" s="1"/>
  <c r="P49" i="35" s="1"/>
  <c r="H49" i="35"/>
  <c r="D49" i="35"/>
  <c r="Y48" i="35"/>
  <c r="X48" i="35"/>
  <c r="U48" i="35"/>
  <c r="V48" i="35" s="1"/>
  <c r="I48" i="35"/>
  <c r="L48" i="35" s="1"/>
  <c r="P48" i="35" s="1"/>
  <c r="H48" i="35"/>
  <c r="D48" i="35"/>
  <c r="Y47" i="35"/>
  <c r="X47" i="35"/>
  <c r="U47" i="35"/>
  <c r="V47" i="35" s="1"/>
  <c r="I47" i="35"/>
  <c r="L47" i="35" s="1"/>
  <c r="P47" i="35" s="1"/>
  <c r="H47" i="35"/>
  <c r="D47" i="35"/>
  <c r="Y46" i="35"/>
  <c r="X46" i="35"/>
  <c r="U46" i="35"/>
  <c r="V46" i="35" s="1"/>
  <c r="I46" i="35"/>
  <c r="L46" i="35" s="1"/>
  <c r="P46" i="35" s="1"/>
  <c r="H46" i="35"/>
  <c r="D46" i="35"/>
  <c r="Y45" i="35"/>
  <c r="X45" i="35"/>
  <c r="U45" i="35"/>
  <c r="V45" i="35" s="1"/>
  <c r="T45" i="35"/>
  <c r="T46" i="35" s="1"/>
  <c r="T47" i="35" s="1"/>
  <c r="T48" i="35" s="1"/>
  <c r="T49" i="35" s="1"/>
  <c r="I45" i="35"/>
  <c r="L45" i="35" s="1"/>
  <c r="P45" i="35" s="1"/>
  <c r="H45" i="35"/>
  <c r="D45" i="35"/>
  <c r="I44" i="35"/>
  <c r="L44" i="35" s="1"/>
  <c r="Q44" i="35" s="1"/>
  <c r="R44" i="35" s="1"/>
  <c r="H44" i="35"/>
  <c r="D44" i="35"/>
  <c r="I43" i="35"/>
  <c r="L43" i="35" s="1"/>
  <c r="Q43" i="35" s="1"/>
  <c r="R43" i="35" s="1"/>
  <c r="H43" i="35"/>
  <c r="D43" i="35"/>
  <c r="I42" i="35"/>
  <c r="L42" i="35" s="1"/>
  <c r="Q42" i="35" s="1"/>
  <c r="R42" i="35" s="1"/>
  <c r="H42" i="35"/>
  <c r="D42" i="35"/>
  <c r="I41" i="35"/>
  <c r="L41" i="35" s="1"/>
  <c r="Q41" i="35" s="1"/>
  <c r="R41" i="35" s="1"/>
  <c r="H41" i="35"/>
  <c r="D41" i="35"/>
  <c r="I40" i="35"/>
  <c r="L40" i="35" s="1"/>
  <c r="Q40" i="35" s="1"/>
  <c r="R40" i="35" s="1"/>
  <c r="H40" i="35"/>
  <c r="D40" i="35"/>
  <c r="I39" i="35"/>
  <c r="L39" i="35" s="1"/>
  <c r="Q39" i="35" s="1"/>
  <c r="R39" i="35" s="1"/>
  <c r="H39" i="35"/>
  <c r="D39" i="35"/>
  <c r="I38" i="35"/>
  <c r="L38" i="35" s="1"/>
  <c r="H38" i="35"/>
  <c r="D38" i="35"/>
  <c r="I37" i="35"/>
  <c r="L37" i="35" s="1"/>
  <c r="H37" i="35"/>
  <c r="D37" i="35"/>
  <c r="I36" i="35"/>
  <c r="L36" i="35" s="1"/>
  <c r="H36" i="35"/>
  <c r="D36" i="35"/>
  <c r="I35" i="35"/>
  <c r="L35" i="35" s="1"/>
  <c r="H35" i="35"/>
  <c r="D35" i="35"/>
  <c r="I34" i="35"/>
  <c r="L34" i="35" s="1"/>
  <c r="H34" i="35"/>
  <c r="D34" i="35"/>
  <c r="I33" i="35"/>
  <c r="L33" i="35" s="1"/>
  <c r="H33" i="35"/>
  <c r="D33" i="35"/>
  <c r="I32" i="35"/>
  <c r="L32" i="35" s="1"/>
  <c r="H32" i="35"/>
  <c r="D32" i="35"/>
  <c r="I31" i="35"/>
  <c r="L31" i="35" s="1"/>
  <c r="Q31" i="35" s="1"/>
  <c r="R31" i="35" s="1"/>
  <c r="H31" i="35"/>
  <c r="D31" i="35"/>
  <c r="I30" i="35"/>
  <c r="L30" i="35" s="1"/>
  <c r="Q30" i="35" s="1"/>
  <c r="R30" i="35" s="1"/>
  <c r="H30" i="35"/>
  <c r="D30" i="35"/>
  <c r="I29" i="35"/>
  <c r="L29" i="35" s="1"/>
  <c r="Q29" i="35" s="1"/>
  <c r="R29" i="35" s="1"/>
  <c r="H29" i="35"/>
  <c r="D29" i="35"/>
  <c r="I28" i="35"/>
  <c r="L28" i="35" s="1"/>
  <c r="H28" i="35"/>
  <c r="D28" i="35"/>
  <c r="I27" i="35"/>
  <c r="L27" i="35" s="1"/>
  <c r="Q27" i="35" s="1"/>
  <c r="R27" i="35" s="1"/>
  <c r="H27" i="35"/>
  <c r="D27" i="35"/>
  <c r="I26" i="35"/>
  <c r="L26" i="35" s="1"/>
  <c r="Q26" i="35" s="1"/>
  <c r="R26" i="35" s="1"/>
  <c r="H26" i="35"/>
  <c r="D26" i="35"/>
  <c r="I25" i="35"/>
  <c r="L25" i="35" s="1"/>
  <c r="H25" i="35"/>
  <c r="D25" i="35"/>
  <c r="I24" i="35"/>
  <c r="L24" i="35" s="1"/>
  <c r="H24" i="35"/>
  <c r="D24" i="35"/>
  <c r="I23" i="35"/>
  <c r="L23" i="35" s="1"/>
  <c r="H23" i="35"/>
  <c r="D23" i="35"/>
  <c r="I22" i="35"/>
  <c r="L22" i="35" s="1"/>
  <c r="H22" i="35"/>
  <c r="D22" i="35"/>
  <c r="I21" i="35"/>
  <c r="L21" i="35" s="1"/>
  <c r="H21" i="35"/>
  <c r="D21" i="35"/>
  <c r="I20" i="35"/>
  <c r="L20" i="35" s="1"/>
  <c r="H20" i="35"/>
  <c r="D20" i="35"/>
  <c r="I19" i="35"/>
  <c r="L19" i="35" s="1"/>
  <c r="H19" i="35"/>
  <c r="D19" i="35"/>
  <c r="I18" i="35"/>
  <c r="L18" i="35" s="1"/>
  <c r="H18" i="35"/>
  <c r="D18" i="35"/>
  <c r="I17" i="35"/>
  <c r="L17" i="35" s="1"/>
  <c r="H17" i="35"/>
  <c r="D17" i="35"/>
  <c r="I16" i="35"/>
  <c r="L16" i="35" s="1"/>
  <c r="H16" i="35"/>
  <c r="D16" i="35"/>
  <c r="I15" i="35"/>
  <c r="L15" i="35" s="1"/>
  <c r="H15" i="35"/>
  <c r="D15" i="35"/>
  <c r="I14" i="35"/>
  <c r="L14" i="35" s="1"/>
  <c r="H14" i="35"/>
  <c r="D14" i="35"/>
  <c r="I13" i="35"/>
  <c r="L13" i="35" s="1"/>
  <c r="H13" i="35"/>
  <c r="D13" i="35"/>
  <c r="I12" i="35"/>
  <c r="L12" i="35" s="1"/>
  <c r="H12" i="35"/>
  <c r="D12" i="35"/>
  <c r="I11" i="35"/>
  <c r="L11" i="35" s="1"/>
  <c r="H11" i="35"/>
  <c r="D11" i="35"/>
  <c r="I10" i="35"/>
  <c r="H10" i="35"/>
  <c r="D10" i="35"/>
  <c r="I9" i="35"/>
  <c r="H9" i="35"/>
  <c r="D9" i="35"/>
  <c r="I8" i="35"/>
  <c r="H8" i="35"/>
  <c r="D8" i="35"/>
  <c r="I7" i="35"/>
  <c r="H7" i="35"/>
  <c r="D7" i="35"/>
  <c r="I6" i="35"/>
  <c r="H6" i="35"/>
  <c r="D6" i="35"/>
  <c r="I5" i="35"/>
  <c r="H5" i="35"/>
  <c r="D5" i="35"/>
  <c r="I4" i="35"/>
  <c r="L4" i="35" s="1"/>
  <c r="H4" i="35"/>
  <c r="D4" i="35"/>
  <c r="Y3" i="35"/>
  <c r="X3" i="35"/>
  <c r="W3" i="35"/>
  <c r="V3" i="35"/>
  <c r="U3" i="35"/>
  <c r="T3" i="35"/>
  <c r="P3" i="35"/>
  <c r="O3" i="35"/>
  <c r="N3" i="35"/>
  <c r="L5" i="35" l="1"/>
  <c r="Q11" i="35"/>
  <c r="R11" i="35" s="1"/>
  <c r="O11" i="35"/>
  <c r="M11" i="35"/>
  <c r="P11" i="35"/>
  <c r="N11" i="35"/>
  <c r="P13" i="35"/>
  <c r="N13" i="35"/>
  <c r="Q13" i="35"/>
  <c r="R13" i="35" s="1"/>
  <c r="O13" i="35"/>
  <c r="M13" i="35"/>
  <c r="Q15" i="35"/>
  <c r="R15" i="35" s="1"/>
  <c r="O15" i="35"/>
  <c r="M15" i="35"/>
  <c r="P15" i="35"/>
  <c r="N15" i="35"/>
  <c r="M17" i="35"/>
  <c r="P17" i="35"/>
  <c r="N17" i="35"/>
  <c r="Q17" i="35"/>
  <c r="R17" i="35" s="1"/>
  <c r="O17" i="35"/>
  <c r="M19" i="35"/>
  <c r="P19" i="35"/>
  <c r="N19" i="35"/>
  <c r="Q19" i="35"/>
  <c r="R19" i="35" s="1"/>
  <c r="O19" i="35"/>
  <c r="M21" i="35"/>
  <c r="P21" i="35"/>
  <c r="N21" i="35"/>
  <c r="Q21" i="35"/>
  <c r="R21" i="35" s="1"/>
  <c r="O21" i="35"/>
  <c r="O23" i="35"/>
  <c r="P23" i="35"/>
  <c r="N23" i="35"/>
  <c r="Q23" i="35"/>
  <c r="R23" i="35" s="1"/>
  <c r="M23" i="35"/>
  <c r="P25" i="35"/>
  <c r="Q25" i="35"/>
  <c r="R25" i="35" s="1"/>
  <c r="N25" i="35"/>
  <c r="O25" i="35"/>
  <c r="M25" i="35"/>
  <c r="Q5" i="35"/>
  <c r="R5" i="35" s="1"/>
  <c r="O5" i="35"/>
  <c r="M5" i="35"/>
  <c r="P5" i="35"/>
  <c r="N5" i="35"/>
  <c r="P4" i="35"/>
  <c r="N4" i="35"/>
  <c r="Q4" i="35"/>
  <c r="R4" i="35" s="1"/>
  <c r="O4" i="35"/>
  <c r="M4" i="35"/>
  <c r="L6" i="35"/>
  <c r="Q12" i="35"/>
  <c r="R12" i="35" s="1"/>
  <c r="M12" i="35"/>
  <c r="P12" i="35"/>
  <c r="N12" i="35"/>
  <c r="O12" i="35"/>
  <c r="P14" i="35"/>
  <c r="N14" i="35"/>
  <c r="Q14" i="35"/>
  <c r="R14" i="35" s="1"/>
  <c r="O14" i="35"/>
  <c r="M14" i="35"/>
  <c r="Q16" i="35"/>
  <c r="R16" i="35" s="1"/>
  <c r="O16" i="35"/>
  <c r="P16" i="35"/>
  <c r="N16" i="35"/>
  <c r="M16" i="35"/>
  <c r="Q18" i="35"/>
  <c r="R18" i="35" s="1"/>
  <c r="P18" i="35"/>
  <c r="N18" i="35"/>
  <c r="O18" i="35"/>
  <c r="M18" i="35"/>
  <c r="Q20" i="35"/>
  <c r="R20" i="35" s="1"/>
  <c r="O20" i="35"/>
  <c r="P20" i="35"/>
  <c r="N20" i="35"/>
  <c r="M20" i="35"/>
  <c r="P22" i="35"/>
  <c r="N22" i="35"/>
  <c r="Q22" i="35"/>
  <c r="R22" i="35" s="1"/>
  <c r="O22" i="35"/>
  <c r="M22" i="35"/>
  <c r="Q24" i="35"/>
  <c r="R24" i="35" s="1"/>
  <c r="P24" i="35"/>
  <c r="N24" i="35"/>
  <c r="O24" i="35"/>
  <c r="M24" i="35"/>
  <c r="P28" i="35"/>
  <c r="N28" i="35"/>
  <c r="O28" i="35"/>
  <c r="O29" i="35"/>
  <c r="M26" i="35"/>
  <c r="M27" i="35"/>
  <c r="M28" i="35"/>
  <c r="Q28" i="35"/>
  <c r="R28" i="35" s="1"/>
  <c r="M29" i="35"/>
  <c r="M30" i="35"/>
  <c r="M31" i="35"/>
  <c r="Q33" i="35"/>
  <c r="R33" i="35" s="1"/>
  <c r="O33" i="35"/>
  <c r="M33" i="35"/>
  <c r="P33" i="35"/>
  <c r="N33" i="35"/>
  <c r="Q35" i="35"/>
  <c r="R35" i="35" s="1"/>
  <c r="O35" i="35"/>
  <c r="M35" i="35"/>
  <c r="P35" i="35"/>
  <c r="N35" i="35"/>
  <c r="Q37" i="35"/>
  <c r="R37" i="35" s="1"/>
  <c r="O37" i="35"/>
  <c r="M37" i="35"/>
  <c r="P37" i="35"/>
  <c r="N37" i="35"/>
  <c r="P26" i="35"/>
  <c r="N26" i="35"/>
  <c r="O26" i="35"/>
  <c r="P27" i="35"/>
  <c r="N27" i="35"/>
  <c r="O27" i="35"/>
  <c r="P29" i="35"/>
  <c r="N29" i="35"/>
  <c r="P30" i="35"/>
  <c r="N30" i="35"/>
  <c r="O30" i="35"/>
  <c r="P31" i="35"/>
  <c r="N31" i="35"/>
  <c r="O31" i="35"/>
  <c r="Q32" i="35"/>
  <c r="R32" i="35" s="1"/>
  <c r="O32" i="35"/>
  <c r="M32" i="35"/>
  <c r="P32" i="35"/>
  <c r="N32" i="35"/>
  <c r="Q34" i="35"/>
  <c r="R34" i="35" s="1"/>
  <c r="O34" i="35"/>
  <c r="M34" i="35"/>
  <c r="P34" i="35"/>
  <c r="N34" i="35"/>
  <c r="Q36" i="35"/>
  <c r="R36" i="35" s="1"/>
  <c r="O36" i="35"/>
  <c r="M36" i="35"/>
  <c r="P36" i="35"/>
  <c r="N36" i="35"/>
  <c r="Q38" i="35"/>
  <c r="R38" i="35" s="1"/>
  <c r="O38" i="35"/>
  <c r="M38" i="35"/>
  <c r="P38" i="35"/>
  <c r="N38" i="35"/>
  <c r="N39" i="35"/>
  <c r="P39" i="35"/>
  <c r="N40" i="35"/>
  <c r="P40" i="35"/>
  <c r="N41" i="35"/>
  <c r="P41" i="35"/>
  <c r="N42" i="35"/>
  <c r="P42" i="35"/>
  <c r="N43" i="35"/>
  <c r="P43" i="35"/>
  <c r="N44" i="35"/>
  <c r="P44" i="35"/>
  <c r="O45" i="35"/>
  <c r="Q45" i="35"/>
  <c r="R45" i="35" s="1"/>
  <c r="O46" i="35"/>
  <c r="Q46" i="35"/>
  <c r="R46" i="35" s="1"/>
  <c r="O47" i="35"/>
  <c r="Q47" i="35"/>
  <c r="R47" i="35" s="1"/>
  <c r="O48" i="35"/>
  <c r="Q48" i="35"/>
  <c r="R48" i="35" s="1"/>
  <c r="O49" i="35"/>
  <c r="Q49" i="35"/>
  <c r="M39" i="35"/>
  <c r="O39" i="35"/>
  <c r="M40" i="35"/>
  <c r="O40" i="35"/>
  <c r="M41" i="35"/>
  <c r="O41" i="35"/>
  <c r="M42" i="35"/>
  <c r="O42" i="35"/>
  <c r="M43" i="35"/>
  <c r="O43" i="35"/>
  <c r="M44" i="35"/>
  <c r="O44" i="35"/>
  <c r="N45" i="35"/>
  <c r="N46" i="35"/>
  <c r="N47" i="35"/>
  <c r="N48" i="35"/>
  <c r="N49" i="35"/>
  <c r="P6" i="35" l="1"/>
  <c r="N6" i="35"/>
  <c r="Q6" i="35"/>
  <c r="R6" i="35" s="1"/>
  <c r="O6" i="35"/>
  <c r="M6" i="35"/>
  <c r="L7" i="35"/>
  <c r="P7" i="35" l="1"/>
  <c r="N7" i="35"/>
  <c r="Q7" i="35"/>
  <c r="R7" i="35" s="1"/>
  <c r="O7" i="35"/>
  <c r="M7" i="35"/>
  <c r="L8" i="35"/>
  <c r="Q8" i="35" l="1"/>
  <c r="R8" i="35" s="1"/>
  <c r="O8" i="35"/>
  <c r="M8" i="35"/>
  <c r="P8" i="35"/>
  <c r="N8" i="35"/>
  <c r="L9" i="35"/>
  <c r="P9" i="35" l="1"/>
  <c r="N9" i="35"/>
  <c r="Q9" i="35"/>
  <c r="R9" i="35" s="1"/>
  <c r="O9" i="35"/>
  <c r="M9" i="35"/>
  <c r="L10" i="35"/>
  <c r="Q10" i="35" l="1"/>
  <c r="R10" i="35" s="1"/>
  <c r="O10" i="35"/>
  <c r="M10" i="35"/>
  <c r="P10" i="35"/>
  <c r="N10" i="35"/>
  <c r="E43" i="17" l="1"/>
  <c r="D43" i="17"/>
  <c r="E42" i="17"/>
  <c r="D42" i="17"/>
  <c r="C43" i="17"/>
  <c r="B14" i="32"/>
  <c r="B7" i="32"/>
  <c r="B12" i="32"/>
  <c r="B5" i="32"/>
  <c r="C11" i="32"/>
  <c r="C7" i="32"/>
  <c r="F42" i="17"/>
  <c r="B10" i="32"/>
  <c r="G43" i="17"/>
  <c r="B11" i="32"/>
  <c r="G42" i="17"/>
  <c r="C10" i="32"/>
  <c r="C12" i="32"/>
  <c r="C5" i="32"/>
  <c r="C2" i="32"/>
  <c r="C14" i="32"/>
  <c r="C6" i="32"/>
  <c r="B2" i="32"/>
  <c r="C13" i="32"/>
  <c r="B4" i="32"/>
  <c r="C4" i="32"/>
  <c r="B6" i="32"/>
  <c r="B13" i="32"/>
  <c r="F43" i="17"/>
  <c r="H43" i="17" l="1"/>
  <c r="H42" i="17"/>
  <c r="L7" i="30"/>
  <c r="L6" i="30"/>
  <c r="L5" i="30"/>
  <c r="L4" i="30"/>
  <c r="L3" i="30"/>
  <c r="D12" i="28" l="1"/>
  <c r="D11" i="28"/>
  <c r="D6" i="28"/>
  <c r="B40" i="29"/>
  <c r="B39" i="29"/>
  <c r="B38" i="29"/>
  <c r="B37" i="29"/>
  <c r="B36" i="29"/>
  <c r="B35" i="29"/>
  <c r="B34" i="29"/>
  <c r="B33" i="29"/>
  <c r="B32" i="29"/>
  <c r="B31" i="29"/>
  <c r="B30" i="29"/>
  <c r="B29" i="29"/>
  <c r="B28" i="29"/>
  <c r="B27" i="29"/>
  <c r="B26" i="29"/>
  <c r="B25" i="29"/>
  <c r="B24" i="29"/>
  <c r="B23" i="29"/>
  <c r="B22" i="29"/>
  <c r="B21" i="29"/>
  <c r="B20" i="29"/>
  <c r="B19" i="29"/>
  <c r="B18" i="29"/>
  <c r="B17" i="29"/>
  <c r="B16" i="29"/>
  <c r="B15" i="29"/>
  <c r="B14" i="29"/>
  <c r="B13" i="29"/>
  <c r="B12" i="29"/>
  <c r="B11" i="29"/>
  <c r="B10" i="29"/>
  <c r="B9" i="29"/>
  <c r="B8" i="29"/>
  <c r="B7" i="29"/>
  <c r="B6" i="29"/>
  <c r="E40" i="29"/>
  <c r="E39" i="29"/>
  <c r="E38" i="29"/>
  <c r="E37" i="29"/>
  <c r="E36" i="29"/>
  <c r="E35" i="29"/>
  <c r="E34" i="29"/>
  <c r="E33" i="29"/>
  <c r="E32" i="29"/>
  <c r="E31" i="29"/>
  <c r="E30" i="29"/>
  <c r="E29" i="29"/>
  <c r="E28" i="29"/>
  <c r="E27" i="29"/>
  <c r="E26" i="29"/>
  <c r="E25" i="29"/>
  <c r="E24" i="29"/>
  <c r="E23" i="29"/>
  <c r="E22" i="29"/>
  <c r="E21" i="29"/>
  <c r="E20" i="29"/>
  <c r="E19" i="29"/>
  <c r="E18" i="29"/>
  <c r="E17" i="29"/>
  <c r="E16" i="29"/>
  <c r="E15" i="29"/>
  <c r="E14" i="29"/>
  <c r="E13" i="29"/>
  <c r="E12" i="29"/>
  <c r="E11" i="29"/>
  <c r="E10" i="29"/>
  <c r="E9" i="29"/>
  <c r="E8" i="29"/>
  <c r="E7" i="29"/>
  <c r="E6" i="29"/>
  <c r="C40" i="29"/>
  <c r="C39" i="29"/>
  <c r="C38" i="29"/>
  <c r="C37" i="29"/>
  <c r="C36" i="29"/>
  <c r="C35" i="29"/>
  <c r="C34" i="29"/>
  <c r="C33" i="29"/>
  <c r="C32" i="29"/>
  <c r="C31" i="29"/>
  <c r="C30" i="29"/>
  <c r="C29" i="29"/>
  <c r="C28" i="29"/>
  <c r="C27" i="29"/>
  <c r="C26" i="29"/>
  <c r="C25" i="29"/>
  <c r="C24" i="29"/>
  <c r="C23" i="29"/>
  <c r="C22" i="29"/>
  <c r="C21" i="29"/>
  <c r="C20" i="29"/>
  <c r="C19" i="29"/>
  <c r="C18" i="29"/>
  <c r="C17" i="29"/>
  <c r="C16" i="29"/>
  <c r="C15" i="29"/>
  <c r="C14" i="29"/>
  <c r="C13" i="29"/>
  <c r="C12" i="29"/>
  <c r="C11" i="29"/>
  <c r="C10" i="29"/>
  <c r="C9" i="29"/>
  <c r="C8" i="29"/>
  <c r="C7" i="29"/>
  <c r="D7" i="29" s="1"/>
  <c r="G7" i="29" s="1"/>
  <c r="J7" i="29" s="1"/>
  <c r="C6" i="29"/>
  <c r="E5" i="29"/>
  <c r="C5" i="29"/>
  <c r="G11" i="28"/>
  <c r="G6" i="28"/>
  <c r="G12" i="28" s="1"/>
  <c r="D9" i="29" l="1"/>
  <c r="G9" i="29" s="1"/>
  <c r="J9" i="29" s="1"/>
  <c r="D11" i="29"/>
  <c r="G11" i="29" s="1"/>
  <c r="J11" i="29" s="1"/>
  <c r="D13" i="29"/>
  <c r="G13" i="29" s="1"/>
  <c r="J13" i="29" s="1"/>
  <c r="D15" i="29"/>
  <c r="G15" i="29" s="1"/>
  <c r="J15" i="29" s="1"/>
  <c r="D17" i="29"/>
  <c r="G17" i="29" s="1"/>
  <c r="J17" i="29" s="1"/>
  <c r="D19" i="29"/>
  <c r="G19" i="29" s="1"/>
  <c r="J19" i="29" s="1"/>
  <c r="D21" i="29"/>
  <c r="G21" i="29" s="1"/>
  <c r="J21" i="29" s="1"/>
  <c r="D23" i="29"/>
  <c r="G23" i="29" s="1"/>
  <c r="J23" i="29" s="1"/>
  <c r="D25" i="29"/>
  <c r="G25" i="29" s="1"/>
  <c r="J25" i="29" s="1"/>
  <c r="D27" i="29"/>
  <c r="G27" i="29" s="1"/>
  <c r="J27" i="29" s="1"/>
  <c r="D29" i="29"/>
  <c r="G29" i="29" s="1"/>
  <c r="J29" i="29" s="1"/>
  <c r="D31" i="29"/>
  <c r="G31" i="29" s="1"/>
  <c r="J31" i="29" s="1"/>
  <c r="D33" i="29"/>
  <c r="G33" i="29" s="1"/>
  <c r="J33" i="29" s="1"/>
  <c r="D35" i="29"/>
  <c r="G35" i="29" s="1"/>
  <c r="J35" i="29" s="1"/>
  <c r="D37" i="29"/>
  <c r="G37" i="29" s="1"/>
  <c r="J37" i="29" s="1"/>
  <c r="D39" i="29"/>
  <c r="G39" i="29" s="1"/>
  <c r="J39" i="29" s="1"/>
  <c r="F6" i="29"/>
  <c r="H6" i="29" s="1"/>
  <c r="I6" i="29" s="1"/>
  <c r="F8" i="29"/>
  <c r="F10" i="29"/>
  <c r="H10" i="29" s="1"/>
  <c r="I10" i="29" s="1"/>
  <c r="F12" i="29"/>
  <c r="F14" i="29"/>
  <c r="H14" i="29" s="1"/>
  <c r="I14" i="29" s="1"/>
  <c r="F16" i="29"/>
  <c r="F18" i="29"/>
  <c r="H18" i="29" s="1"/>
  <c r="I18" i="29" s="1"/>
  <c r="F20" i="29"/>
  <c r="F22" i="29"/>
  <c r="H22" i="29" s="1"/>
  <c r="I22" i="29" s="1"/>
  <c r="F24" i="29"/>
  <c r="F26" i="29"/>
  <c r="H26" i="29" s="1"/>
  <c r="I26" i="29" s="1"/>
  <c r="F28" i="29"/>
  <c r="F30" i="29"/>
  <c r="H30" i="29" s="1"/>
  <c r="I30" i="29" s="1"/>
  <c r="F32" i="29"/>
  <c r="F34" i="29"/>
  <c r="H34" i="29" s="1"/>
  <c r="I34" i="29" s="1"/>
  <c r="F36" i="29"/>
  <c r="F38" i="29"/>
  <c r="H38" i="29" s="1"/>
  <c r="I38" i="29" s="1"/>
  <c r="F40" i="29"/>
  <c r="D6" i="29"/>
  <c r="G6" i="29" s="1"/>
  <c r="J6" i="29" s="1"/>
  <c r="D8" i="29"/>
  <c r="G8" i="29" s="1"/>
  <c r="J8" i="29" s="1"/>
  <c r="D10" i="29"/>
  <c r="G10" i="29" s="1"/>
  <c r="J10" i="29" s="1"/>
  <c r="D12" i="29"/>
  <c r="G12" i="29" s="1"/>
  <c r="J12" i="29" s="1"/>
  <c r="D14" i="29"/>
  <c r="G14" i="29" s="1"/>
  <c r="J14" i="29" s="1"/>
  <c r="D16" i="29"/>
  <c r="G16" i="29" s="1"/>
  <c r="J16" i="29" s="1"/>
  <c r="H8" i="29"/>
  <c r="I8" i="29" s="1"/>
  <c r="H12" i="29"/>
  <c r="I12" i="29" s="1"/>
  <c r="H16" i="29"/>
  <c r="I16" i="29" s="1"/>
  <c r="H20" i="29"/>
  <c r="I20" i="29" s="1"/>
  <c r="H24" i="29"/>
  <c r="I24" i="29" s="1"/>
  <c r="H28" i="29"/>
  <c r="I28" i="29" s="1"/>
  <c r="H32" i="29"/>
  <c r="I32" i="29" s="1"/>
  <c r="H36" i="29"/>
  <c r="I36" i="29" s="1"/>
  <c r="D18" i="29"/>
  <c r="G18" i="29" s="1"/>
  <c r="J18" i="29" s="1"/>
  <c r="D20" i="29"/>
  <c r="G20" i="29" s="1"/>
  <c r="J20" i="29" s="1"/>
  <c r="D22" i="29"/>
  <c r="G22" i="29" s="1"/>
  <c r="J22" i="29" s="1"/>
  <c r="D24" i="29"/>
  <c r="G24" i="29" s="1"/>
  <c r="J24" i="29" s="1"/>
  <c r="D26" i="29"/>
  <c r="G26" i="29" s="1"/>
  <c r="J26" i="29" s="1"/>
  <c r="D28" i="29"/>
  <c r="G28" i="29" s="1"/>
  <c r="J28" i="29" s="1"/>
  <c r="D30" i="29"/>
  <c r="G30" i="29" s="1"/>
  <c r="J30" i="29" s="1"/>
  <c r="D32" i="29"/>
  <c r="G32" i="29" s="1"/>
  <c r="J32" i="29" s="1"/>
  <c r="D34" i="29"/>
  <c r="G34" i="29" s="1"/>
  <c r="J34" i="29" s="1"/>
  <c r="D36" i="29"/>
  <c r="G36" i="29" s="1"/>
  <c r="J36" i="29" s="1"/>
  <c r="D38" i="29"/>
  <c r="G38" i="29" s="1"/>
  <c r="J38" i="29" s="1"/>
  <c r="D40" i="29"/>
  <c r="G40" i="29" s="1"/>
  <c r="J40" i="29" s="1"/>
  <c r="F7" i="29"/>
  <c r="H7" i="29" s="1"/>
  <c r="I7" i="29" s="1"/>
  <c r="F9" i="29"/>
  <c r="H9" i="29" s="1"/>
  <c r="I9" i="29" s="1"/>
  <c r="F11" i="29"/>
  <c r="H11" i="29" s="1"/>
  <c r="I11" i="29" s="1"/>
  <c r="F13" i="29"/>
  <c r="H13" i="29" s="1"/>
  <c r="I13" i="29" s="1"/>
  <c r="F15" i="29"/>
  <c r="H15" i="29" s="1"/>
  <c r="I15" i="29" s="1"/>
  <c r="F17" i="29"/>
  <c r="H17" i="29" s="1"/>
  <c r="I17" i="29" s="1"/>
  <c r="F19" i="29"/>
  <c r="H19" i="29" s="1"/>
  <c r="I19" i="29" s="1"/>
  <c r="F21" i="29"/>
  <c r="H21" i="29" s="1"/>
  <c r="I21" i="29" s="1"/>
  <c r="F23" i="29"/>
  <c r="H23" i="29" s="1"/>
  <c r="I23" i="29" s="1"/>
  <c r="F25" i="29"/>
  <c r="H25" i="29" s="1"/>
  <c r="I25" i="29" s="1"/>
  <c r="F27" i="29"/>
  <c r="H27" i="29" s="1"/>
  <c r="I27" i="29" s="1"/>
  <c r="F29" i="29"/>
  <c r="H29" i="29" s="1"/>
  <c r="I29" i="29" s="1"/>
  <c r="F31" i="29"/>
  <c r="H31" i="29" s="1"/>
  <c r="I31" i="29" s="1"/>
  <c r="F33" i="29"/>
  <c r="H33" i="29" s="1"/>
  <c r="I33" i="29" s="1"/>
  <c r="F35" i="29"/>
  <c r="H35" i="29" s="1"/>
  <c r="I35" i="29" s="1"/>
  <c r="F37" i="29"/>
  <c r="H37" i="29" s="1"/>
  <c r="I37" i="29" s="1"/>
  <c r="F39" i="29"/>
  <c r="H39" i="29" s="1"/>
  <c r="I39" i="29" s="1"/>
  <c r="H40" i="29"/>
  <c r="I40" i="29" s="1"/>
  <c r="C6" i="26"/>
  <c r="C9" i="26" s="1"/>
  <c r="F6" i="26"/>
  <c r="F8" i="26" s="1"/>
  <c r="C9" i="28"/>
  <c r="G8" i="26"/>
  <c r="B7" i="28"/>
  <c r="E10" i="28"/>
  <c r="B5" i="28"/>
  <c r="D9" i="26"/>
  <c r="C5" i="28"/>
  <c r="E9" i="26"/>
  <c r="B2" i="28"/>
  <c r="C4" i="28"/>
  <c r="C2" i="28"/>
  <c r="B3" i="28"/>
  <c r="C10" i="28"/>
  <c r="E4" i="28"/>
  <c r="E8" i="28"/>
  <c r="B9" i="28"/>
  <c r="B8" i="28"/>
  <c r="B10" i="28"/>
  <c r="E9" i="28"/>
  <c r="C7" i="28"/>
  <c r="E2" i="28"/>
  <c r="H8" i="26"/>
  <c r="C3" i="28"/>
  <c r="E3" i="28"/>
  <c r="E5" i="28"/>
  <c r="C8" i="28"/>
  <c r="E7" i="28"/>
  <c r="B4" i="28"/>
  <c r="C10" i="26" l="1"/>
  <c r="C12" i="26"/>
  <c r="C8" i="26"/>
  <c r="C11" i="26"/>
  <c r="F12" i="26"/>
  <c r="F11" i="26"/>
  <c r="F10" i="26"/>
  <c r="F9" i="26"/>
  <c r="D7" i="28"/>
  <c r="D10" i="28"/>
  <c r="D8" i="28"/>
  <c r="D5" i="28"/>
  <c r="D3" i="28"/>
  <c r="D9" i="28"/>
  <c r="D2" i="28"/>
  <c r="D4" i="28"/>
  <c r="I45" i="29"/>
  <c r="I46" i="29"/>
  <c r="I42" i="29"/>
  <c r="I43" i="29"/>
  <c r="I44" i="29"/>
  <c r="R11" i="19"/>
  <c r="R10" i="19"/>
  <c r="S10" i="19" s="1"/>
  <c r="R9" i="19"/>
  <c r="R8" i="19"/>
  <c r="S8" i="19" s="1"/>
  <c r="R7" i="19"/>
  <c r="R6" i="19"/>
  <c r="S6" i="19" s="1"/>
  <c r="R5" i="19"/>
  <c r="R4" i="19"/>
  <c r="S4" i="19" s="1"/>
  <c r="R3" i="19"/>
  <c r="R2" i="19"/>
  <c r="T1" i="19"/>
  <c r="E10" i="26"/>
  <c r="D8" i="26"/>
  <c r="D12" i="26"/>
  <c r="H11" i="26"/>
  <c r="G9" i="26"/>
  <c r="F9" i="28"/>
  <c r="G12" i="26"/>
  <c r="F10" i="28"/>
  <c r="F2" i="28"/>
  <c r="F4" i="28"/>
  <c r="F7" i="28"/>
  <c r="D11" i="26"/>
  <c r="D10" i="26"/>
  <c r="E8" i="26"/>
  <c r="E12" i="26"/>
  <c r="H10" i="26"/>
  <c r="F5" i="28"/>
  <c r="F8" i="28"/>
  <c r="H12" i="26"/>
  <c r="F3" i="28"/>
  <c r="G10" i="26"/>
  <c r="H9" i="26"/>
  <c r="E11" i="26"/>
  <c r="G11" i="26"/>
  <c r="I48" i="29" l="1"/>
  <c r="S3" i="19"/>
  <c r="V3" i="19" s="1"/>
  <c r="T4" i="19"/>
  <c r="V4" i="19"/>
  <c r="S5" i="19"/>
  <c r="V5" i="19" s="1"/>
  <c r="T6" i="19"/>
  <c r="V6" i="19"/>
  <c r="S7" i="19"/>
  <c r="V7" i="19" s="1"/>
  <c r="T8" i="19"/>
  <c r="V8" i="19"/>
  <c r="S9" i="19"/>
  <c r="V9" i="19" s="1"/>
  <c r="T10" i="19"/>
  <c r="V10" i="19"/>
  <c r="S11" i="19"/>
  <c r="T11" i="19" s="1"/>
  <c r="T5" i="19"/>
  <c r="U1" i="19"/>
  <c r="S2" i="19"/>
  <c r="V2" i="19" s="1"/>
  <c r="E36" i="24"/>
  <c r="E35" i="24"/>
  <c r="E34" i="24"/>
  <c r="E33" i="24"/>
  <c r="E32" i="24"/>
  <c r="E31" i="24"/>
  <c r="E30" i="24"/>
  <c r="E29" i="24"/>
  <c r="E28" i="24"/>
  <c r="E27" i="24"/>
  <c r="E26" i="24"/>
  <c r="E25" i="24"/>
  <c r="E24" i="24"/>
  <c r="E23" i="24"/>
  <c r="E22" i="24"/>
  <c r="E21" i="24"/>
  <c r="E20" i="24"/>
  <c r="E19" i="24"/>
  <c r="E18" i="24"/>
  <c r="E17" i="24"/>
  <c r="E16" i="24"/>
  <c r="E15" i="24"/>
  <c r="E14" i="24"/>
  <c r="E13" i="24"/>
  <c r="E12" i="24"/>
  <c r="E11" i="24"/>
  <c r="E10" i="24"/>
  <c r="E9" i="24"/>
  <c r="E8" i="24"/>
  <c r="E7" i="24"/>
  <c r="E6" i="24"/>
  <c r="E5" i="24"/>
  <c r="E4" i="24"/>
  <c r="E3" i="24"/>
  <c r="E2" i="24"/>
  <c r="D37" i="24"/>
  <c r="D36" i="24"/>
  <c r="D35" i="24"/>
  <c r="D34" i="24"/>
  <c r="D33" i="24"/>
  <c r="D32" i="24"/>
  <c r="D31" i="24"/>
  <c r="D30" i="24"/>
  <c r="D29" i="24"/>
  <c r="D28" i="24"/>
  <c r="D27" i="24"/>
  <c r="D26" i="24"/>
  <c r="D25" i="24"/>
  <c r="D24" i="24"/>
  <c r="D23" i="24"/>
  <c r="D22" i="24"/>
  <c r="D21" i="24"/>
  <c r="D20" i="24"/>
  <c r="D19" i="24"/>
  <c r="D18" i="24"/>
  <c r="D17" i="24"/>
  <c r="D16" i="24"/>
  <c r="D15" i="24"/>
  <c r="D14" i="24"/>
  <c r="D13" i="24"/>
  <c r="D12" i="24"/>
  <c r="D11" i="24"/>
  <c r="D10" i="24"/>
  <c r="D9" i="24"/>
  <c r="D8" i="24"/>
  <c r="D7" i="24"/>
  <c r="D6" i="24"/>
  <c r="D5" i="24"/>
  <c r="D4" i="24"/>
  <c r="D3" i="24"/>
  <c r="D2" i="24"/>
  <c r="A37" i="24"/>
  <c r="E37" i="24" s="1"/>
  <c r="T9" i="19" l="1"/>
  <c r="W9" i="19" s="1"/>
  <c r="V11" i="19"/>
  <c r="T7" i="19"/>
  <c r="U7" i="19" s="1"/>
  <c r="Y7" i="19" s="1"/>
  <c r="U4" i="19"/>
  <c r="Y4" i="19" s="1"/>
  <c r="U10" i="19"/>
  <c r="Y10" i="19" s="1"/>
  <c r="U8" i="19"/>
  <c r="Y8" i="19" s="1"/>
  <c r="U6" i="19"/>
  <c r="Y6" i="19" s="1"/>
  <c r="U11" i="19"/>
  <c r="Y11" i="19" s="1"/>
  <c r="W7" i="19"/>
  <c r="W11" i="19"/>
  <c r="U9" i="19"/>
  <c r="Y9" i="19" s="1"/>
  <c r="U5" i="19"/>
  <c r="Y5" i="19" s="1"/>
  <c r="T3" i="19"/>
  <c r="X8" i="19"/>
  <c r="X4" i="19"/>
  <c r="W10" i="19"/>
  <c r="W6" i="19"/>
  <c r="W5" i="19"/>
  <c r="W8" i="19"/>
  <c r="W4" i="19"/>
  <c r="T2" i="19"/>
  <c r="T1" i="23"/>
  <c r="U1" i="23" s="1"/>
  <c r="R12" i="23"/>
  <c r="R11" i="23"/>
  <c r="R10" i="23"/>
  <c r="R9" i="23"/>
  <c r="R8" i="23"/>
  <c r="R7" i="23"/>
  <c r="R5" i="23"/>
  <c r="R4" i="23"/>
  <c r="R3" i="23"/>
  <c r="R2" i="23"/>
  <c r="X6" i="19" l="1"/>
  <c r="X10" i="19"/>
  <c r="X5" i="19"/>
  <c r="W3" i="19"/>
  <c r="U3" i="19"/>
  <c r="Y3" i="19" s="1"/>
  <c r="X9" i="19"/>
  <c r="X7" i="19"/>
  <c r="X11" i="19"/>
  <c r="U2" i="19"/>
  <c r="Y2" i="19" s="1"/>
  <c r="W2" i="19"/>
  <c r="S2" i="23"/>
  <c r="T2" i="23" s="1"/>
  <c r="S4" i="23"/>
  <c r="V4" i="23" s="1"/>
  <c r="S7" i="23"/>
  <c r="T7" i="23" s="1"/>
  <c r="S9" i="23"/>
  <c r="V9" i="23" s="1"/>
  <c r="S11" i="23"/>
  <c r="T11" i="23" s="1"/>
  <c r="T4" i="23"/>
  <c r="T9" i="23"/>
  <c r="S3" i="23"/>
  <c r="S5" i="23"/>
  <c r="V5" i="23" s="1"/>
  <c r="S8" i="23"/>
  <c r="T8" i="23" s="1"/>
  <c r="S10" i="23"/>
  <c r="T10" i="23" s="1"/>
  <c r="S12" i="23"/>
  <c r="T12" i="23" s="1"/>
  <c r="V7" i="23"/>
  <c r="B3" i="22"/>
  <c r="E3" i="22" s="1"/>
  <c r="B4" i="22"/>
  <c r="C4" i="22" s="1"/>
  <c r="B5" i="22"/>
  <c r="F5" i="22" s="1"/>
  <c r="I5" i="22" s="1"/>
  <c r="B6" i="22"/>
  <c r="J6" i="22" s="1"/>
  <c r="B7" i="22"/>
  <c r="E7" i="22" s="1"/>
  <c r="B8" i="22"/>
  <c r="C8" i="22" s="1"/>
  <c r="B2" i="22"/>
  <c r="E2" i="22" s="1"/>
  <c r="C3" i="22"/>
  <c r="D3" i="22" s="1"/>
  <c r="E1" i="1"/>
  <c r="E4" i="1"/>
  <c r="E3" i="1"/>
  <c r="E2" i="1"/>
  <c r="Z14" i="41" l="1"/>
  <c r="Z13" i="41"/>
  <c r="Z12" i="41"/>
  <c r="Z11" i="41"/>
  <c r="Z10" i="41"/>
  <c r="Z9" i="41"/>
  <c r="Z8" i="41"/>
  <c r="Z7" i="41"/>
  <c r="Z5" i="41"/>
  <c r="Z4" i="41"/>
  <c r="Z3" i="41"/>
  <c r="Z2" i="41"/>
  <c r="Z11" i="19"/>
  <c r="Z9" i="19"/>
  <c r="Z7" i="19"/>
  <c r="Z5" i="19"/>
  <c r="Z3" i="19"/>
  <c r="Z2" i="19"/>
  <c r="Z10" i="19"/>
  <c r="Z8" i="19"/>
  <c r="Z6" i="19"/>
  <c r="Z4" i="19"/>
  <c r="C7" i="22"/>
  <c r="D7" i="22" s="1"/>
  <c r="X3" i="19"/>
  <c r="X2" i="19"/>
  <c r="F7" i="22"/>
  <c r="I7" i="22" s="1"/>
  <c r="U7" i="23"/>
  <c r="Y7" i="23" s="1"/>
  <c r="W11" i="23"/>
  <c r="V11" i="23"/>
  <c r="W7" i="23"/>
  <c r="Z12" i="23"/>
  <c r="Z11" i="23"/>
  <c r="Z9" i="23"/>
  <c r="Z7" i="23"/>
  <c r="Z4" i="23"/>
  <c r="Z2" i="23"/>
  <c r="Z10" i="23"/>
  <c r="Z8" i="23"/>
  <c r="Z5" i="23"/>
  <c r="Z3" i="23"/>
  <c r="U10" i="23"/>
  <c r="Y10" i="23" s="1"/>
  <c r="U2" i="23"/>
  <c r="Y2" i="23" s="1"/>
  <c r="W2" i="23"/>
  <c r="C2" i="22"/>
  <c r="C5" i="22"/>
  <c r="D5" i="22" s="1"/>
  <c r="F3" i="22"/>
  <c r="I3" i="22" s="1"/>
  <c r="E5" i="22"/>
  <c r="V10" i="23"/>
  <c r="U11" i="23"/>
  <c r="Y11" i="23" s="1"/>
  <c r="T5" i="23"/>
  <c r="W10" i="23"/>
  <c r="W5" i="23"/>
  <c r="V2" i="23"/>
  <c r="W9" i="23"/>
  <c r="W4" i="23"/>
  <c r="W12" i="23"/>
  <c r="W8" i="23"/>
  <c r="U12" i="23"/>
  <c r="Y12" i="23" s="1"/>
  <c r="U8" i="23"/>
  <c r="Y8" i="23" s="1"/>
  <c r="U9" i="23"/>
  <c r="Y9" i="23" s="1"/>
  <c r="U4" i="23"/>
  <c r="Y4" i="23" s="1"/>
  <c r="V12" i="23"/>
  <c r="V8" i="23"/>
  <c r="V3" i="23"/>
  <c r="T3" i="23"/>
  <c r="W3" i="23" s="1"/>
  <c r="C6" i="22"/>
  <c r="H3" i="22"/>
  <c r="D6" i="22"/>
  <c r="F4" i="22"/>
  <c r="I4" i="22" s="1"/>
  <c r="F6" i="22"/>
  <c r="I6" i="22" s="1"/>
  <c r="F8" i="22"/>
  <c r="I8" i="22" s="1"/>
  <c r="E4" i="22"/>
  <c r="E6" i="22"/>
  <c r="E8" i="22"/>
  <c r="D2" i="22"/>
  <c r="F2" i="22"/>
  <c r="I2" i="22" s="1"/>
  <c r="G3" i="22"/>
  <c r="G5" i="22"/>
  <c r="G7" i="22"/>
  <c r="D4" i="22"/>
  <c r="G4" i="22" s="1"/>
  <c r="D8" i="22"/>
  <c r="G8" i="22" s="1"/>
  <c r="B30" i="21"/>
  <c r="B29" i="21"/>
  <c r="B28" i="21"/>
  <c r="B27" i="21"/>
  <c r="B26" i="21"/>
  <c r="B25" i="21"/>
  <c r="B24" i="21"/>
  <c r="B23" i="21"/>
  <c r="B22" i="21"/>
  <c r="B21" i="21"/>
  <c r="B20" i="21"/>
  <c r="B19" i="21"/>
  <c r="B18" i="21"/>
  <c r="B17" i="21"/>
  <c r="B16" i="21"/>
  <c r="B15" i="21"/>
  <c r="B14" i="21"/>
  <c r="B13" i="21"/>
  <c r="B12" i="21"/>
  <c r="B11" i="21"/>
  <c r="B10" i="21"/>
  <c r="B9" i="21"/>
  <c r="B8" i="21"/>
  <c r="B7" i="21"/>
  <c r="B6" i="21"/>
  <c r="B5" i="21"/>
  <c r="B4" i="21"/>
  <c r="B3" i="21"/>
  <c r="B2" i="21"/>
  <c r="C50" i="17"/>
  <c r="C79" i="17"/>
  <c r="C48" i="17"/>
  <c r="C49" i="17"/>
  <c r="AG2" i="41" l="1"/>
  <c r="Z6" i="41"/>
  <c r="Z16" i="41" s="1"/>
  <c r="AA2" i="41"/>
  <c r="AB2" i="41"/>
  <c r="AE2" i="41"/>
  <c r="AC2" i="41"/>
  <c r="AD2" i="41"/>
  <c r="AE4" i="41"/>
  <c r="AD4" i="41"/>
  <c r="AC4" i="41"/>
  <c r="AB4" i="41"/>
  <c r="AG4" i="41"/>
  <c r="AA4" i="41"/>
  <c r="Z15" i="41"/>
  <c r="AA7" i="41"/>
  <c r="AA9" i="41"/>
  <c r="AA11" i="41"/>
  <c r="AA13" i="41"/>
  <c r="AE3" i="41"/>
  <c r="AB3" i="41"/>
  <c r="AG3" i="41"/>
  <c r="AA3" i="41"/>
  <c r="AD3" i="41"/>
  <c r="AC3" i="41"/>
  <c r="AE5" i="41"/>
  <c r="AB5" i="41"/>
  <c r="AG5" i="41"/>
  <c r="AA5" i="41"/>
  <c r="AD5" i="41"/>
  <c r="AC5" i="41"/>
  <c r="AA8" i="41"/>
  <c r="AA10" i="41"/>
  <c r="AA12" i="41"/>
  <c r="AA14" i="41"/>
  <c r="H7" i="22"/>
  <c r="J7" i="22" s="1"/>
  <c r="H6" i="22"/>
  <c r="AG4" i="19"/>
  <c r="AE4" i="19"/>
  <c r="AA4" i="19"/>
  <c r="AC4" i="19"/>
  <c r="AD4" i="19"/>
  <c r="AB4" i="19"/>
  <c r="AA8" i="19"/>
  <c r="AG2" i="19"/>
  <c r="AA2" i="19"/>
  <c r="AE2" i="19"/>
  <c r="AD2" i="19"/>
  <c r="AC2" i="19"/>
  <c r="AB2" i="19"/>
  <c r="AE5" i="19"/>
  <c r="AB5" i="19"/>
  <c r="AG5" i="19"/>
  <c r="AA5" i="19"/>
  <c r="AD5" i="19"/>
  <c r="AC5" i="19"/>
  <c r="AA9" i="19"/>
  <c r="X2" i="23"/>
  <c r="AA6" i="19"/>
  <c r="AA10" i="19"/>
  <c r="AG3" i="19"/>
  <c r="AA3" i="19"/>
  <c r="AE3" i="19"/>
  <c r="AB3" i="19"/>
  <c r="AC3" i="19"/>
  <c r="AD3" i="19"/>
  <c r="AA7" i="19"/>
  <c r="AA11" i="19"/>
  <c r="W13" i="23"/>
  <c r="AA8" i="23"/>
  <c r="AA7" i="23"/>
  <c r="AA11" i="23"/>
  <c r="X7" i="23"/>
  <c r="H5" i="22"/>
  <c r="AA10" i="23"/>
  <c r="AA9" i="23"/>
  <c r="AA12" i="23"/>
  <c r="AE3" i="23"/>
  <c r="AC3" i="23"/>
  <c r="AA3" i="23"/>
  <c r="AG3" i="23"/>
  <c r="AD3" i="23"/>
  <c r="AB3" i="23"/>
  <c r="AG2" i="23"/>
  <c r="AD2" i="23"/>
  <c r="AB2" i="23"/>
  <c r="AE2" i="23"/>
  <c r="AC2" i="23"/>
  <c r="AA2" i="23"/>
  <c r="AE5" i="23"/>
  <c r="AC5" i="23"/>
  <c r="AA5" i="23"/>
  <c r="AG5" i="23"/>
  <c r="AD5" i="23"/>
  <c r="AB5" i="23"/>
  <c r="AG4" i="23"/>
  <c r="AD4" i="23"/>
  <c r="AB4" i="23"/>
  <c r="AE4" i="23"/>
  <c r="AC4" i="23"/>
  <c r="AA4" i="23"/>
  <c r="V13" i="23"/>
  <c r="X4" i="23"/>
  <c r="X10" i="23"/>
  <c r="B32" i="21"/>
  <c r="C29" i="21" s="1"/>
  <c r="H2" i="22"/>
  <c r="U5" i="23"/>
  <c r="Y5" i="23" s="1"/>
  <c r="X9" i="23"/>
  <c r="X8" i="23"/>
  <c r="W6" i="23"/>
  <c r="Z6" i="23"/>
  <c r="Z13" i="23"/>
  <c r="V6" i="23"/>
  <c r="X12" i="23"/>
  <c r="X11" i="23"/>
  <c r="U3" i="23"/>
  <c r="Y3" i="23" s="1"/>
  <c r="J3" i="22"/>
  <c r="J5" i="22"/>
  <c r="H4" i="22"/>
  <c r="J4" i="22" s="1"/>
  <c r="H8" i="22"/>
  <c r="J8" i="22" s="1"/>
  <c r="G6" i="22"/>
  <c r="G2" i="22"/>
  <c r="J2" i="22" s="1"/>
  <c r="C2" i="21"/>
  <c r="A68" i="18"/>
  <c r="F68" i="18" s="1"/>
  <c r="M5" i="18"/>
  <c r="F70" i="18"/>
  <c r="F69" i="18"/>
  <c r="F62" i="18"/>
  <c r="F61" i="18"/>
  <c r="F60" i="18"/>
  <c r="F59" i="18"/>
  <c r="F58" i="18"/>
  <c r="F57" i="18"/>
  <c r="F56" i="18"/>
  <c r="F55" i="18"/>
  <c r="F54" i="18"/>
  <c r="F53" i="18"/>
  <c r="F52" i="18"/>
  <c r="F50" i="18"/>
  <c r="F49" i="18"/>
  <c r="F48" i="18"/>
  <c r="F47" i="18"/>
  <c r="F46" i="18"/>
  <c r="F45" i="18"/>
  <c r="F43" i="18"/>
  <c r="F42" i="18"/>
  <c r="F41" i="18"/>
  <c r="F40" i="18"/>
  <c r="F39" i="18"/>
  <c r="F38" i="18"/>
  <c r="F37" i="18"/>
  <c r="F35" i="18"/>
  <c r="F34" i="18"/>
  <c r="F33" i="18"/>
  <c r="F32" i="18"/>
  <c r="F30" i="18"/>
  <c r="F29" i="18"/>
  <c r="F28" i="18"/>
  <c r="F27" i="18"/>
  <c r="F26" i="18"/>
  <c r="F25" i="18"/>
  <c r="F24" i="18"/>
  <c r="F23" i="18"/>
  <c r="F21" i="18"/>
  <c r="F20" i="18"/>
  <c r="F19" i="18"/>
  <c r="F18" i="18"/>
  <c r="F17" i="18"/>
  <c r="F16" i="18"/>
  <c r="F15" i="18"/>
  <c r="F14" i="18"/>
  <c r="F13" i="18"/>
  <c r="F12" i="18"/>
  <c r="F11" i="18"/>
  <c r="F10" i="18"/>
  <c r="F9" i="18"/>
  <c r="F8" i="18"/>
  <c r="F7" i="18"/>
  <c r="F6" i="18"/>
  <c r="F5" i="18"/>
  <c r="F4" i="18"/>
  <c r="F3" i="18"/>
  <c r="E70" i="18"/>
  <c r="E69" i="18"/>
  <c r="E62" i="18"/>
  <c r="E61" i="18"/>
  <c r="E60" i="18"/>
  <c r="E59" i="18"/>
  <c r="E58" i="18"/>
  <c r="E57" i="18"/>
  <c r="E56" i="18"/>
  <c r="E55" i="18"/>
  <c r="E54" i="18"/>
  <c r="E53" i="18"/>
  <c r="E52" i="18"/>
  <c r="E50" i="18"/>
  <c r="E49" i="18"/>
  <c r="E48" i="18"/>
  <c r="E47" i="18"/>
  <c r="E46" i="18"/>
  <c r="E45" i="18"/>
  <c r="E43" i="18"/>
  <c r="E42" i="18"/>
  <c r="E41" i="18"/>
  <c r="E40" i="18"/>
  <c r="E39" i="18"/>
  <c r="E38" i="18"/>
  <c r="E37" i="18"/>
  <c r="E35" i="18"/>
  <c r="E34" i="18"/>
  <c r="E33" i="18"/>
  <c r="E32" i="18"/>
  <c r="E30" i="18"/>
  <c r="E29" i="18"/>
  <c r="E28" i="18"/>
  <c r="E27" i="18"/>
  <c r="E26" i="18"/>
  <c r="E25" i="18"/>
  <c r="E24" i="18"/>
  <c r="E23" i="18"/>
  <c r="N23" i="18" s="1"/>
  <c r="E21" i="18"/>
  <c r="E20" i="18"/>
  <c r="E19" i="18"/>
  <c r="E18" i="18"/>
  <c r="E17" i="18"/>
  <c r="E16" i="18"/>
  <c r="E15" i="18"/>
  <c r="E14" i="18"/>
  <c r="E13" i="18"/>
  <c r="E12" i="18"/>
  <c r="E11" i="18"/>
  <c r="E10" i="18"/>
  <c r="E9" i="18"/>
  <c r="E8" i="18"/>
  <c r="E7" i="18"/>
  <c r="E6" i="18"/>
  <c r="E5" i="18"/>
  <c r="E4" i="18"/>
  <c r="E3" i="18"/>
  <c r="G70" i="18"/>
  <c r="G69" i="18"/>
  <c r="G62" i="18"/>
  <c r="G61" i="18"/>
  <c r="G60" i="18"/>
  <c r="G59" i="18"/>
  <c r="G58" i="18"/>
  <c r="G57" i="18"/>
  <c r="G56" i="18"/>
  <c r="G55" i="18"/>
  <c r="G54" i="18"/>
  <c r="G53" i="18"/>
  <c r="G52" i="18"/>
  <c r="G50" i="18"/>
  <c r="G49" i="18"/>
  <c r="G48" i="18"/>
  <c r="G47" i="18"/>
  <c r="G46" i="18"/>
  <c r="G45" i="18"/>
  <c r="G43" i="18"/>
  <c r="G42" i="18"/>
  <c r="G41" i="18"/>
  <c r="G40" i="18"/>
  <c r="G39" i="18"/>
  <c r="G38" i="18"/>
  <c r="G37" i="18"/>
  <c r="G35" i="18"/>
  <c r="G34" i="18"/>
  <c r="G33" i="18"/>
  <c r="G32" i="18"/>
  <c r="G30" i="18"/>
  <c r="G29" i="18"/>
  <c r="G28" i="18"/>
  <c r="G27" i="18"/>
  <c r="G26" i="18"/>
  <c r="G25" i="18"/>
  <c r="G24" i="18"/>
  <c r="G23" i="18"/>
  <c r="G21" i="18"/>
  <c r="G20" i="18"/>
  <c r="G19" i="18"/>
  <c r="G18" i="18"/>
  <c r="G17" i="18"/>
  <c r="G16" i="18"/>
  <c r="G15" i="18"/>
  <c r="G14" i="18"/>
  <c r="G13" i="18"/>
  <c r="G12" i="18"/>
  <c r="G11" i="18"/>
  <c r="G10" i="18"/>
  <c r="G9" i="18"/>
  <c r="G8" i="18"/>
  <c r="G7" i="18"/>
  <c r="G6" i="18"/>
  <c r="G5" i="18"/>
  <c r="G4" i="18"/>
  <c r="G3" i="18"/>
  <c r="AB7" i="41"/>
  <c r="AB9" i="41"/>
  <c r="AB11" i="41"/>
  <c r="AB13" i="41"/>
  <c r="AB10" i="23"/>
  <c r="AB8" i="23"/>
  <c r="AB11" i="19"/>
  <c r="AB9" i="23"/>
  <c r="AB11" i="23"/>
  <c r="AB9" i="19"/>
  <c r="AB8" i="41"/>
  <c r="AB10" i="41"/>
  <c r="AB12" i="41"/>
  <c r="AB14" i="41"/>
  <c r="AB7" i="23"/>
  <c r="AB6" i="19"/>
  <c r="AB7" i="19"/>
  <c r="AB8" i="19"/>
  <c r="AB12" i="23"/>
  <c r="AB10" i="19"/>
  <c r="AC14" i="41" l="1"/>
  <c r="AC12" i="41"/>
  <c r="AC10" i="41"/>
  <c r="AC8" i="41"/>
  <c r="AC13" i="41"/>
  <c r="AC11" i="41"/>
  <c r="AC9" i="41"/>
  <c r="AC7" i="41"/>
  <c r="C28" i="21"/>
  <c r="C12" i="21"/>
  <c r="C15" i="21"/>
  <c r="C4" i="21"/>
  <c r="C20" i="21"/>
  <c r="C7" i="21"/>
  <c r="C23" i="21"/>
  <c r="C8" i="21"/>
  <c r="C16" i="21"/>
  <c r="C24" i="21"/>
  <c r="C3" i="21"/>
  <c r="C11" i="21"/>
  <c r="C19" i="21"/>
  <c r="C27" i="21"/>
  <c r="AC11" i="19"/>
  <c r="AC9" i="19"/>
  <c r="AC8" i="19"/>
  <c r="AC7" i="19"/>
  <c r="AC10" i="19"/>
  <c r="AC6" i="19"/>
  <c r="AC9" i="23"/>
  <c r="AC10" i="23"/>
  <c r="AC11" i="23"/>
  <c r="AC7" i="23"/>
  <c r="AC8" i="23"/>
  <c r="AC12" i="23"/>
  <c r="C6" i="21"/>
  <c r="C10" i="21"/>
  <c r="C14" i="21"/>
  <c r="C18" i="21"/>
  <c r="C22" i="21"/>
  <c r="C26" i="21"/>
  <c r="C30" i="21"/>
  <c r="C5" i="21"/>
  <c r="C9" i="21"/>
  <c r="C13" i="21"/>
  <c r="C17" i="21"/>
  <c r="C21" i="21"/>
  <c r="C25" i="21"/>
  <c r="AG6" i="23"/>
  <c r="AD6" i="23"/>
  <c r="AB6" i="23"/>
  <c r="AE6" i="23"/>
  <c r="AC6" i="23"/>
  <c r="AA6" i="23"/>
  <c r="Z14" i="23"/>
  <c r="X13" i="23"/>
  <c r="X5" i="23"/>
  <c r="X3" i="23"/>
  <c r="I68" i="18"/>
  <c r="M68" i="18" s="1"/>
  <c r="G68" i="18"/>
  <c r="E68" i="18"/>
  <c r="C2" i="18"/>
  <c r="D2" i="18"/>
  <c r="B2" i="18"/>
  <c r="B68" i="18" s="1"/>
  <c r="E41" i="17"/>
  <c r="D41" i="17"/>
  <c r="E40" i="17"/>
  <c r="D40" i="17"/>
  <c r="E39" i="17"/>
  <c r="D39" i="17"/>
  <c r="E38" i="17"/>
  <c r="D38" i="17"/>
  <c r="E37" i="17"/>
  <c r="D37" i="17"/>
  <c r="E36" i="17"/>
  <c r="D36" i="17"/>
  <c r="E35" i="17"/>
  <c r="D35" i="17"/>
  <c r="E34" i="17"/>
  <c r="D34" i="17"/>
  <c r="E33" i="17"/>
  <c r="D33" i="17"/>
  <c r="E32" i="17"/>
  <c r="D32" i="17"/>
  <c r="E31" i="17"/>
  <c r="D31" i="17"/>
  <c r="E30" i="17"/>
  <c r="D30" i="17"/>
  <c r="E29" i="17"/>
  <c r="D29" i="17"/>
  <c r="E28" i="17"/>
  <c r="D28" i="17"/>
  <c r="E27" i="17"/>
  <c r="D27" i="17"/>
  <c r="E26" i="17"/>
  <c r="D26" i="17"/>
  <c r="E25" i="17"/>
  <c r="D25" i="17"/>
  <c r="E24" i="17"/>
  <c r="D24" i="17"/>
  <c r="E23" i="17"/>
  <c r="D23" i="17"/>
  <c r="AD14" i="41"/>
  <c r="AE14" i="41"/>
  <c r="AG14" i="41"/>
  <c r="AD10" i="41"/>
  <c r="AE10" i="41"/>
  <c r="AG10" i="41"/>
  <c r="AG13" i="41"/>
  <c r="AD13" i="41"/>
  <c r="AE13" i="41"/>
  <c r="AG9" i="41"/>
  <c r="AE9" i="41"/>
  <c r="AD9" i="41"/>
  <c r="C34" i="17"/>
  <c r="G25" i="17"/>
  <c r="AE6" i="19"/>
  <c r="AD9" i="23"/>
  <c r="AG11" i="19"/>
  <c r="F24" i="17"/>
  <c r="G27" i="17"/>
  <c r="F31" i="17"/>
  <c r="AG8" i="23"/>
  <c r="AD12" i="23"/>
  <c r="AD9" i="19"/>
  <c r="AE9" i="19"/>
  <c r="F38" i="17"/>
  <c r="F33" i="17"/>
  <c r="AG10" i="23"/>
  <c r="AD11" i="23"/>
  <c r="AD12" i="41"/>
  <c r="AE12" i="41"/>
  <c r="AG12" i="41"/>
  <c r="AE8" i="41"/>
  <c r="AG8" i="41"/>
  <c r="AD8" i="41"/>
  <c r="AD11" i="41"/>
  <c r="AE11" i="41"/>
  <c r="AG11" i="41"/>
  <c r="AG7" i="41"/>
  <c r="AE7" i="41"/>
  <c r="AD7" i="41"/>
  <c r="G23" i="17"/>
  <c r="F28" i="17"/>
  <c r="AG10" i="19"/>
  <c r="G28" i="17"/>
  <c r="G35" i="17"/>
  <c r="AE10" i="23"/>
  <c r="F36" i="17"/>
  <c r="G26" i="17"/>
  <c r="G41" i="17"/>
  <c r="F26" i="17"/>
  <c r="AD8" i="19"/>
  <c r="AG7" i="19"/>
  <c r="AG9" i="19"/>
  <c r="G37" i="17"/>
  <c r="AE10" i="19"/>
  <c r="F35" i="17"/>
  <c r="AD7" i="23"/>
  <c r="AD7" i="19"/>
  <c r="F30" i="17"/>
  <c r="AD8" i="23"/>
  <c r="AE12" i="23"/>
  <c r="F29" i="17"/>
  <c r="AG6" i="19"/>
  <c r="G29" i="17"/>
  <c r="AE9" i="23"/>
  <c r="AD10" i="19"/>
  <c r="F41" i="17"/>
  <c r="AD6" i="19"/>
  <c r="AG8" i="19"/>
  <c r="AG7" i="23"/>
  <c r="G34" i="17"/>
  <c r="AG11" i="23"/>
  <c r="F25" i="17"/>
  <c r="AE7" i="19"/>
  <c r="AE11" i="19"/>
  <c r="G30" i="17"/>
  <c r="AD10" i="23"/>
  <c r="G38" i="17"/>
  <c r="G31" i="17"/>
  <c r="G36" i="17"/>
  <c r="AE11" i="23"/>
  <c r="G32" i="17"/>
  <c r="C31" i="17"/>
  <c r="F34" i="17"/>
  <c r="G24" i="17"/>
  <c r="F37" i="17"/>
  <c r="F27" i="17"/>
  <c r="F40" i="17"/>
  <c r="F39" i="17"/>
  <c r="AD11" i="19"/>
  <c r="AG12" i="23"/>
  <c r="F32" i="17"/>
  <c r="F23" i="17"/>
  <c r="AE8" i="19"/>
  <c r="C37" i="17"/>
  <c r="AG9" i="23"/>
  <c r="G39" i="17"/>
  <c r="C35" i="17"/>
  <c r="AE8" i="23"/>
  <c r="G33" i="17"/>
  <c r="AE7" i="23"/>
  <c r="G40" i="17"/>
  <c r="C32" i="17"/>
  <c r="H40" i="17" l="1"/>
  <c r="H41" i="17"/>
  <c r="H38" i="17"/>
  <c r="H39" i="17"/>
  <c r="X6" i="23"/>
  <c r="H34" i="17"/>
  <c r="H35" i="17"/>
  <c r="H36" i="17"/>
  <c r="H37" i="17"/>
  <c r="B54" i="18"/>
  <c r="C54" i="18" s="1"/>
  <c r="H54" i="18" s="1"/>
  <c r="B30" i="18"/>
  <c r="B18" i="18"/>
  <c r="C18" i="18" s="1"/>
  <c r="B42" i="18"/>
  <c r="B70" i="18"/>
  <c r="C70" i="18" s="1"/>
  <c r="B62" i="18"/>
  <c r="B60" i="18"/>
  <c r="C60" i="18" s="1"/>
  <c r="B58" i="18"/>
  <c r="B56" i="18"/>
  <c r="C56" i="18" s="1"/>
  <c r="B49" i="18"/>
  <c r="B35" i="18"/>
  <c r="C35" i="18" s="1"/>
  <c r="B21" i="18"/>
  <c r="B14" i="18"/>
  <c r="C14" i="18" s="1"/>
  <c r="B12" i="18"/>
  <c r="C12" i="18" s="1"/>
  <c r="B10" i="18"/>
  <c r="C10" i="18" s="1"/>
  <c r="B69" i="18"/>
  <c r="B61" i="18"/>
  <c r="B59" i="18"/>
  <c r="B57" i="18"/>
  <c r="B50" i="18"/>
  <c r="B43" i="18"/>
  <c r="C43" i="18" s="1"/>
  <c r="B34" i="18"/>
  <c r="B20" i="18"/>
  <c r="C20" i="18" s="1"/>
  <c r="B13" i="18"/>
  <c r="C13" i="18" s="1"/>
  <c r="B11" i="18"/>
  <c r="C11" i="18" s="1"/>
  <c r="B6" i="18"/>
  <c r="C6" i="18" s="1"/>
  <c r="B26" i="18"/>
  <c r="C26" i="18" s="1"/>
  <c r="B38" i="18"/>
  <c r="C38" i="18" s="1"/>
  <c r="B48" i="18"/>
  <c r="C69" i="18"/>
  <c r="C61" i="18"/>
  <c r="C59" i="18"/>
  <c r="C57" i="18"/>
  <c r="C50" i="18"/>
  <c r="C48" i="18"/>
  <c r="C34" i="18"/>
  <c r="C62" i="18"/>
  <c r="C58" i="18"/>
  <c r="C49" i="18"/>
  <c r="C42" i="18"/>
  <c r="C30" i="18"/>
  <c r="C21" i="18"/>
  <c r="C68" i="18"/>
  <c r="D69" i="18"/>
  <c r="D61" i="18"/>
  <c r="D59" i="18"/>
  <c r="D57" i="18"/>
  <c r="D55" i="18"/>
  <c r="D53" i="18"/>
  <c r="D50" i="18"/>
  <c r="D48" i="18"/>
  <c r="D46" i="18"/>
  <c r="D43" i="18"/>
  <c r="D41" i="18"/>
  <c r="D39" i="18"/>
  <c r="D37" i="18"/>
  <c r="D34" i="18"/>
  <c r="D32" i="18"/>
  <c r="D29" i="18"/>
  <c r="D27" i="18"/>
  <c r="D25" i="18"/>
  <c r="D23" i="18"/>
  <c r="D20" i="18"/>
  <c r="D18" i="18"/>
  <c r="D16" i="18"/>
  <c r="D14" i="18"/>
  <c r="D12" i="18"/>
  <c r="D10" i="18"/>
  <c r="D8" i="18"/>
  <c r="D6" i="18"/>
  <c r="D4" i="18"/>
  <c r="J4" i="18" s="1"/>
  <c r="D70" i="18"/>
  <c r="D60" i="18"/>
  <c r="D56" i="18"/>
  <c r="D52" i="18"/>
  <c r="D47" i="18"/>
  <c r="D42" i="18"/>
  <c r="D38" i="18"/>
  <c r="D33" i="18"/>
  <c r="D28" i="18"/>
  <c r="D24" i="18"/>
  <c r="D19" i="18"/>
  <c r="D15" i="18"/>
  <c r="D11" i="18"/>
  <c r="D7" i="18"/>
  <c r="D62" i="18"/>
  <c r="D58" i="18"/>
  <c r="D54" i="18"/>
  <c r="D49" i="18"/>
  <c r="D45" i="18"/>
  <c r="D40" i="18"/>
  <c r="D35" i="18"/>
  <c r="D30" i="18"/>
  <c r="D26" i="18"/>
  <c r="D21" i="18"/>
  <c r="D17" i="18"/>
  <c r="D13" i="18"/>
  <c r="D9" i="18"/>
  <c r="D5" i="18"/>
  <c r="D68" i="18"/>
  <c r="J68" i="18" s="1"/>
  <c r="B4" i="18"/>
  <c r="C4" i="18" s="1"/>
  <c r="I4" i="18" s="1"/>
  <c r="B8" i="18"/>
  <c r="C8" i="18" s="1"/>
  <c r="B16" i="18"/>
  <c r="C16" i="18" s="1"/>
  <c r="B24" i="18"/>
  <c r="C24" i="18" s="1"/>
  <c r="B28" i="18"/>
  <c r="C28" i="18" s="1"/>
  <c r="B33" i="18"/>
  <c r="C33" i="18" s="1"/>
  <c r="H33" i="18" s="1"/>
  <c r="B40" i="18"/>
  <c r="C40" i="18" s="1"/>
  <c r="B46" i="18"/>
  <c r="C46" i="18" s="1"/>
  <c r="H46" i="18" s="1"/>
  <c r="B52" i="18"/>
  <c r="C52" i="18" s="1"/>
  <c r="H52" i="18" s="1"/>
  <c r="B3" i="18"/>
  <c r="C3" i="18" s="1"/>
  <c r="B5" i="18"/>
  <c r="C5" i="18" s="1"/>
  <c r="H5" i="18" s="1"/>
  <c r="B7" i="18"/>
  <c r="C7" i="18" s="1"/>
  <c r="B9" i="18"/>
  <c r="C9" i="18" s="1"/>
  <c r="B15" i="18"/>
  <c r="C15" i="18" s="1"/>
  <c r="H15" i="18" s="1"/>
  <c r="B17" i="18"/>
  <c r="C17" i="18" s="1"/>
  <c r="H17" i="18" s="1"/>
  <c r="B19" i="18"/>
  <c r="C19" i="18" s="1"/>
  <c r="H19" i="18" s="1"/>
  <c r="B23" i="18"/>
  <c r="C23" i="18" s="1"/>
  <c r="H23" i="18" s="1"/>
  <c r="B25" i="18"/>
  <c r="C25" i="18" s="1"/>
  <c r="H25" i="18" s="1"/>
  <c r="B27" i="18"/>
  <c r="C27" i="18" s="1"/>
  <c r="H27" i="18" s="1"/>
  <c r="B29" i="18"/>
  <c r="C29" i="18" s="1"/>
  <c r="H29" i="18" s="1"/>
  <c r="B32" i="18"/>
  <c r="C32" i="18" s="1"/>
  <c r="B37" i="18"/>
  <c r="C37" i="18" s="1"/>
  <c r="H37" i="18" s="1"/>
  <c r="B39" i="18"/>
  <c r="C39" i="18" s="1"/>
  <c r="H39" i="18" s="1"/>
  <c r="B41" i="18"/>
  <c r="C41" i="18" s="1"/>
  <c r="H41" i="18" s="1"/>
  <c r="B45" i="18"/>
  <c r="C45" i="18" s="1"/>
  <c r="B47" i="18"/>
  <c r="C47" i="18" s="1"/>
  <c r="B53" i="18"/>
  <c r="C53" i="18" s="1"/>
  <c r="B55" i="18"/>
  <c r="C55" i="18" s="1"/>
  <c r="D3" i="18"/>
  <c r="H28" i="17"/>
  <c r="H29" i="17"/>
  <c r="H30" i="17"/>
  <c r="H31" i="17"/>
  <c r="H32" i="17"/>
  <c r="H33" i="17"/>
  <c r="H3" i="18"/>
  <c r="H23" i="17"/>
  <c r="H25" i="17"/>
  <c r="H24" i="17"/>
  <c r="H26" i="17"/>
  <c r="H27" i="17"/>
  <c r="D2" i="17"/>
  <c r="E2" i="17"/>
  <c r="D3" i="17"/>
  <c r="E3" i="17"/>
  <c r="D4" i="17"/>
  <c r="E4" i="17"/>
  <c r="D5" i="17"/>
  <c r="E5" i="17"/>
  <c r="D6" i="17"/>
  <c r="E6" i="17"/>
  <c r="D7" i="17"/>
  <c r="E7" i="17"/>
  <c r="D8" i="17"/>
  <c r="E8" i="17"/>
  <c r="D9" i="17"/>
  <c r="E9" i="17"/>
  <c r="D10" i="17"/>
  <c r="E10" i="17"/>
  <c r="D11" i="17"/>
  <c r="E11" i="17"/>
  <c r="D12" i="17"/>
  <c r="E12" i="17"/>
  <c r="D13" i="17"/>
  <c r="E13" i="17"/>
  <c r="D14" i="17"/>
  <c r="E14" i="17"/>
  <c r="D15" i="17"/>
  <c r="E15" i="17"/>
  <c r="D16" i="17"/>
  <c r="E16" i="17"/>
  <c r="D17" i="17"/>
  <c r="E17" i="17"/>
  <c r="D18" i="17"/>
  <c r="E18" i="17"/>
  <c r="D19" i="17"/>
  <c r="E19" i="17"/>
  <c r="D20" i="17"/>
  <c r="E20" i="17"/>
  <c r="D21" i="17"/>
  <c r="E21" i="17"/>
  <c r="D22" i="17"/>
  <c r="E22" i="17"/>
  <c r="F2" i="17"/>
  <c r="F8" i="17"/>
  <c r="G20" i="17"/>
  <c r="F20" i="17"/>
  <c r="G3" i="17"/>
  <c r="C19" i="17"/>
  <c r="F15" i="17"/>
  <c r="G7" i="17"/>
  <c r="G19" i="17"/>
  <c r="G18" i="17"/>
  <c r="G14" i="17"/>
  <c r="G12" i="17"/>
  <c r="F12" i="17"/>
  <c r="G8" i="17"/>
  <c r="G16" i="17"/>
  <c r="G22" i="17"/>
  <c r="G4" i="17"/>
  <c r="F10" i="17"/>
  <c r="F19" i="17"/>
  <c r="G10" i="17"/>
  <c r="F11" i="17"/>
  <c r="G6" i="17"/>
  <c r="F13" i="17"/>
  <c r="F3" i="17"/>
  <c r="G2" i="17"/>
  <c r="F4" i="17"/>
  <c r="G13" i="17"/>
  <c r="F5" i="17"/>
  <c r="G17" i="17"/>
  <c r="F14" i="17"/>
  <c r="C2" i="17"/>
  <c r="G5" i="17"/>
  <c r="G11" i="17"/>
  <c r="G15" i="17"/>
  <c r="F7" i="17"/>
  <c r="F17" i="17"/>
  <c r="F22" i="17"/>
  <c r="F18" i="17"/>
  <c r="G21" i="17"/>
  <c r="F6" i="17"/>
  <c r="F21" i="17"/>
  <c r="G9" i="17"/>
  <c r="F16" i="17"/>
  <c r="F9" i="17"/>
  <c r="H48" i="18" l="1"/>
  <c r="H7" i="18"/>
  <c r="J9" i="18"/>
  <c r="I9" i="18"/>
  <c r="J17" i="18"/>
  <c r="I17" i="18"/>
  <c r="J26" i="18"/>
  <c r="I26" i="18"/>
  <c r="M26" i="18" s="1"/>
  <c r="J35" i="18"/>
  <c r="I35" i="18"/>
  <c r="J45" i="18"/>
  <c r="I45" i="18"/>
  <c r="A44" i="18" s="1"/>
  <c r="J54" i="18"/>
  <c r="I54" i="18"/>
  <c r="J62" i="18"/>
  <c r="I62" i="18"/>
  <c r="J11" i="18"/>
  <c r="I11" i="18"/>
  <c r="J19" i="18"/>
  <c r="I19" i="18"/>
  <c r="J28" i="18"/>
  <c r="I28" i="18"/>
  <c r="J38" i="18"/>
  <c r="I38" i="18"/>
  <c r="J47" i="18"/>
  <c r="I47" i="18"/>
  <c r="J56" i="18"/>
  <c r="I56" i="18"/>
  <c r="M56" i="18" s="1"/>
  <c r="J70" i="18"/>
  <c r="I70" i="18"/>
  <c r="J6" i="18"/>
  <c r="I6" i="18"/>
  <c r="J10" i="18"/>
  <c r="I10" i="18"/>
  <c r="I14" i="18"/>
  <c r="M14" i="18" s="1"/>
  <c r="J14" i="18"/>
  <c r="I18" i="18"/>
  <c r="J18" i="18"/>
  <c r="J23" i="18"/>
  <c r="I23" i="18"/>
  <c r="J27" i="18"/>
  <c r="I27" i="18"/>
  <c r="I32" i="18"/>
  <c r="J32" i="18"/>
  <c r="J37" i="18"/>
  <c r="I37" i="18"/>
  <c r="J41" i="18"/>
  <c r="I41" i="18"/>
  <c r="I46" i="18"/>
  <c r="J46" i="18"/>
  <c r="I50" i="18"/>
  <c r="J50" i="18"/>
  <c r="J55" i="18"/>
  <c r="I55" i="18"/>
  <c r="M55" i="18" s="1"/>
  <c r="J59" i="18"/>
  <c r="I59" i="18"/>
  <c r="J69" i="18"/>
  <c r="I69" i="18"/>
  <c r="J3" i="18"/>
  <c r="I3" i="18"/>
  <c r="I5" i="18"/>
  <c r="J5" i="18"/>
  <c r="J13" i="18"/>
  <c r="I13" i="18"/>
  <c r="J21" i="18"/>
  <c r="I21" i="18"/>
  <c r="J30" i="18"/>
  <c r="I30" i="18"/>
  <c r="J40" i="18"/>
  <c r="I40" i="18"/>
  <c r="J49" i="18"/>
  <c r="I49" i="18"/>
  <c r="M49" i="18" s="1"/>
  <c r="J58" i="18"/>
  <c r="I58" i="18"/>
  <c r="J7" i="18"/>
  <c r="I7" i="18"/>
  <c r="J15" i="18"/>
  <c r="I15" i="18"/>
  <c r="J24" i="18"/>
  <c r="I24" i="18"/>
  <c r="J33" i="18"/>
  <c r="I33" i="18"/>
  <c r="J42" i="18"/>
  <c r="I42" i="18"/>
  <c r="J52" i="18"/>
  <c r="I52" i="18"/>
  <c r="J60" i="18"/>
  <c r="I60" i="18"/>
  <c r="K4" i="18"/>
  <c r="L4" i="18"/>
  <c r="K3" i="18"/>
  <c r="I8" i="18"/>
  <c r="J8" i="18"/>
  <c r="J12" i="18"/>
  <c r="I12" i="18"/>
  <c r="I16" i="18"/>
  <c r="J16" i="18"/>
  <c r="I20" i="18"/>
  <c r="J20" i="18"/>
  <c r="J25" i="18"/>
  <c r="I25" i="18"/>
  <c r="J29" i="18"/>
  <c r="I29" i="18"/>
  <c r="I34" i="18"/>
  <c r="M34" i="18" s="1"/>
  <c r="J34" i="18"/>
  <c r="J39" i="18"/>
  <c r="I39" i="18"/>
  <c r="M39" i="18" s="1"/>
  <c r="J43" i="18"/>
  <c r="I43" i="18"/>
  <c r="J48" i="18"/>
  <c r="I48" i="18"/>
  <c r="J53" i="18"/>
  <c r="I53" i="18"/>
  <c r="J57" i="18"/>
  <c r="I57" i="18"/>
  <c r="J61" i="18"/>
  <c r="I61" i="18"/>
  <c r="K68" i="18"/>
  <c r="L68" i="18"/>
  <c r="H9" i="18"/>
  <c r="M45" i="18"/>
  <c r="H55" i="18"/>
  <c r="H26" i="18"/>
  <c r="H4" i="18"/>
  <c r="H70" i="18"/>
  <c r="L3" i="18"/>
  <c r="H45" i="18"/>
  <c r="H16" i="18"/>
  <c r="M54" i="18"/>
  <c r="H40" i="18"/>
  <c r="H30" i="18"/>
  <c r="H8" i="18"/>
  <c r="H53" i="18"/>
  <c r="H47" i="18"/>
  <c r="H42" i="18"/>
  <c r="H38" i="18"/>
  <c r="H32" i="18"/>
  <c r="H28" i="18"/>
  <c r="H24" i="18"/>
  <c r="H18" i="18"/>
  <c r="H14" i="18"/>
  <c r="H6" i="18"/>
  <c r="H20" i="17"/>
  <c r="H18" i="17"/>
  <c r="H16" i="17"/>
  <c r="H15" i="17"/>
  <c r="H14" i="17"/>
  <c r="H13" i="17"/>
  <c r="H12" i="17"/>
  <c r="H11" i="17"/>
  <c r="H10" i="17"/>
  <c r="H9" i="17"/>
  <c r="H8" i="17"/>
  <c r="H7" i="17"/>
  <c r="H6" i="17"/>
  <c r="H5" i="17"/>
  <c r="H4" i="17"/>
  <c r="H3" i="17"/>
  <c r="H2" i="17"/>
  <c r="H22" i="17"/>
  <c r="H21" i="17"/>
  <c r="H19" i="17"/>
  <c r="H17" i="17"/>
  <c r="F73" i="15"/>
  <c r="F71" i="15"/>
  <c r="F68" i="15"/>
  <c r="F66" i="15"/>
  <c r="F63" i="15"/>
  <c r="F61" i="15"/>
  <c r="F58" i="15"/>
  <c r="F56" i="15"/>
  <c r="F53" i="15"/>
  <c r="F51" i="15"/>
  <c r="F48" i="15"/>
  <c r="F46" i="15"/>
  <c r="F43" i="15"/>
  <c r="F41" i="15"/>
  <c r="F38" i="15"/>
  <c r="F36" i="15"/>
  <c r="F33" i="15"/>
  <c r="F30" i="15"/>
  <c r="F28" i="15"/>
  <c r="F25" i="15"/>
  <c r="F23" i="15"/>
  <c r="F20" i="15"/>
  <c r="F18" i="15"/>
  <c r="F15" i="15"/>
  <c r="F13" i="15"/>
  <c r="F10" i="15"/>
  <c r="F8" i="15"/>
  <c r="F5" i="15"/>
  <c r="F3" i="15"/>
  <c r="C29" i="17"/>
  <c r="C41" i="17"/>
  <c r="C60" i="17"/>
  <c r="M47" i="18" l="1"/>
  <c r="M53" i="18"/>
  <c r="M25" i="18"/>
  <c r="M33" i="18"/>
  <c r="M48" i="18"/>
  <c r="K61" i="18"/>
  <c r="L61" i="18"/>
  <c r="K57" i="18"/>
  <c r="L57" i="18"/>
  <c r="K53" i="18"/>
  <c r="L53" i="18"/>
  <c r="K48" i="18"/>
  <c r="L48" i="18"/>
  <c r="K43" i="18"/>
  <c r="L43" i="18"/>
  <c r="K39" i="18"/>
  <c r="L39" i="18"/>
  <c r="K29" i="18"/>
  <c r="L29" i="18"/>
  <c r="K25" i="18"/>
  <c r="L25" i="18"/>
  <c r="K12" i="18"/>
  <c r="L12" i="18"/>
  <c r="K5" i="18"/>
  <c r="N5" i="18" s="1"/>
  <c r="L5" i="18"/>
  <c r="K50" i="18"/>
  <c r="L50" i="18"/>
  <c r="K46" i="18"/>
  <c r="L46" i="18"/>
  <c r="K32" i="18"/>
  <c r="L32" i="18"/>
  <c r="K18" i="18"/>
  <c r="L18" i="18"/>
  <c r="K14" i="18"/>
  <c r="L14" i="18"/>
  <c r="K34" i="18"/>
  <c r="L34" i="18"/>
  <c r="K20" i="18"/>
  <c r="L20" i="18"/>
  <c r="K16" i="18"/>
  <c r="L16" i="18"/>
  <c r="K8" i="18"/>
  <c r="L8" i="18"/>
  <c r="K60" i="18"/>
  <c r="L60" i="18"/>
  <c r="K52" i="18"/>
  <c r="L52" i="18"/>
  <c r="K42" i="18"/>
  <c r="L42" i="18"/>
  <c r="K33" i="18"/>
  <c r="L33" i="18"/>
  <c r="K24" i="18"/>
  <c r="L24" i="18"/>
  <c r="K15" i="18"/>
  <c r="L15" i="18"/>
  <c r="K7" i="18"/>
  <c r="L7" i="18"/>
  <c r="K58" i="18"/>
  <c r="L58" i="18"/>
  <c r="K49" i="18"/>
  <c r="L49" i="18"/>
  <c r="K40" i="18"/>
  <c r="L40" i="18"/>
  <c r="K30" i="18"/>
  <c r="L30" i="18"/>
  <c r="K21" i="18"/>
  <c r="L21" i="18"/>
  <c r="K13" i="18"/>
  <c r="L13" i="18"/>
  <c r="K69" i="18"/>
  <c r="L69" i="18"/>
  <c r="K59" i="18"/>
  <c r="L59" i="18"/>
  <c r="K55" i="18"/>
  <c r="L55" i="18"/>
  <c r="K41" i="18"/>
  <c r="L41" i="18"/>
  <c r="K37" i="18"/>
  <c r="L37" i="18"/>
  <c r="K27" i="18"/>
  <c r="L27" i="18"/>
  <c r="K23" i="18"/>
  <c r="L23" i="18"/>
  <c r="K10" i="18"/>
  <c r="L10" i="18"/>
  <c r="K6" i="18"/>
  <c r="N6" i="18" s="1"/>
  <c r="L6" i="18"/>
  <c r="K70" i="18"/>
  <c r="L70" i="18"/>
  <c r="K56" i="18"/>
  <c r="L56" i="18"/>
  <c r="K47" i="18"/>
  <c r="L47" i="18"/>
  <c r="K38" i="18"/>
  <c r="L38" i="18"/>
  <c r="K28" i="18"/>
  <c r="L28" i="18"/>
  <c r="K19" i="18"/>
  <c r="L19" i="18"/>
  <c r="K11" i="18"/>
  <c r="L11" i="18"/>
  <c r="K62" i="18"/>
  <c r="L62" i="18"/>
  <c r="K54" i="18"/>
  <c r="L54" i="18"/>
  <c r="K45" i="18"/>
  <c r="L45" i="18"/>
  <c r="K35" i="18"/>
  <c r="L35" i="18"/>
  <c r="K26" i="18"/>
  <c r="L26" i="18"/>
  <c r="K17" i="18"/>
  <c r="L17" i="18"/>
  <c r="K9" i="18"/>
  <c r="M9" i="18" s="1"/>
  <c r="L9" i="18"/>
  <c r="D44" i="18"/>
  <c r="F44" i="18"/>
  <c r="E44" i="18"/>
  <c r="A67" i="18"/>
  <c r="I67" i="18" s="1"/>
  <c r="B44" i="18"/>
  <c r="C44" i="18" s="1"/>
  <c r="H44" i="18" s="1"/>
  <c r="G44" i="18"/>
  <c r="F44" i="15"/>
  <c r="M24" i="18"/>
  <c r="M38" i="18"/>
  <c r="A22" i="18"/>
  <c r="M23" i="18"/>
  <c r="A36" i="18"/>
  <c r="M37" i="18"/>
  <c r="M46" i="18"/>
  <c r="M32" i="18"/>
  <c r="A31" i="18"/>
  <c r="A51" i="18"/>
  <c r="M52" i="18"/>
  <c r="M44" i="18"/>
  <c r="F74" i="15"/>
  <c r="F59" i="15"/>
  <c r="F31" i="15"/>
  <c r="F16" i="15"/>
  <c r="E26" i="13"/>
  <c r="E23" i="13"/>
  <c r="E20" i="13"/>
  <c r="E18" i="13"/>
  <c r="E15" i="13"/>
  <c r="E13" i="13"/>
  <c r="E10" i="13"/>
  <c r="E7" i="13"/>
  <c r="C59" i="17"/>
  <c r="C39" i="17"/>
  <c r="C30" i="17"/>
  <c r="C42" i="17"/>
  <c r="C23" i="17"/>
  <c r="C24" i="17"/>
  <c r="C61" i="17"/>
  <c r="C27" i="17"/>
  <c r="C58" i="17"/>
  <c r="M12" i="18" l="1"/>
  <c r="M11" i="18"/>
  <c r="M10" i="18"/>
  <c r="M13" i="18"/>
  <c r="M7" i="18"/>
  <c r="M8" i="18"/>
  <c r="J44" i="18"/>
  <c r="M6" i="18"/>
  <c r="I44" i="18"/>
  <c r="D22" i="18"/>
  <c r="F22" i="18"/>
  <c r="E22" i="18"/>
  <c r="D31" i="18"/>
  <c r="F31" i="18"/>
  <c r="E31" i="18"/>
  <c r="D36" i="18"/>
  <c r="F36" i="18"/>
  <c r="E36" i="18"/>
  <c r="D67" i="18"/>
  <c r="F67" i="18"/>
  <c r="E67" i="18"/>
  <c r="D51" i="18"/>
  <c r="F51" i="18"/>
  <c r="E51" i="18"/>
  <c r="A65" i="18"/>
  <c r="I65" i="18" s="1"/>
  <c r="G31" i="18"/>
  <c r="A64" i="18"/>
  <c r="I64" i="18" s="1"/>
  <c r="B36" i="18"/>
  <c r="C36" i="18" s="1"/>
  <c r="G36" i="18"/>
  <c r="A63" i="18"/>
  <c r="I63" i="18" s="1"/>
  <c r="B22" i="18"/>
  <c r="C22" i="18" s="1"/>
  <c r="G22" i="18"/>
  <c r="A66" i="18"/>
  <c r="I66" i="18" s="1"/>
  <c r="B51" i="18"/>
  <c r="G51" i="18"/>
  <c r="C51" i="18"/>
  <c r="B67" i="18"/>
  <c r="C67" i="18" s="1"/>
  <c r="G67" i="18"/>
  <c r="M31" i="18"/>
  <c r="B31" i="18"/>
  <c r="C31" i="18" s="1"/>
  <c r="M36" i="18"/>
  <c r="M22" i="18"/>
  <c r="M51" i="18"/>
  <c r="F75" i="15"/>
  <c r="E27" i="13"/>
  <c r="H2" i="12"/>
  <c r="H3" i="12"/>
  <c r="H4" i="12"/>
  <c r="H5" i="12"/>
  <c r="H6" i="12"/>
  <c r="H7" i="12"/>
  <c r="H8" i="12"/>
  <c r="H9" i="12"/>
  <c r="H10" i="12"/>
  <c r="J51" i="18" l="1"/>
  <c r="J36" i="18"/>
  <c r="I22" i="18"/>
  <c r="J22" i="18"/>
  <c r="J67" i="18"/>
  <c r="J31" i="18"/>
  <c r="K44" i="18"/>
  <c r="L44" i="18"/>
  <c r="I51" i="18"/>
  <c r="I36" i="18"/>
  <c r="I31" i="18"/>
  <c r="H51" i="18"/>
  <c r="D63" i="18"/>
  <c r="F63" i="18"/>
  <c r="E63" i="18"/>
  <c r="M67" i="18"/>
  <c r="D66" i="18"/>
  <c r="F66" i="18"/>
  <c r="E66" i="18"/>
  <c r="D64" i="18"/>
  <c r="F64" i="18"/>
  <c r="E64" i="18"/>
  <c r="D65" i="18"/>
  <c r="F65" i="18"/>
  <c r="E65" i="18"/>
  <c r="G66" i="18"/>
  <c r="B66" i="18"/>
  <c r="C66" i="18" s="1"/>
  <c r="B63" i="18"/>
  <c r="C63" i="18" s="1"/>
  <c r="G63" i="18"/>
  <c r="B64" i="18"/>
  <c r="C64" i="18" s="1"/>
  <c r="G64" i="18"/>
  <c r="B65" i="18"/>
  <c r="C65" i="18" s="1"/>
  <c r="G65" i="18"/>
  <c r="H22" i="18"/>
  <c r="H36" i="18"/>
  <c r="H31" i="18"/>
  <c r="D18" i="11"/>
  <c r="D15" i="11"/>
  <c r="D12" i="11"/>
  <c r="D10" i="11"/>
  <c r="D7" i="11"/>
  <c r="D5" i="11"/>
  <c r="D3" i="11"/>
  <c r="K31" i="18" l="1"/>
  <c r="L31" i="18"/>
  <c r="K22" i="18"/>
  <c r="L22" i="18"/>
  <c r="K36" i="18"/>
  <c r="L36" i="18"/>
  <c r="J64" i="18"/>
  <c r="J65" i="18"/>
  <c r="J66" i="18"/>
  <c r="J63" i="18"/>
  <c r="K67" i="18"/>
  <c r="L67" i="18"/>
  <c r="K51" i="18"/>
  <c r="L51" i="18"/>
  <c r="M64" i="18"/>
  <c r="M66" i="18"/>
  <c r="M65" i="18"/>
  <c r="M63" i="18"/>
  <c r="D19" i="11"/>
  <c r="I4" i="9"/>
  <c r="I3" i="9"/>
  <c r="I2" i="9"/>
  <c r="I4" i="8"/>
  <c r="I3" i="8"/>
  <c r="I2" i="8"/>
  <c r="I4" i="7"/>
  <c r="I3" i="7"/>
  <c r="I2" i="7"/>
  <c r="I4" i="4"/>
  <c r="I3" i="4"/>
  <c r="I2" i="4"/>
  <c r="B79" i="8"/>
  <c r="B77" i="8"/>
  <c r="B75" i="8"/>
  <c r="B65" i="8"/>
  <c r="B63" i="8"/>
  <c r="B61" i="8"/>
  <c r="B51" i="8"/>
  <c r="B49" i="8"/>
  <c r="B46" i="8"/>
  <c r="B44" i="8"/>
  <c r="B41" i="8"/>
  <c r="B38" i="8"/>
  <c r="B34" i="8"/>
  <c r="B31" i="8"/>
  <c r="B28" i="8"/>
  <c r="B26" i="8"/>
  <c r="B16" i="8"/>
  <c r="B14" i="8"/>
  <c r="B8" i="8"/>
  <c r="B185" i="9"/>
  <c r="B182" i="9"/>
  <c r="B180" i="9"/>
  <c r="B177" i="9"/>
  <c r="B173" i="9"/>
  <c r="B168" i="9"/>
  <c r="B157" i="9"/>
  <c r="B155" i="9"/>
  <c r="B152" i="9"/>
  <c r="B150" i="9"/>
  <c r="B147" i="9"/>
  <c r="B143" i="9"/>
  <c r="B138" i="9"/>
  <c r="B127" i="9"/>
  <c r="B125" i="9"/>
  <c r="B121" i="9"/>
  <c r="B117" i="9"/>
  <c r="B112" i="9"/>
  <c r="B110" i="9"/>
  <c r="B107" i="9"/>
  <c r="B105" i="9"/>
  <c r="B101" i="9"/>
  <c r="B99" i="9"/>
  <c r="B96" i="9"/>
  <c r="B94" i="9"/>
  <c r="B90" i="9"/>
  <c r="B87" i="9"/>
  <c r="B85" i="9"/>
  <c r="B83" i="9"/>
  <c r="B80" i="9"/>
  <c r="B78" i="9"/>
  <c r="B75" i="9"/>
  <c r="B70" i="9"/>
  <c r="B66" i="9"/>
  <c r="B63" i="9"/>
  <c r="B59" i="9"/>
  <c r="B54" i="9"/>
  <c r="B43" i="9"/>
  <c r="B41" i="9"/>
  <c r="B39" i="9"/>
  <c r="B36" i="9"/>
  <c r="B33" i="9"/>
  <c r="B30" i="9"/>
  <c r="B28" i="9"/>
  <c r="B26" i="9"/>
  <c r="B24" i="9"/>
  <c r="B11" i="9"/>
  <c r="B8" i="9"/>
  <c r="J190" i="9"/>
  <c r="I190" i="9" s="1"/>
  <c r="J189" i="9"/>
  <c r="J188" i="9"/>
  <c r="I188" i="9" s="1"/>
  <c r="J84" i="8"/>
  <c r="I84" i="8" s="1"/>
  <c r="J83" i="8"/>
  <c r="I83" i="8" s="1"/>
  <c r="J82" i="8"/>
  <c r="I82" i="8" s="1"/>
  <c r="K63" i="18" l="1"/>
  <c r="L63" i="18"/>
  <c r="K65" i="18"/>
  <c r="L65" i="18"/>
  <c r="K66" i="18"/>
  <c r="L66" i="18"/>
  <c r="K64" i="18"/>
  <c r="L64" i="18"/>
  <c r="B186" i="9"/>
  <c r="B80" i="8"/>
  <c r="I189" i="9"/>
  <c r="I192" i="9" s="1"/>
  <c r="I86" i="8"/>
  <c r="J100" i="7"/>
  <c r="I100" i="7" s="1"/>
  <c r="J99" i="7"/>
  <c r="I99" i="7" s="1"/>
  <c r="J98" i="7"/>
  <c r="I98" i="7" s="1"/>
  <c r="D99" i="7"/>
  <c r="I102" i="7" l="1"/>
  <c r="J24" i="4"/>
  <c r="I24" i="4" s="1"/>
  <c r="J23" i="4"/>
  <c r="I23" i="4" s="1"/>
  <c r="J22" i="4"/>
  <c r="I22" i="4" s="1"/>
  <c r="J229" i="3"/>
  <c r="I229" i="3" s="1"/>
  <c r="J228" i="3"/>
  <c r="I228" i="3" s="1"/>
  <c r="J227" i="3"/>
  <c r="I227" i="3" s="1"/>
  <c r="H20" i="4"/>
  <c r="G20" i="4"/>
  <c r="F20" i="4"/>
  <c r="E20" i="4"/>
  <c r="D20" i="4"/>
  <c r="H19" i="4"/>
  <c r="G19" i="4"/>
  <c r="F19" i="4"/>
  <c r="E19" i="4"/>
  <c r="D19" i="4"/>
  <c r="H15" i="4"/>
  <c r="G15" i="4"/>
  <c r="F15" i="4"/>
  <c r="E15" i="4"/>
  <c r="D15" i="4"/>
  <c r="H8" i="4"/>
  <c r="G8" i="4"/>
  <c r="F8" i="4"/>
  <c r="E8" i="4"/>
  <c r="D8" i="4"/>
  <c r="H225" i="3"/>
  <c r="H224" i="3"/>
  <c r="H198" i="3"/>
  <c r="H195" i="3"/>
  <c r="H188" i="3"/>
  <c r="H176" i="3"/>
  <c r="H150" i="3"/>
  <c r="H147" i="3"/>
  <c r="H140" i="3"/>
  <c r="H128" i="3"/>
  <c r="H102" i="3"/>
  <c r="H95" i="3"/>
  <c r="H91" i="3"/>
  <c r="H89" i="3"/>
  <c r="H85" i="3"/>
  <c r="H80" i="3"/>
  <c r="H54" i="3"/>
  <c r="H40" i="3"/>
  <c r="H36" i="3"/>
  <c r="H29" i="3"/>
  <c r="H25" i="3"/>
  <c r="H23" i="3"/>
  <c r="H16" i="3"/>
  <c r="H13" i="3"/>
  <c r="H11" i="3"/>
  <c r="H10" i="3"/>
  <c r="H9" i="3"/>
  <c r="G225" i="3"/>
  <c r="G224" i="3"/>
  <c r="G198" i="3"/>
  <c r="G195" i="3"/>
  <c r="G188" i="3"/>
  <c r="G176" i="3"/>
  <c r="G150" i="3"/>
  <c r="G147" i="3"/>
  <c r="G140" i="3"/>
  <c r="G128" i="3"/>
  <c r="G102" i="3"/>
  <c r="G95" i="3"/>
  <c r="G91" i="3"/>
  <c r="G89" i="3"/>
  <c r="G85" i="3"/>
  <c r="G80" i="3"/>
  <c r="G54" i="3"/>
  <c r="G40" i="3"/>
  <c r="G36" i="3"/>
  <c r="G29" i="3"/>
  <c r="G25" i="3"/>
  <c r="G23" i="3"/>
  <c r="G16" i="3"/>
  <c r="G13" i="3"/>
  <c r="G11" i="3"/>
  <c r="G10" i="3"/>
  <c r="G9" i="3"/>
  <c r="F225" i="3"/>
  <c r="F224" i="3"/>
  <c r="F198" i="3"/>
  <c r="F195" i="3"/>
  <c r="F188" i="3"/>
  <c r="F176" i="3"/>
  <c r="F150" i="3"/>
  <c r="F147" i="3"/>
  <c r="F140" i="3"/>
  <c r="F128" i="3"/>
  <c r="F102" i="3"/>
  <c r="F95" i="3"/>
  <c r="F91" i="3"/>
  <c r="F89" i="3"/>
  <c r="F85" i="3"/>
  <c r="F80" i="3"/>
  <c r="F54" i="3"/>
  <c r="F40" i="3"/>
  <c r="F36" i="3"/>
  <c r="F29" i="3"/>
  <c r="F25" i="3"/>
  <c r="F23" i="3"/>
  <c r="F16" i="3"/>
  <c r="F13" i="3"/>
  <c r="F11" i="3"/>
  <c r="F10" i="3"/>
  <c r="F9" i="3"/>
  <c r="E225" i="3"/>
  <c r="E224" i="3"/>
  <c r="E198" i="3"/>
  <c r="E195" i="3"/>
  <c r="E188" i="3"/>
  <c r="E176" i="3"/>
  <c r="E150" i="3"/>
  <c r="E147" i="3"/>
  <c r="E140" i="3"/>
  <c r="E128" i="3"/>
  <c r="E102" i="3"/>
  <c r="E95" i="3"/>
  <c r="E91" i="3"/>
  <c r="E89" i="3"/>
  <c r="E85" i="3"/>
  <c r="E80" i="3"/>
  <c r="E54" i="3"/>
  <c r="E40" i="3"/>
  <c r="E36" i="3"/>
  <c r="E29" i="3"/>
  <c r="E25" i="3"/>
  <c r="E23" i="3"/>
  <c r="E16" i="3"/>
  <c r="E13" i="3"/>
  <c r="E11" i="3"/>
  <c r="E10" i="3"/>
  <c r="E9" i="3"/>
  <c r="D225" i="3"/>
  <c r="D224" i="3"/>
  <c r="D198" i="3"/>
  <c r="D195" i="3"/>
  <c r="D188" i="3"/>
  <c r="D176" i="3"/>
  <c r="D150" i="3"/>
  <c r="D147" i="3"/>
  <c r="D140" i="3"/>
  <c r="D128" i="3"/>
  <c r="D102" i="3"/>
  <c r="D95" i="3"/>
  <c r="D91" i="3"/>
  <c r="D89" i="3"/>
  <c r="D85" i="3"/>
  <c r="D80" i="3"/>
  <c r="D54" i="3"/>
  <c r="D40" i="3"/>
  <c r="D36" i="3"/>
  <c r="D29" i="3"/>
  <c r="D25" i="3"/>
  <c r="D23" i="3"/>
  <c r="D16" i="3"/>
  <c r="D13" i="3"/>
  <c r="D11" i="3"/>
  <c r="D10" i="3"/>
  <c r="D9" i="3"/>
  <c r="B224" i="3"/>
  <c r="B198" i="3"/>
  <c r="B195" i="3"/>
  <c r="B188" i="3"/>
  <c r="B176" i="3"/>
  <c r="B150" i="3"/>
  <c r="B147" i="3"/>
  <c r="B140" i="3"/>
  <c r="B128" i="3"/>
  <c r="B102" i="3"/>
  <c r="B95" i="3"/>
  <c r="B91" i="3"/>
  <c r="B89" i="3"/>
  <c r="B85" i="3"/>
  <c r="B80" i="3"/>
  <c r="B54" i="3"/>
  <c r="B40" i="3"/>
  <c r="B36" i="3"/>
  <c r="B29" i="3"/>
  <c r="B25" i="3"/>
  <c r="B23" i="3"/>
  <c r="B16" i="3"/>
  <c r="B13" i="3"/>
  <c r="B11" i="3"/>
  <c r="B9" i="3"/>
  <c r="B19" i="4"/>
  <c r="B15" i="4"/>
  <c r="B8" i="4"/>
  <c r="B225" i="3" l="1"/>
  <c r="I26" i="4"/>
  <c r="I231" i="3"/>
  <c r="B20" i="4"/>
  <c r="A7" i="1"/>
  <c r="A8" i="1" s="1"/>
  <c r="A9" i="1" s="1"/>
  <c r="A10" i="1" s="1"/>
  <c r="A11" i="1" s="1"/>
  <c r="A13" i="1" s="1"/>
  <c r="A15" i="1" s="1"/>
  <c r="A17" i="1" s="1"/>
  <c r="A19" i="1" s="1"/>
  <c r="A20" i="1" s="1"/>
  <c r="A21" i="1" s="1"/>
  <c r="A22" i="1" s="1"/>
  <c r="A23" i="1" s="1"/>
  <c r="A24" i="1" s="1"/>
  <c r="A25" i="1" s="1"/>
  <c r="A26" i="1" s="1"/>
  <c r="A27" i="1" s="1"/>
  <c r="A28" i="1" s="1"/>
  <c r="A29" i="1" s="1"/>
  <c r="A30" i="1" s="1"/>
  <c r="H124" i="9" l="1"/>
  <c r="D25" i="9"/>
  <c r="D21" i="9"/>
  <c r="H81" i="9"/>
  <c r="H135" i="9"/>
  <c r="F162" i="9"/>
  <c r="H106" i="9"/>
  <c r="G54" i="8"/>
  <c r="D102" i="9"/>
  <c r="H119" i="9"/>
  <c r="E165" i="9"/>
  <c r="D171" i="9"/>
  <c r="H18" i="8"/>
  <c r="H158" i="9"/>
  <c r="E89" i="9"/>
  <c r="G91" i="9"/>
  <c r="D40" i="9"/>
  <c r="F139" i="9"/>
  <c r="D49" i="9"/>
  <c r="E162" i="9"/>
  <c r="F40" i="9"/>
  <c r="F7" i="9"/>
  <c r="D34" i="9"/>
  <c r="F84" i="9"/>
  <c r="E68" i="9"/>
  <c r="F135" i="9"/>
  <c r="D148" i="9"/>
  <c r="E49" i="9"/>
  <c r="G102" i="9"/>
  <c r="F130" i="9"/>
  <c r="D141" i="9"/>
  <c r="F124" i="9"/>
  <c r="E124" i="9"/>
  <c r="H104" i="9"/>
  <c r="G137" i="9"/>
  <c r="E181" i="9"/>
  <c r="D164" i="9"/>
  <c r="G77" i="9"/>
  <c r="F174" i="9"/>
  <c r="H183" i="9"/>
  <c r="D120" i="9"/>
  <c r="H118" i="9"/>
  <c r="G72" i="9"/>
  <c r="D60" i="9"/>
  <c r="G183" i="9"/>
  <c r="F88" i="9"/>
  <c r="D21" i="8"/>
  <c r="H145" i="9"/>
  <c r="G139" i="9"/>
  <c r="H181" i="9"/>
  <c r="D77" i="9"/>
  <c r="H149" i="9"/>
  <c r="F11" i="8"/>
  <c r="D151" i="9"/>
  <c r="F131" i="9"/>
  <c r="G52" i="9"/>
  <c r="E103" i="9"/>
  <c r="G149" i="9"/>
  <c r="E53" i="8"/>
  <c r="D95" i="9"/>
  <c r="G92" i="9"/>
  <c r="E60" i="8"/>
  <c r="D161" i="9"/>
  <c r="D36" i="8"/>
  <c r="D86" i="9"/>
  <c r="D159" i="9"/>
  <c r="H166" i="9"/>
  <c r="F159" i="9"/>
  <c r="G57" i="9"/>
  <c r="F60" i="9"/>
  <c r="E65" i="9"/>
  <c r="E160" i="9"/>
  <c r="H113" i="9"/>
  <c r="H89" i="9"/>
  <c r="D50" i="9"/>
  <c r="H16" i="9"/>
  <c r="G98" i="9"/>
  <c r="G51" i="9"/>
  <c r="H47" i="9"/>
  <c r="G20" i="8"/>
  <c r="F103" i="9"/>
  <c r="D81" i="9"/>
  <c r="E123" i="9"/>
  <c r="E151" i="9"/>
  <c r="E170" i="9"/>
  <c r="D23" i="9"/>
  <c r="E57" i="8"/>
  <c r="D42" i="9"/>
  <c r="E161" i="9"/>
  <c r="F171" i="9"/>
  <c r="D181" i="9"/>
  <c r="E57" i="9"/>
  <c r="F48" i="9"/>
  <c r="E135" i="9"/>
  <c r="D133" i="9"/>
  <c r="H130" i="9"/>
  <c r="H137" i="9"/>
  <c r="H146" i="9"/>
  <c r="D129" i="9"/>
  <c r="D32" i="9"/>
  <c r="F179" i="9"/>
  <c r="G170" i="9"/>
  <c r="D128" i="9"/>
  <c r="G161" i="9"/>
  <c r="G95" i="9"/>
  <c r="D16" i="9"/>
  <c r="D92" i="9"/>
  <c r="G14" i="9"/>
  <c r="F25" i="8"/>
  <c r="G181" i="9"/>
  <c r="G156" i="9"/>
  <c r="H77" i="9"/>
  <c r="D27" i="9"/>
  <c r="G57" i="7"/>
  <c r="F169" i="9"/>
  <c r="H95" i="9"/>
  <c r="H98" i="9"/>
  <c r="E163" i="9"/>
  <c r="D131" i="9"/>
  <c r="F114" i="9"/>
  <c r="G81" i="9"/>
  <c r="E171" i="9"/>
  <c r="D145" i="9"/>
  <c r="E176" i="9"/>
  <c r="G118" i="9"/>
  <c r="D62" i="9"/>
  <c r="E148" i="9"/>
  <c r="F165" i="9"/>
  <c r="H174" i="9"/>
  <c r="F115" i="9"/>
  <c r="D118" i="9"/>
  <c r="D88" i="9"/>
  <c r="G42" i="9"/>
  <c r="E153" i="9"/>
  <c r="H55" i="9"/>
  <c r="F166" i="9"/>
  <c r="E146" i="9"/>
  <c r="E84" i="9"/>
  <c r="H35" i="9"/>
  <c r="E18" i="9"/>
  <c r="E97" i="9"/>
  <c r="D111" i="9"/>
  <c r="F126" i="9"/>
  <c r="D35" i="9"/>
  <c r="D97" i="9"/>
  <c r="E29" i="8"/>
  <c r="D73" i="9"/>
  <c r="D100" i="9"/>
  <c r="D163" i="9"/>
  <c r="E91" i="9"/>
  <c r="H15" i="7"/>
  <c r="H64" i="8"/>
  <c r="F151" i="9"/>
  <c r="E145" i="9"/>
  <c r="H15" i="9"/>
  <c r="D59" i="8"/>
  <c r="H126" i="9"/>
  <c r="H136" i="9"/>
  <c r="E50" i="9"/>
  <c r="G142" i="9"/>
  <c r="F175" i="9"/>
  <c r="F142" i="9"/>
  <c r="H108" i="9"/>
  <c r="F8" i="7"/>
  <c r="H131" i="9"/>
  <c r="G114" i="9"/>
  <c r="D158" i="9"/>
  <c r="H153" i="9"/>
  <c r="H45" i="9"/>
  <c r="D68" i="9"/>
  <c r="D176" i="9"/>
  <c r="F119" i="9"/>
  <c r="D30" i="8"/>
  <c r="E93" i="9"/>
  <c r="F163" i="9"/>
  <c r="E79" i="9"/>
  <c r="H97" i="9"/>
  <c r="F55" i="9"/>
  <c r="E37" i="9"/>
  <c r="E69" i="9"/>
  <c r="D137" i="9"/>
  <c r="H179" i="9"/>
  <c r="D166" i="9"/>
  <c r="E31" i="9"/>
  <c r="F70" i="7"/>
  <c r="D119" i="9"/>
  <c r="F109" i="9"/>
  <c r="G79" i="9"/>
  <c r="D153" i="9"/>
  <c r="E115" i="9"/>
  <c r="G22" i="8"/>
  <c r="G154" i="9"/>
  <c r="F149" i="9"/>
  <c r="D79" i="9"/>
  <c r="D154" i="9"/>
  <c r="H178" i="9"/>
  <c r="D124" i="9"/>
  <c r="E60" i="9"/>
  <c r="F62" i="7"/>
  <c r="D175" i="9"/>
  <c r="D58" i="9"/>
  <c r="F172" i="9"/>
  <c r="D14" i="9"/>
  <c r="E73" i="9"/>
  <c r="E104" i="9"/>
  <c r="F62" i="9"/>
  <c r="H62" i="8"/>
  <c r="G158" i="9"/>
  <c r="G130" i="9"/>
  <c r="H171" i="9"/>
  <c r="F184" i="9"/>
  <c r="D18" i="8"/>
  <c r="D72" i="9"/>
  <c r="H53" i="8"/>
  <c r="G166" i="9"/>
  <c r="H164" i="9"/>
  <c r="E56" i="9"/>
  <c r="F129" i="9"/>
  <c r="D98" i="9"/>
  <c r="H161" i="9"/>
  <c r="F181" i="9"/>
  <c r="H92" i="9"/>
  <c r="G104" i="9"/>
  <c r="D89" i="9"/>
  <c r="D91" i="9"/>
  <c r="F160" i="9"/>
  <c r="D48" i="8"/>
  <c r="D160" i="9"/>
  <c r="H72" i="8"/>
  <c r="F58" i="9"/>
  <c r="D10" i="8"/>
  <c r="E42" i="8"/>
  <c r="E142" i="9"/>
  <c r="E166" i="9"/>
  <c r="E183" i="9"/>
  <c r="E95" i="9"/>
  <c r="E72" i="9"/>
  <c r="G146" i="9"/>
  <c r="D93" i="9"/>
  <c r="E77" i="9"/>
  <c r="D142" i="9"/>
  <c r="D162" i="9"/>
  <c r="F137" i="9"/>
  <c r="F190" i="3"/>
  <c r="E25" i="9"/>
  <c r="G58" i="9"/>
  <c r="F136" i="9"/>
  <c r="F50" i="7"/>
  <c r="G98" i="3"/>
  <c r="E58" i="9"/>
  <c r="F120" i="9"/>
  <c r="G84" i="9"/>
  <c r="D44" i="9"/>
  <c r="E78" i="8"/>
  <c r="E116" i="9"/>
  <c r="H175" i="9"/>
  <c r="E9" i="9"/>
  <c r="G47" i="9"/>
  <c r="H114" i="9"/>
  <c r="D76" i="9"/>
  <c r="H123" i="9"/>
  <c r="F77" i="9"/>
  <c r="D51" i="9"/>
  <c r="D19" i="9"/>
  <c r="D18" i="9"/>
  <c r="H83" i="7"/>
  <c r="H160" i="9"/>
  <c r="D106" i="9"/>
  <c r="E140" i="9"/>
  <c r="H52" i="9"/>
  <c r="E179" i="9"/>
  <c r="E48" i="8"/>
  <c r="G132" i="9"/>
  <c r="H170" i="9"/>
  <c r="H185" i="3"/>
  <c r="H48" i="9"/>
  <c r="F167" i="9"/>
  <c r="E45" i="8"/>
  <c r="E68" i="8"/>
  <c r="E82" i="9"/>
  <c r="D179" i="9"/>
  <c r="F178" i="9"/>
  <c r="F104" i="9"/>
  <c r="G135" i="9"/>
  <c r="G159" i="9"/>
  <c r="F153" i="9"/>
  <c r="F144" i="9"/>
  <c r="D178" i="9"/>
  <c r="F71" i="9"/>
  <c r="H73" i="9"/>
  <c r="G68" i="9"/>
  <c r="F67" i="9"/>
  <c r="E32" i="8"/>
  <c r="F30" i="7"/>
  <c r="G76" i="9"/>
  <c r="H57" i="9"/>
  <c r="G165" i="9"/>
  <c r="E64" i="9"/>
  <c r="E14" i="9"/>
  <c r="D9" i="9"/>
  <c r="E16" i="9"/>
  <c r="D108" i="9"/>
  <c r="E86" i="9"/>
  <c r="F69" i="9"/>
  <c r="E136" i="9"/>
  <c r="E58" i="7"/>
  <c r="H111" i="9"/>
  <c r="F23" i="7"/>
  <c r="G33" i="8"/>
  <c r="F133" i="9"/>
  <c r="G160" i="9"/>
  <c r="D134" i="9"/>
  <c r="H10" i="7"/>
  <c r="F50" i="8"/>
  <c r="G38" i="9"/>
  <c r="E98" i="9"/>
  <c r="H50" i="8"/>
  <c r="G30" i="3"/>
  <c r="H128" i="9"/>
  <c r="D103" i="9"/>
  <c r="H109" i="9"/>
  <c r="D89" i="7"/>
  <c r="E27" i="8"/>
  <c r="D135" i="9"/>
  <c r="E90" i="7"/>
  <c r="F26" i="7"/>
  <c r="G15" i="8"/>
  <c r="F66" i="8"/>
  <c r="H72" i="7"/>
  <c r="F40" i="8"/>
  <c r="D116" i="9"/>
  <c r="F50" i="9"/>
  <c r="D84" i="9"/>
  <c r="E167" i="9"/>
  <c r="G73" i="9"/>
  <c r="G85" i="7"/>
  <c r="H154" i="9"/>
  <c r="H142" i="9"/>
  <c r="G27" i="7"/>
  <c r="G44" i="9"/>
  <c r="G113" i="9"/>
  <c r="H82" i="9"/>
  <c r="H25" i="8"/>
  <c r="D174" i="9"/>
  <c r="G86" i="9"/>
  <c r="E126" i="9"/>
  <c r="F158" i="9"/>
  <c r="H54" i="7"/>
  <c r="H93" i="9"/>
  <c r="E52" i="9"/>
  <c r="G163" i="9"/>
  <c r="G22" i="9"/>
  <c r="E120" i="9"/>
  <c r="D68" i="7"/>
  <c r="H91" i="9"/>
  <c r="H86" i="9"/>
  <c r="E106" i="9"/>
  <c r="F93" i="9"/>
  <c r="E10" i="9"/>
  <c r="D113" i="9"/>
  <c r="H110" i="3"/>
  <c r="G131" i="9"/>
  <c r="H50" i="9"/>
  <c r="D55" i="9"/>
  <c r="D172" i="9"/>
  <c r="E131" i="9"/>
  <c r="E137" i="9"/>
  <c r="D20" i="9"/>
  <c r="G72" i="7"/>
  <c r="E46" i="9"/>
  <c r="H102" i="9"/>
  <c r="H43" i="7"/>
  <c r="H165" i="9"/>
  <c r="H159" i="9"/>
  <c r="E154" i="9"/>
  <c r="F176" i="9"/>
  <c r="H172" i="9"/>
  <c r="G46" i="9"/>
  <c r="G7" i="9"/>
  <c r="G126" i="9"/>
  <c r="G64" i="9"/>
  <c r="F106" i="9"/>
  <c r="H13" i="9"/>
  <c r="E184" i="9"/>
  <c r="H24" i="7"/>
  <c r="D9" i="8"/>
  <c r="D11" i="7"/>
  <c r="F51" i="9"/>
  <c r="D130" i="9"/>
  <c r="D167" i="9"/>
  <c r="G69" i="9"/>
  <c r="F161" i="9"/>
  <c r="H59" i="8"/>
  <c r="G176" i="9"/>
  <c r="D37" i="8"/>
  <c r="H135" i="3"/>
  <c r="E174" i="9"/>
  <c r="G45" i="8"/>
  <c r="D62" i="8"/>
  <c r="G164" i="9"/>
  <c r="H84" i="9"/>
  <c r="E29" i="7"/>
  <c r="F122" i="9"/>
  <c r="D140" i="9"/>
  <c r="D170" i="9"/>
  <c r="E47" i="9"/>
  <c r="D149" i="9"/>
  <c r="E113" i="9"/>
  <c r="D48" i="9"/>
  <c r="E159" i="9"/>
  <c r="F132" i="9"/>
  <c r="H116" i="9"/>
  <c r="D56" i="9"/>
  <c r="G71" i="8"/>
  <c r="F54" i="8"/>
  <c r="D184" i="9"/>
  <c r="H12" i="8"/>
  <c r="E72" i="7"/>
  <c r="H162" i="9"/>
  <c r="F49" i="9"/>
  <c r="D144" i="9"/>
  <c r="D136" i="9"/>
  <c r="H184" i="9"/>
  <c r="G42" i="8"/>
  <c r="E33" i="7"/>
  <c r="H62" i="7"/>
  <c r="E19" i="9"/>
  <c r="H144" i="9"/>
  <c r="D64" i="9"/>
  <c r="D67" i="9"/>
  <c r="E74" i="8"/>
  <c r="E76" i="9"/>
  <c r="E78" i="7"/>
  <c r="D8" i="7"/>
  <c r="D109" i="9"/>
  <c r="E25" i="8"/>
  <c r="E81" i="9"/>
  <c r="G17" i="8"/>
  <c r="H156" i="9"/>
  <c r="D123" i="9"/>
  <c r="H192" i="3"/>
  <c r="G7" i="7"/>
  <c r="E129" i="9"/>
  <c r="D56" i="7"/>
  <c r="G56" i="9"/>
  <c r="H20" i="8"/>
  <c r="H103" i="9"/>
  <c r="H167" i="9"/>
  <c r="H72" i="9"/>
  <c r="F73" i="9"/>
  <c r="D114" i="9"/>
  <c r="D29" i="9"/>
  <c r="D146" i="9"/>
  <c r="G65" i="9"/>
  <c r="D46" i="9"/>
  <c r="F118" i="9"/>
  <c r="D139" i="9"/>
  <c r="D10" i="9"/>
  <c r="H100" i="9"/>
  <c r="F19" i="8"/>
  <c r="G103" i="9"/>
  <c r="H71" i="9"/>
  <c r="H53" i="7"/>
  <c r="F76" i="9"/>
  <c r="E178" i="9"/>
  <c r="G172" i="9"/>
  <c r="F46" i="7"/>
  <c r="G50" i="9"/>
  <c r="G171" i="9"/>
  <c r="H55" i="8"/>
  <c r="G20" i="9"/>
  <c r="D65" i="9"/>
  <c r="H62" i="3"/>
  <c r="E21" i="8"/>
  <c r="G52" i="8"/>
  <c r="E51" i="7"/>
  <c r="G136" i="9"/>
  <c r="F156" i="9"/>
  <c r="G61" i="9"/>
  <c r="D22" i="9"/>
  <c r="E61" i="9"/>
  <c r="G35" i="7"/>
  <c r="D214" i="3"/>
  <c r="D52" i="9"/>
  <c r="G70" i="8"/>
  <c r="H27" i="9"/>
  <c r="E17" i="9"/>
  <c r="G179" i="9"/>
  <c r="E53" i="7"/>
  <c r="F43" i="7"/>
  <c r="F60" i="8"/>
  <c r="E130" i="9"/>
  <c r="G74" i="9"/>
  <c r="D205" i="3"/>
  <c r="G66" i="7"/>
  <c r="F73" i="8"/>
  <c r="G76" i="7"/>
  <c r="E74" i="9"/>
  <c r="D33" i="7"/>
  <c r="D115" i="9"/>
  <c r="G89" i="7"/>
  <c r="D123" i="3"/>
  <c r="H76" i="9"/>
  <c r="H24" i="8"/>
  <c r="E100" i="9"/>
  <c r="E93" i="3"/>
  <c r="G35" i="8"/>
  <c r="G64" i="8"/>
  <c r="G17" i="4"/>
  <c r="E19" i="3"/>
  <c r="G60" i="9"/>
  <c r="E102" i="9"/>
  <c r="D74" i="8"/>
  <c r="D19" i="8"/>
  <c r="E16" i="7"/>
  <c r="G48" i="9"/>
  <c r="F51" i="7"/>
  <c r="H38" i="9"/>
  <c r="H29" i="7"/>
  <c r="G10" i="9"/>
  <c r="F16" i="9"/>
  <c r="D126" i="9"/>
  <c r="G69" i="3"/>
  <c r="H53" i="9"/>
  <c r="D42" i="8"/>
  <c r="D57" i="9"/>
  <c r="E15" i="8"/>
  <c r="H203" i="3"/>
  <c r="F29" i="7"/>
  <c r="H34" i="7"/>
  <c r="F70" i="8"/>
  <c r="H58" i="8"/>
  <c r="G82" i="9"/>
  <c r="D141" i="3"/>
  <c r="E94" i="7"/>
  <c r="G67" i="8"/>
  <c r="D24" i="8"/>
  <c r="E70" i="8"/>
  <c r="G167" i="9"/>
  <c r="D47" i="9"/>
  <c r="H14" i="3"/>
  <c r="H17" i="8"/>
  <c r="E50" i="7"/>
  <c r="H74" i="8"/>
  <c r="E22" i="8"/>
  <c r="E71" i="9"/>
  <c r="F8" i="3"/>
  <c r="H206" i="3"/>
  <c r="H28" i="3"/>
  <c r="F35" i="3"/>
  <c r="D58" i="8"/>
  <c r="D53" i="3"/>
  <c r="E57" i="3"/>
  <c r="F49" i="7"/>
  <c r="H76" i="7"/>
  <c r="H161" i="3"/>
  <c r="H218" i="3"/>
  <c r="F168" i="3"/>
  <c r="E66" i="8"/>
  <c r="G141" i="9"/>
  <c r="H11" i="8"/>
  <c r="F62" i="8"/>
  <c r="H51" i="9"/>
  <c r="H20" i="9"/>
  <c r="G116" i="9"/>
  <c r="D71" i="9"/>
  <c r="H101" i="3"/>
  <c r="F43" i="8"/>
  <c r="H47" i="8"/>
  <c r="G19" i="8"/>
  <c r="F145" i="9"/>
  <c r="E10" i="8"/>
  <c r="H91" i="7"/>
  <c r="H64" i="9"/>
  <c r="F216" i="3"/>
  <c r="F108" i="9"/>
  <c r="F29" i="9"/>
  <c r="H25" i="9"/>
  <c r="H79" i="9"/>
  <c r="F79" i="9"/>
  <c r="E62" i="7"/>
  <c r="D29" i="7"/>
  <c r="G43" i="8"/>
  <c r="E27" i="9"/>
  <c r="D39" i="7"/>
  <c r="H46" i="7"/>
  <c r="D13" i="9"/>
  <c r="H32" i="8"/>
  <c r="E156" i="9"/>
  <c r="H57" i="7"/>
  <c r="H22" i="7"/>
  <c r="G128" i="9"/>
  <c r="D68" i="8"/>
  <c r="G40" i="8"/>
  <c r="H74" i="9"/>
  <c r="H60" i="8"/>
  <c r="E111" i="9"/>
  <c r="F7" i="8"/>
  <c r="F13" i="7"/>
  <c r="E63" i="7"/>
  <c r="F31" i="9"/>
  <c r="H39" i="8"/>
  <c r="F38" i="9"/>
  <c r="E18" i="8"/>
  <c r="D76" i="7"/>
  <c r="F134" i="3"/>
  <c r="E55" i="3"/>
  <c r="E53" i="9"/>
  <c r="G165" i="3"/>
  <c r="G137" i="3"/>
  <c r="H132" i="9"/>
  <c r="G49" i="9"/>
  <c r="F32" i="9"/>
  <c r="G25" i="9"/>
  <c r="D40" i="7"/>
  <c r="E41" i="7"/>
  <c r="F12" i="9"/>
  <c r="G122" i="9"/>
  <c r="D74" i="7"/>
  <c r="D71" i="8"/>
  <c r="F23" i="8"/>
  <c r="D23" i="8"/>
  <c r="E17" i="7"/>
  <c r="G171" i="3"/>
  <c r="G144" i="9"/>
  <c r="F37" i="7"/>
  <c r="E151" i="3"/>
  <c r="F23" i="9"/>
  <c r="G184" i="9"/>
  <c r="D71" i="3"/>
  <c r="E13" i="9"/>
  <c r="F47" i="8"/>
  <c r="G48" i="8"/>
  <c r="D39" i="8"/>
  <c r="D57" i="8"/>
  <c r="E76" i="7"/>
  <c r="F12" i="7"/>
  <c r="F65" i="9"/>
  <c r="G15" i="3"/>
  <c r="D11" i="8"/>
  <c r="F202" i="3"/>
  <c r="H54" i="8"/>
  <c r="G25" i="8"/>
  <c r="F102" i="9"/>
  <c r="F37" i="8"/>
  <c r="G68" i="8"/>
  <c r="G178" i="9"/>
  <c r="E61" i="7"/>
  <c r="F58" i="7"/>
  <c r="E69" i="8"/>
  <c r="G53" i="9"/>
  <c r="H24" i="3"/>
  <c r="F45" i="9"/>
  <c r="D16" i="7"/>
  <c r="F144" i="3"/>
  <c r="H7" i="3"/>
  <c r="F53" i="9"/>
  <c r="F68" i="8"/>
  <c r="E34" i="9"/>
  <c r="F180" i="3"/>
  <c r="H129" i="9"/>
  <c r="F53" i="7"/>
  <c r="D12" i="9"/>
  <c r="F52" i="8"/>
  <c r="F12" i="8"/>
  <c r="E164" i="9"/>
  <c r="H32" i="9"/>
  <c r="F56" i="8"/>
  <c r="H66" i="7"/>
  <c r="H122" i="9"/>
  <c r="H140" i="9"/>
  <c r="H133" i="9"/>
  <c r="E43" i="7"/>
  <c r="G196" i="3"/>
  <c r="H169" i="3"/>
  <c r="H70" i="8"/>
  <c r="E180" i="3"/>
  <c r="H9" i="8"/>
  <c r="E40" i="7"/>
  <c r="F72" i="8"/>
  <c r="D69" i="3"/>
  <c r="D104" i="9"/>
  <c r="D13" i="8"/>
  <c r="H68" i="9"/>
  <c r="D209" i="3"/>
  <c r="E71" i="8"/>
  <c r="D43" i="8"/>
  <c r="H10" i="9"/>
  <c r="H115" i="9"/>
  <c r="F46" i="3"/>
  <c r="F100" i="9"/>
  <c r="G175" i="9"/>
  <c r="E21" i="9"/>
  <c r="F35" i="7"/>
  <c r="G169" i="9"/>
  <c r="E10" i="4"/>
  <c r="G72" i="8"/>
  <c r="G167" i="3"/>
  <c r="H23" i="8"/>
  <c r="G13" i="9"/>
  <c r="G73" i="8"/>
  <c r="F97" i="9"/>
  <c r="H88" i="9"/>
  <c r="F34" i="9"/>
  <c r="F164" i="9"/>
  <c r="D45" i="3"/>
  <c r="E44" i="9"/>
  <c r="G56" i="8"/>
  <c r="H56" i="8"/>
  <c r="F22" i="8"/>
  <c r="G9" i="9"/>
  <c r="E132" i="9"/>
  <c r="H176" i="9"/>
  <c r="F115" i="3"/>
  <c r="H22" i="9"/>
  <c r="G41" i="7"/>
  <c r="H120" i="9"/>
  <c r="H27" i="7"/>
  <c r="F57" i="9"/>
  <c r="H18" i="9"/>
  <c r="D90" i="7"/>
  <c r="G37" i="8"/>
  <c r="G89" i="9"/>
  <c r="E118" i="9"/>
  <c r="G21" i="9"/>
  <c r="F186" i="3"/>
  <c r="G145" i="3"/>
  <c r="F15" i="9"/>
  <c r="E169" i="9"/>
  <c r="H74" i="3"/>
  <c r="H35" i="8"/>
  <c r="E67" i="9"/>
  <c r="D17" i="9"/>
  <c r="F89" i="9"/>
  <c r="D12" i="8"/>
  <c r="H169" i="9"/>
  <c r="E7" i="7"/>
  <c r="H57" i="8"/>
  <c r="G186" i="3"/>
  <c r="H60" i="9"/>
  <c r="F32" i="8"/>
  <c r="E39" i="7"/>
  <c r="D15" i="9"/>
  <c r="D25" i="7"/>
  <c r="D169" i="9"/>
  <c r="D49" i="7"/>
  <c r="E48" i="9"/>
  <c r="H41" i="3"/>
  <c r="D183" i="3"/>
  <c r="H141" i="3"/>
  <c r="H33" i="8"/>
  <c r="E87" i="7"/>
  <c r="F183" i="9"/>
  <c r="F91" i="9"/>
  <c r="G72" i="3"/>
  <c r="E175" i="9"/>
  <c r="H21" i="3"/>
  <c r="E10" i="7"/>
  <c r="H12" i="9"/>
  <c r="G140" i="9"/>
  <c r="H99" i="3"/>
  <c r="D86" i="7"/>
  <c r="G47" i="7"/>
  <c r="E32" i="7"/>
  <c r="F20" i="7"/>
  <c r="H148" i="9"/>
  <c r="H32" i="7"/>
  <c r="E58" i="8"/>
  <c r="E55" i="8"/>
  <c r="G55" i="8"/>
  <c r="G31" i="7"/>
  <c r="G93" i="9"/>
  <c r="E137" i="3"/>
  <c r="G27" i="9"/>
  <c r="F42" i="8"/>
  <c r="G148" i="9"/>
  <c r="E38" i="9"/>
  <c r="G21" i="8"/>
  <c r="F24" i="7"/>
  <c r="E64" i="8"/>
  <c r="D78" i="7"/>
  <c r="E22" i="3"/>
  <c r="H211" i="3"/>
  <c r="F123" i="9"/>
  <c r="D40" i="8"/>
  <c r="E134" i="9"/>
  <c r="H76" i="8"/>
  <c r="D38" i="9"/>
  <c r="D45" i="8"/>
  <c r="G109" i="9"/>
  <c r="F27" i="9"/>
  <c r="D165" i="9"/>
  <c r="G24" i="8"/>
  <c r="F9" i="9"/>
  <c r="E88" i="9"/>
  <c r="F56" i="9"/>
  <c r="G10" i="8"/>
  <c r="D167" i="3"/>
  <c r="H40" i="8"/>
  <c r="D35" i="8"/>
  <c r="D178" i="3"/>
  <c r="G17" i="3"/>
  <c r="E62" i="8"/>
  <c r="E114" i="3"/>
  <c r="G47" i="8"/>
  <c r="E15" i="7"/>
  <c r="D18" i="7"/>
  <c r="F13" i="9"/>
  <c r="D217" i="3"/>
  <c r="F148" i="9"/>
  <c r="E32" i="9"/>
  <c r="G62" i="9"/>
  <c r="E37" i="7"/>
  <c r="H86" i="7"/>
  <c r="E108" i="9"/>
  <c r="H40" i="7"/>
  <c r="G45" i="7"/>
  <c r="E133" i="9"/>
  <c r="D82" i="9"/>
  <c r="G31" i="9"/>
  <c r="F161" i="3"/>
  <c r="G23" i="7"/>
  <c r="H34" i="9"/>
  <c r="F40" i="7"/>
  <c r="D53" i="9"/>
  <c r="D37" i="9"/>
  <c r="H58" i="9"/>
  <c r="G88" i="9"/>
  <c r="H90" i="3"/>
  <c r="H46" i="9"/>
  <c r="G76" i="8"/>
  <c r="H49" i="7"/>
  <c r="D20" i="8"/>
  <c r="E55" i="9"/>
  <c r="E56" i="8"/>
  <c r="G123" i="9"/>
  <c r="G8" i="7"/>
  <c r="H62" i="9"/>
  <c r="F154" i="9"/>
  <c r="G145" i="9"/>
  <c r="F213" i="3"/>
  <c r="E108" i="3"/>
  <c r="D37" i="3"/>
  <c r="D26" i="7"/>
  <c r="E23" i="9"/>
  <c r="D164" i="3"/>
  <c r="D73" i="8"/>
  <c r="E15" i="9"/>
  <c r="G27" i="8"/>
  <c r="F72" i="9"/>
  <c r="G9" i="7"/>
  <c r="G133" i="9"/>
  <c r="G174" i="9"/>
  <c r="H21" i="8"/>
  <c r="G23" i="9"/>
  <c r="F44" i="9"/>
  <c r="H13" i="8"/>
  <c r="G77" i="3"/>
  <c r="E40" i="8"/>
  <c r="G175" i="3"/>
  <c r="G34" i="9"/>
  <c r="G10" i="4"/>
  <c r="F83" i="7"/>
  <c r="F17" i="4"/>
  <c r="G65" i="3"/>
  <c r="H17" i="3"/>
  <c r="G74" i="8"/>
  <c r="G82" i="7"/>
  <c r="F128" i="9"/>
  <c r="E141" i="9"/>
  <c r="F108" i="3"/>
  <c r="H40" i="9"/>
  <c r="F67" i="8"/>
  <c r="G50" i="8"/>
  <c r="D82" i="7"/>
  <c r="D170" i="3"/>
  <c r="G153" i="9"/>
  <c r="D183" i="9"/>
  <c r="E22" i="9"/>
  <c r="H37" i="9"/>
  <c r="E12" i="9"/>
  <c r="F170" i="9"/>
  <c r="G214" i="3"/>
  <c r="F32" i="7"/>
  <c r="D78" i="8"/>
  <c r="G45" i="3"/>
  <c r="D60" i="7"/>
  <c r="D29" i="8"/>
  <c r="D72" i="8"/>
  <c r="F34" i="7"/>
  <c r="D97" i="3"/>
  <c r="E85" i="7"/>
  <c r="E7" i="8"/>
  <c r="D109" i="3"/>
  <c r="H28" i="7"/>
  <c r="E51" i="9"/>
  <c r="H90" i="7"/>
  <c r="F111" i="9"/>
  <c r="G59" i="8"/>
  <c r="D54" i="8"/>
  <c r="F7" i="7"/>
  <c r="F98" i="9"/>
  <c r="F31" i="3"/>
  <c r="F39" i="8"/>
  <c r="D22" i="8"/>
  <c r="F33" i="8"/>
  <c r="E148" i="3"/>
  <c r="E39" i="8"/>
  <c r="D137" i="3"/>
  <c r="F19" i="9"/>
  <c r="G12" i="8"/>
  <c r="E21" i="7"/>
  <c r="D32" i="7"/>
  <c r="G81" i="7"/>
  <c r="F22" i="9"/>
  <c r="F29" i="8"/>
  <c r="E114" i="9"/>
  <c r="G30" i="8"/>
  <c r="E172" i="9"/>
  <c r="G22" i="7"/>
  <c r="H39" i="3"/>
  <c r="G67" i="9"/>
  <c r="F55" i="8"/>
  <c r="E62" i="9"/>
  <c r="D165" i="3"/>
  <c r="H163" i="9"/>
  <c r="F192" i="3"/>
  <c r="H12" i="4"/>
  <c r="F126" i="3"/>
  <c r="E54" i="8"/>
  <c r="G40" i="7"/>
  <c r="F9" i="4"/>
  <c r="D192" i="3"/>
  <c r="G52" i="7"/>
  <c r="E42" i="3"/>
  <c r="G18" i="4"/>
  <c r="D32" i="8"/>
  <c r="D61" i="9"/>
  <c r="D132" i="9"/>
  <c r="E11" i="4"/>
  <c r="H84" i="3"/>
  <c r="E158" i="9"/>
  <c r="E144" i="9"/>
  <c r="E50" i="8"/>
  <c r="H89" i="7"/>
  <c r="F52" i="9"/>
  <c r="D67" i="8"/>
  <c r="H84" i="7"/>
  <c r="G66" i="8"/>
  <c r="H139" i="9"/>
  <c r="H31" i="9"/>
  <c r="G109" i="3"/>
  <c r="F69" i="8"/>
  <c r="F194" i="3"/>
  <c r="E70" i="7"/>
  <c r="F141" i="3"/>
  <c r="G106" i="9"/>
  <c r="F78" i="7"/>
  <c r="G71" i="9"/>
  <c r="G19" i="9"/>
  <c r="G120" i="9"/>
  <c r="G29" i="9"/>
  <c r="D54" i="7"/>
  <c r="G200" i="3"/>
  <c r="G13" i="7"/>
  <c r="G65" i="7"/>
  <c r="D20" i="7"/>
  <c r="D122" i="9"/>
  <c r="F47" i="9"/>
  <c r="D84" i="7"/>
  <c r="H142" i="3"/>
  <c r="H20" i="7"/>
  <c r="E149" i="9"/>
  <c r="G36" i="8"/>
  <c r="D67" i="7"/>
  <c r="H41" i="7"/>
  <c r="H57" i="3"/>
  <c r="F14" i="4"/>
  <c r="D58" i="3"/>
  <c r="F17" i="7"/>
  <c r="H65" i="7"/>
  <c r="H64" i="7"/>
  <c r="D156" i="9"/>
  <c r="E53" i="3"/>
  <c r="F156" i="3"/>
  <c r="H166" i="3"/>
  <c r="D196" i="3"/>
  <c r="D191" i="3"/>
  <c r="F16" i="4"/>
  <c r="H59" i="3"/>
  <c r="H213" i="3"/>
  <c r="E128" i="9"/>
  <c r="D148" i="3"/>
  <c r="G12" i="4"/>
  <c r="E113" i="3"/>
  <c r="E43" i="8"/>
  <c r="E153" i="3"/>
  <c r="H78" i="8"/>
  <c r="F206" i="3"/>
  <c r="H82" i="3"/>
  <c r="D50" i="3"/>
  <c r="F148" i="3"/>
  <c r="G16" i="7"/>
  <c r="F61" i="9"/>
  <c r="E59" i="7"/>
  <c r="E122" i="9"/>
  <c r="G50" i="3"/>
  <c r="E12" i="7"/>
  <c r="F81" i="9"/>
  <c r="D52" i="8"/>
  <c r="F130" i="3"/>
  <c r="H47" i="7"/>
  <c r="E82" i="7"/>
  <c r="F24" i="8"/>
  <c r="F171" i="3"/>
  <c r="H22" i="3"/>
  <c r="G80" i="7"/>
  <c r="F93" i="3"/>
  <c r="G69" i="7"/>
  <c r="D182" i="3"/>
  <c r="D126" i="3"/>
  <c r="D42" i="3"/>
  <c r="H157" i="3"/>
  <c r="G75" i="7"/>
  <c r="H100" i="3"/>
  <c r="F56" i="3"/>
  <c r="E171" i="3"/>
  <c r="E76" i="8"/>
  <c r="D70" i="7"/>
  <c r="D72" i="7"/>
  <c r="G59" i="7"/>
  <c r="H31" i="7"/>
  <c r="H52" i="8"/>
  <c r="H129" i="3"/>
  <c r="E20" i="8"/>
  <c r="H141" i="9"/>
  <c r="H8" i="7"/>
  <c r="D55" i="3"/>
  <c r="F59" i="8"/>
  <c r="G181" i="3"/>
  <c r="E152" i="3"/>
  <c r="D124" i="3"/>
  <c r="E84" i="3"/>
  <c r="H64" i="3"/>
  <c r="H20" i="3"/>
  <c r="H126" i="3"/>
  <c r="E18" i="7"/>
  <c r="D7" i="7"/>
  <c r="E79" i="7"/>
  <c r="H104" i="3"/>
  <c r="H115" i="3"/>
  <c r="H59" i="7"/>
  <c r="E91" i="7"/>
  <c r="E9" i="7"/>
  <c r="E193" i="3"/>
  <c r="F10" i="7"/>
  <c r="F38" i="3"/>
  <c r="E14" i="3"/>
  <c r="H70" i="7"/>
  <c r="G48" i="3"/>
  <c r="E52" i="3"/>
  <c r="D83" i="7"/>
  <c r="H73" i="8"/>
  <c r="F34" i="3"/>
  <c r="F33" i="7"/>
  <c r="G24" i="3"/>
  <c r="F204" i="3"/>
  <c r="F74" i="8"/>
  <c r="F37" i="3"/>
  <c r="F134" i="9"/>
  <c r="H194" i="3"/>
  <c r="H66" i="3"/>
  <c r="D88" i="7"/>
  <c r="F95" i="9"/>
  <c r="D7" i="8"/>
  <c r="D185" i="3"/>
  <c r="G84" i="7"/>
  <c r="G97" i="9"/>
  <c r="D134" i="3"/>
  <c r="E46" i="3"/>
  <c r="G82" i="3"/>
  <c r="G168" i="3"/>
  <c r="G143" i="3"/>
  <c r="F170" i="3"/>
  <c r="D33" i="8"/>
  <c r="F22" i="3"/>
  <c r="E73" i="8"/>
  <c r="F113" i="9"/>
  <c r="H67" i="9"/>
  <c r="F103" i="3"/>
  <c r="D34" i="3"/>
  <c r="E36" i="8"/>
  <c r="G53" i="8"/>
  <c r="H61" i="9"/>
  <c r="G18" i="7"/>
  <c r="F169" i="3"/>
  <c r="G94" i="7"/>
  <c r="G92" i="7"/>
  <c r="G166" i="3"/>
  <c r="E60" i="3"/>
  <c r="E92" i="9"/>
  <c r="D56" i="8"/>
  <c r="E160" i="3"/>
  <c r="G37" i="7"/>
  <c r="E167" i="3"/>
  <c r="H31" i="3"/>
  <c r="D31" i="9"/>
  <c r="H146" i="3"/>
  <c r="G117" i="3"/>
  <c r="E78" i="3"/>
  <c r="F140" i="9"/>
  <c r="F45" i="7"/>
  <c r="F58" i="8"/>
  <c r="F42" i="9"/>
  <c r="D52" i="7"/>
  <c r="E134" i="3"/>
  <c r="F14" i="3"/>
  <c r="D20" i="3"/>
  <c r="G151" i="3"/>
  <c r="F67" i="3"/>
  <c r="E12" i="8"/>
  <c r="F155" i="3"/>
  <c r="D63" i="7"/>
  <c r="E11" i="8"/>
  <c r="H48" i="8"/>
  <c r="E65" i="7"/>
  <c r="G37" i="9"/>
  <c r="E175" i="3"/>
  <c r="H45" i="3"/>
  <c r="G11" i="8"/>
  <c r="F54" i="7"/>
  <c r="F57" i="3"/>
  <c r="G162" i="9"/>
  <c r="E20" i="9"/>
  <c r="F22" i="7"/>
  <c r="D47" i="8"/>
  <c r="D17" i="4"/>
  <c r="D171" i="3"/>
  <c r="D34" i="7"/>
  <c r="H94" i="7"/>
  <c r="E88" i="7"/>
  <c r="E13" i="4"/>
  <c r="E135" i="3"/>
  <c r="D122" i="3"/>
  <c r="G134" i="3"/>
  <c r="E37" i="8"/>
  <c r="F117" i="3"/>
  <c r="D104" i="3"/>
  <c r="H136" i="3"/>
  <c r="H167" i="3"/>
  <c r="G223" i="3"/>
  <c r="H7" i="9"/>
  <c r="E47" i="8"/>
  <c r="G11" i="4"/>
  <c r="F86" i="9"/>
  <c r="D57" i="7"/>
  <c r="E92" i="7"/>
  <c r="G119" i="9"/>
  <c r="D12" i="7"/>
  <c r="F21" i="3"/>
  <c r="E45" i="7"/>
  <c r="F25" i="7"/>
  <c r="D129" i="3"/>
  <c r="F223" i="3"/>
  <c r="F182" i="3"/>
  <c r="D75" i="7"/>
  <c r="E141" i="3"/>
  <c r="D101" i="3"/>
  <c r="F13" i="8"/>
  <c r="E104" i="3"/>
  <c r="G74" i="7"/>
  <c r="E71" i="3"/>
  <c r="F76" i="3"/>
  <c r="E76" i="3"/>
  <c r="F193" i="3"/>
  <c r="D21" i="3"/>
  <c r="D114" i="3"/>
  <c r="H30" i="8"/>
  <c r="F88" i="3"/>
  <c r="D133" i="3"/>
  <c r="E89" i="7"/>
  <c r="G15" i="9"/>
  <c r="G7" i="8"/>
  <c r="G187" i="3"/>
  <c r="H68" i="3"/>
  <c r="G63" i="7"/>
  <c r="G13" i="4"/>
  <c r="E97" i="3"/>
  <c r="H148" i="3"/>
  <c r="G86" i="3"/>
  <c r="E34" i="7"/>
  <c r="E19" i="8"/>
  <c r="H69" i="9"/>
  <c r="D60" i="8"/>
  <c r="E23" i="7"/>
  <c r="E31" i="3"/>
  <c r="H21" i="7"/>
  <c r="H14" i="9"/>
  <c r="F211" i="3"/>
  <c r="F68" i="9"/>
  <c r="H63" i="3"/>
  <c r="D70" i="3"/>
  <c r="H50" i="7"/>
  <c r="G111" i="9"/>
  <c r="H116" i="3"/>
  <c r="F53" i="8"/>
  <c r="F41" i="7"/>
  <c r="D162" i="3"/>
  <c r="D15" i="8"/>
  <c r="G151" i="9"/>
  <c r="G107" i="3"/>
  <c r="F18" i="8"/>
  <c r="D80" i="7"/>
  <c r="G108" i="3"/>
  <c r="E127" i="3"/>
  <c r="H45" i="7"/>
  <c r="F214" i="3"/>
  <c r="H145" i="3"/>
  <c r="H92" i="7"/>
  <c r="H71" i="3"/>
  <c r="G172" i="3"/>
  <c r="G46" i="3"/>
  <c r="F17" i="8"/>
  <c r="H45" i="8"/>
  <c r="H42" i="9"/>
  <c r="G100" i="9"/>
  <c r="E8" i="7"/>
  <c r="F77" i="3"/>
  <c r="E222" i="3"/>
  <c r="G69" i="8"/>
  <c r="E28" i="7"/>
  <c r="E109" i="9"/>
  <c r="D51" i="7"/>
  <c r="D46" i="7"/>
  <c r="G62" i="7"/>
  <c r="G57" i="8"/>
  <c r="H134" i="9"/>
  <c r="F116" i="9"/>
  <c r="H165" i="3"/>
  <c r="F82" i="3"/>
  <c r="H127" i="3"/>
  <c r="G193" i="3"/>
  <c r="E90" i="3"/>
  <c r="F71" i="8"/>
  <c r="H171" i="3"/>
  <c r="G53" i="3"/>
  <c r="E44" i="3"/>
  <c r="D12" i="3"/>
  <c r="H27" i="8"/>
  <c r="F15" i="7"/>
  <c r="G125" i="3"/>
  <c r="F179" i="3"/>
  <c r="F45" i="3"/>
  <c r="G21" i="7"/>
  <c r="F105" i="3"/>
  <c r="H39" i="7"/>
  <c r="E187" i="3"/>
  <c r="H190" i="3"/>
  <c r="E202" i="3"/>
  <c r="D70" i="8"/>
  <c r="G79" i="3"/>
  <c r="F17" i="9"/>
  <c r="F57" i="8"/>
  <c r="H19" i="9"/>
  <c r="D56" i="3"/>
  <c r="F27" i="3"/>
  <c r="H78" i="7"/>
  <c r="E169" i="3"/>
  <c r="H202" i="3"/>
  <c r="G112" i="3"/>
  <c r="G134" i="9"/>
  <c r="E119" i="9"/>
  <c r="F107" i="3"/>
  <c r="D96" i="3"/>
  <c r="D82" i="3"/>
  <c r="F37" i="9"/>
  <c r="G70" i="7"/>
  <c r="E17" i="8"/>
  <c r="D81" i="3"/>
  <c r="H151" i="9"/>
  <c r="G93" i="3"/>
  <c r="H69" i="8"/>
  <c r="E22" i="7"/>
  <c r="H44" i="3"/>
  <c r="G131" i="3"/>
  <c r="E42" i="9"/>
  <c r="H93" i="3"/>
  <c r="F45" i="8"/>
  <c r="D84" i="3"/>
  <c r="H67" i="7"/>
  <c r="D31" i="3"/>
  <c r="D131" i="3"/>
  <c r="H55" i="3"/>
  <c r="F100" i="3"/>
  <c r="F152" i="3"/>
  <c r="F25" i="9"/>
  <c r="E52" i="7"/>
  <c r="H153" i="3"/>
  <c r="F35" i="8"/>
  <c r="H177" i="3"/>
  <c r="G122" i="3"/>
  <c r="H11" i="7"/>
  <c r="F209" i="3"/>
  <c r="H42" i="3"/>
  <c r="F72" i="3"/>
  <c r="E75" i="3"/>
  <c r="G17" i="7"/>
  <c r="E139" i="9"/>
  <c r="F78" i="3"/>
  <c r="H69" i="3"/>
  <c r="F7" i="4"/>
  <c r="F162" i="3"/>
  <c r="E88" i="3"/>
  <c r="E23" i="8"/>
  <c r="H18" i="4"/>
  <c r="E50" i="3"/>
  <c r="D27" i="8"/>
  <c r="G32" i="8"/>
  <c r="F212" i="3"/>
  <c r="E27" i="3"/>
  <c r="E75" i="7"/>
  <c r="E18" i="4"/>
  <c r="G133" i="3"/>
  <c r="E49" i="3"/>
  <c r="E196" i="3"/>
  <c r="F87" i="7"/>
  <c r="E69" i="3"/>
  <c r="G174" i="3"/>
  <c r="H43" i="3"/>
  <c r="E109" i="3"/>
  <c r="D22" i="7"/>
  <c r="F112" i="3"/>
  <c r="G18" i="9"/>
  <c r="G124" i="9"/>
  <c r="D64" i="8"/>
  <c r="F164" i="3"/>
  <c r="E31" i="7"/>
  <c r="G104" i="3"/>
  <c r="G115" i="9"/>
  <c r="D62" i="7"/>
  <c r="F133" i="3"/>
  <c r="H43" i="8"/>
  <c r="G14" i="4"/>
  <c r="E35" i="9"/>
  <c r="E74" i="7"/>
  <c r="E51" i="3"/>
  <c r="F63" i="3"/>
  <c r="H71" i="8"/>
  <c r="H47" i="3"/>
  <c r="D11" i="4"/>
  <c r="D136" i="3"/>
  <c r="F110" i="3"/>
  <c r="H38" i="3"/>
  <c r="E33" i="8"/>
  <c r="E212" i="3"/>
  <c r="F48" i="3"/>
  <c r="F146" i="9"/>
  <c r="F218" i="3"/>
  <c r="F12" i="4"/>
  <c r="F20" i="3"/>
  <c r="F210" i="3"/>
  <c r="G58" i="8"/>
  <c r="D74" i="3"/>
  <c r="D121" i="3"/>
  <c r="G123" i="3"/>
  <c r="H58" i="3"/>
  <c r="F70" i="3"/>
  <c r="D59" i="7"/>
  <c r="F15" i="8"/>
  <c r="G49" i="3"/>
  <c r="F74" i="9"/>
  <c r="E213" i="3"/>
  <c r="D151" i="3"/>
  <c r="H103" i="3"/>
  <c r="H113" i="3"/>
  <c r="E24" i="8"/>
  <c r="H48" i="3"/>
  <c r="F30" i="8"/>
  <c r="H85" i="7"/>
  <c r="H29" i="9"/>
  <c r="H222" i="3"/>
  <c r="H15" i="8"/>
  <c r="E207" i="3"/>
  <c r="H172" i="3"/>
  <c r="H32" i="3"/>
  <c r="H74" i="7"/>
  <c r="F201" i="3"/>
  <c r="D23" i="7"/>
  <c r="H178" i="3"/>
  <c r="H36" i="8"/>
  <c r="E11" i="7"/>
  <c r="H78" i="3"/>
  <c r="H67" i="8"/>
  <c r="D69" i="9"/>
  <c r="D66" i="3"/>
  <c r="F109" i="3"/>
  <c r="H30" i="7"/>
  <c r="D7" i="9"/>
  <c r="F56" i="7"/>
  <c r="D45" i="7"/>
  <c r="G12" i="9"/>
  <c r="H37" i="8"/>
  <c r="H118" i="3"/>
  <c r="D194" i="3"/>
  <c r="F98" i="3"/>
  <c r="F64" i="9"/>
  <c r="D30" i="3"/>
  <c r="H156" i="3"/>
  <c r="G28" i="7"/>
  <c r="E18" i="3"/>
  <c r="E32" i="3"/>
  <c r="F94" i="7"/>
  <c r="F33" i="3"/>
  <c r="G108" i="9"/>
  <c r="F7" i="3"/>
  <c r="E77" i="3"/>
  <c r="D155" i="3"/>
  <c r="F141" i="9"/>
  <c r="G55" i="9"/>
  <c r="G60" i="8"/>
  <c r="F178" i="3"/>
  <c r="E24" i="7"/>
  <c r="G101" i="3"/>
  <c r="H75" i="7"/>
  <c r="H51" i="7"/>
  <c r="G91" i="7"/>
  <c r="F92" i="9"/>
  <c r="D149" i="3"/>
  <c r="D17" i="8"/>
  <c r="F19" i="3"/>
  <c r="E221" i="3"/>
  <c r="H133" i="3"/>
  <c r="H67" i="3"/>
  <c r="D64" i="3"/>
  <c r="H26" i="7"/>
  <c r="H81" i="3"/>
  <c r="H60" i="3"/>
  <c r="D127" i="3"/>
  <c r="H158" i="3"/>
  <c r="H87" i="3"/>
  <c r="G61" i="3"/>
  <c r="D21" i="7"/>
  <c r="D83" i="3"/>
  <c r="E35" i="8"/>
  <c r="H7" i="7"/>
  <c r="E181" i="3"/>
  <c r="F75" i="7"/>
  <c r="F28" i="7"/>
  <c r="H98" i="3"/>
  <c r="D28" i="7"/>
  <c r="D181" i="3"/>
  <c r="G141" i="3"/>
  <c r="D94" i="7"/>
  <c r="E119" i="3"/>
  <c r="G16" i="9"/>
  <c r="D93" i="3"/>
  <c r="E52" i="8"/>
  <c r="E67" i="8"/>
  <c r="H164" i="3"/>
  <c r="H79" i="3"/>
  <c r="E67" i="7"/>
  <c r="E138" i="3"/>
  <c r="E142" i="3"/>
  <c r="G110" i="3"/>
  <c r="G23" i="8"/>
  <c r="G12" i="7"/>
  <c r="H53" i="3"/>
  <c r="E159" i="3"/>
  <c r="G105" i="3"/>
  <c r="D177" i="3"/>
  <c r="F58" i="3"/>
  <c r="H35" i="7"/>
  <c r="H65" i="3"/>
  <c r="G216" i="3"/>
  <c r="F76" i="7"/>
  <c r="D31" i="7"/>
  <c r="E17" i="4"/>
  <c r="E46" i="7"/>
  <c r="D81" i="7"/>
  <c r="E54" i="7"/>
  <c r="E45" i="9"/>
  <c r="D74" i="9"/>
  <c r="F118" i="3"/>
  <c r="G114" i="3"/>
  <c r="G144" i="3"/>
  <c r="D187" i="3"/>
  <c r="G30" i="7"/>
  <c r="E219" i="3"/>
  <c r="G40" i="9"/>
  <c r="E58" i="3"/>
  <c r="E21" i="3"/>
  <c r="F9" i="7"/>
  <c r="G27" i="3"/>
  <c r="G61" i="7"/>
  <c r="G180" i="3"/>
  <c r="E203" i="3"/>
  <c r="F39" i="3"/>
  <c r="H214" i="3"/>
  <c r="F52" i="7"/>
  <c r="D69" i="8"/>
  <c r="E59" i="3"/>
  <c r="D215" i="3"/>
  <c r="D166" i="3"/>
  <c r="G209" i="3"/>
  <c r="F121" i="3"/>
  <c r="E13" i="8"/>
  <c r="E162" i="3"/>
  <c r="F75" i="3"/>
  <c r="F217" i="3"/>
  <c r="E74" i="3"/>
  <c r="D58" i="7"/>
  <c r="H56" i="7"/>
  <c r="H52" i="3"/>
  <c r="G64" i="7"/>
  <c r="D197" i="3"/>
  <c r="E106" i="3"/>
  <c r="H163" i="3"/>
  <c r="H16" i="7"/>
  <c r="G189" i="3"/>
  <c r="E111" i="3"/>
  <c r="G119" i="3"/>
  <c r="F28" i="3"/>
  <c r="H114" i="3"/>
  <c r="D16" i="4"/>
  <c r="F65" i="7"/>
  <c r="F125" i="3"/>
  <c r="H187" i="3"/>
  <c r="D18" i="3"/>
  <c r="H134" i="3"/>
  <c r="E191" i="3"/>
  <c r="E66" i="3"/>
  <c r="E83" i="3"/>
  <c r="F138" i="3"/>
  <c r="E30" i="8"/>
  <c r="G113" i="3"/>
  <c r="D25" i="8"/>
  <c r="E143" i="3"/>
  <c r="E177" i="3"/>
  <c r="D208" i="3"/>
  <c r="F26" i="3"/>
  <c r="G33" i="3"/>
  <c r="D66" i="7"/>
  <c r="F145" i="3"/>
  <c r="G190" i="3"/>
  <c r="E209" i="3"/>
  <c r="E7" i="9"/>
  <c r="E200" i="3"/>
  <c r="G86" i="7"/>
  <c r="H193" i="3"/>
  <c r="E47" i="3"/>
  <c r="F89" i="7"/>
  <c r="C38" i="17"/>
  <c r="E223" i="3"/>
  <c r="G213" i="3"/>
  <c r="F99" i="3"/>
  <c r="D53" i="8"/>
  <c r="E136" i="3"/>
  <c r="H12" i="7"/>
  <c r="F123" i="3"/>
  <c r="F200" i="3"/>
  <c r="H216" i="3"/>
  <c r="H159" i="3"/>
  <c r="E39" i="3"/>
  <c r="H35" i="3"/>
  <c r="G28" i="3"/>
  <c r="G66" i="3"/>
  <c r="G25" i="7"/>
  <c r="D113" i="3"/>
  <c r="F127" i="3"/>
  <c r="H58" i="7"/>
  <c r="C8" i="17"/>
  <c r="F31" i="7"/>
  <c r="H70" i="3"/>
  <c r="F181" i="3"/>
  <c r="H56" i="9"/>
  <c r="E173" i="3"/>
  <c r="H33" i="3"/>
  <c r="E120" i="3"/>
  <c r="E33" i="3"/>
  <c r="G12" i="3"/>
  <c r="E16" i="4"/>
  <c r="F39" i="7"/>
  <c r="F43" i="3"/>
  <c r="G87" i="3"/>
  <c r="D27" i="3"/>
  <c r="G55" i="3"/>
  <c r="F81" i="3"/>
  <c r="H87" i="7"/>
  <c r="G7" i="4"/>
  <c r="H174" i="3"/>
  <c r="D118" i="3"/>
  <c r="H22" i="8"/>
  <c r="D87" i="7"/>
  <c r="H152" i="3"/>
  <c r="E182" i="3"/>
  <c r="C14" i="17"/>
  <c r="C57" i="17"/>
  <c r="D130" i="3"/>
  <c r="F101" i="3"/>
  <c r="H215" i="3"/>
  <c r="D99" i="3"/>
  <c r="C26" i="17"/>
  <c r="H97" i="3"/>
  <c r="D174" i="3"/>
  <c r="E123" i="3"/>
  <c r="G179" i="3"/>
  <c r="H182" i="3"/>
  <c r="H223" i="3"/>
  <c r="D52" i="3"/>
  <c r="G155" i="3"/>
  <c r="D103" i="3"/>
  <c r="G206" i="3"/>
  <c r="E220" i="3"/>
  <c r="G8" i="3"/>
  <c r="H17" i="4"/>
  <c r="F222" i="3"/>
  <c r="F151" i="3"/>
  <c r="E185" i="3"/>
  <c r="H179" i="3"/>
  <c r="D222" i="3"/>
  <c r="G182" i="3"/>
  <c r="G34" i="3"/>
  <c r="E183" i="3"/>
  <c r="H130" i="3"/>
  <c r="G26" i="3"/>
  <c r="D35" i="3"/>
  <c r="E192" i="3"/>
  <c r="F62" i="3"/>
  <c r="E30" i="7"/>
  <c r="E103" i="3"/>
  <c r="D79" i="3"/>
  <c r="F10" i="8"/>
  <c r="G135" i="3"/>
  <c r="D38" i="3"/>
  <c r="G37" i="3"/>
  <c r="H119" i="3"/>
  <c r="D210" i="3"/>
  <c r="C3" i="17"/>
  <c r="D67" i="3"/>
  <c r="E166" i="3"/>
  <c r="E107" i="3"/>
  <c r="G62" i="8"/>
  <c r="D135" i="3"/>
  <c r="E211" i="3"/>
  <c r="H196" i="3"/>
  <c r="H16" i="4"/>
  <c r="G58" i="7"/>
  <c r="G191" i="3"/>
  <c r="F203" i="3"/>
  <c r="G157" i="3"/>
  <c r="E41" i="3"/>
  <c r="G29" i="8"/>
  <c r="G16" i="4"/>
  <c r="E101" i="3"/>
  <c r="H155" i="3"/>
  <c r="E29" i="9"/>
  <c r="E43" i="3"/>
  <c r="H49" i="3"/>
  <c r="E30" i="3"/>
  <c r="E189" i="3"/>
  <c r="F184" i="3"/>
  <c r="H66" i="8"/>
  <c r="G42" i="3"/>
  <c r="F27" i="8"/>
  <c r="D110" i="3"/>
  <c r="F191" i="3"/>
  <c r="H11" i="4"/>
  <c r="D139" i="3"/>
  <c r="E215" i="3"/>
  <c r="F11" i="4"/>
  <c r="D98" i="3"/>
  <c r="E66" i="7"/>
  <c r="D15" i="7"/>
  <c r="H75" i="3"/>
  <c r="D57" i="3"/>
  <c r="E116" i="3"/>
  <c r="F83" i="3"/>
  <c r="G78" i="3"/>
  <c r="D87" i="3"/>
  <c r="D108" i="3"/>
  <c r="H137" i="3"/>
  <c r="D7" i="4"/>
  <c r="E79" i="3"/>
  <c r="G73" i="3"/>
  <c r="C33" i="17"/>
  <c r="G222" i="3"/>
  <c r="H88" i="7"/>
  <c r="E67" i="3"/>
  <c r="G33" i="7"/>
  <c r="D168" i="3"/>
  <c r="G34" i="7"/>
  <c r="G210" i="3"/>
  <c r="E45" i="3"/>
  <c r="H181" i="3"/>
  <c r="E129" i="3"/>
  <c r="H94" i="3"/>
  <c r="G219" i="3"/>
  <c r="D75" i="3"/>
  <c r="H221" i="3"/>
  <c r="F16" i="7"/>
  <c r="H65" i="9"/>
  <c r="D61" i="3"/>
  <c r="F10" i="9"/>
  <c r="F78" i="8"/>
  <c r="E216" i="3"/>
  <c r="E37" i="3"/>
  <c r="E210" i="3"/>
  <c r="F69" i="3"/>
  <c r="D143" i="3"/>
  <c r="E105" i="3"/>
  <c r="D153" i="3"/>
  <c r="D213" i="3"/>
  <c r="H122" i="3"/>
  <c r="D13" i="4"/>
  <c r="F157" i="3"/>
  <c r="G121" i="3"/>
  <c r="C15" i="17"/>
  <c r="H149" i="3"/>
  <c r="D30" i="7"/>
  <c r="D65" i="3"/>
  <c r="E178" i="3"/>
  <c r="E70" i="3"/>
  <c r="G164" i="3"/>
  <c r="H79" i="7"/>
  <c r="G60" i="3"/>
  <c r="F11" i="7"/>
  <c r="E82" i="3"/>
  <c r="G192" i="3"/>
  <c r="F35" i="9"/>
  <c r="E206" i="3"/>
  <c r="F61" i="7"/>
  <c r="H105" i="3"/>
  <c r="H183" i="3"/>
  <c r="E205" i="3"/>
  <c r="F80" i="7"/>
  <c r="F104" i="3"/>
  <c r="G64" i="3"/>
  <c r="G15" i="7"/>
  <c r="D63" i="3"/>
  <c r="F68" i="7"/>
  <c r="D61" i="7"/>
  <c r="H37" i="3"/>
  <c r="D62" i="3"/>
  <c r="G218" i="3"/>
  <c r="C4" i="17"/>
  <c r="F64" i="3"/>
  <c r="H197" i="3"/>
  <c r="E56" i="7"/>
  <c r="H124" i="3"/>
  <c r="E49" i="7"/>
  <c r="D60" i="3"/>
  <c r="H208" i="3"/>
  <c r="F196" i="3"/>
  <c r="G173" i="3"/>
  <c r="F183" i="3"/>
  <c r="F20" i="8"/>
  <c r="F67" i="7"/>
  <c r="G44" i="3"/>
  <c r="F44" i="3"/>
  <c r="H186" i="3"/>
  <c r="F124" i="3"/>
  <c r="D116" i="3"/>
  <c r="G106" i="3"/>
  <c r="E14" i="4"/>
  <c r="F131" i="3"/>
  <c r="G51" i="3"/>
  <c r="F106" i="3"/>
  <c r="D10" i="4"/>
  <c r="D161" i="3"/>
  <c r="D207" i="3"/>
  <c r="G79" i="7"/>
  <c r="G142" i="3"/>
  <c r="E65" i="3"/>
  <c r="E64" i="3"/>
  <c r="F220" i="3"/>
  <c r="F42" i="3"/>
  <c r="D10" i="7"/>
  <c r="D202" i="3"/>
  <c r="G183" i="3"/>
  <c r="D158" i="3"/>
  <c r="E118" i="3"/>
  <c r="G70" i="3"/>
  <c r="G204" i="3"/>
  <c r="G212" i="3"/>
  <c r="H51" i="3"/>
  <c r="G203" i="3"/>
  <c r="D17" i="7"/>
  <c r="E158" i="3"/>
  <c r="G199" i="3"/>
  <c r="E130" i="3"/>
  <c r="G21" i="3"/>
  <c r="F15" i="3"/>
  <c r="D9" i="4"/>
  <c r="G159" i="3"/>
  <c r="F10" i="4"/>
  <c r="D199" i="3"/>
  <c r="E217" i="3"/>
  <c r="C6" i="17"/>
  <c r="G56" i="7"/>
  <c r="E170" i="3"/>
  <c r="H37" i="7"/>
  <c r="G71" i="3"/>
  <c r="H46" i="3"/>
  <c r="C11" i="17"/>
  <c r="C18" i="17"/>
  <c r="F86" i="3"/>
  <c r="F30" i="3"/>
  <c r="F114" i="3"/>
  <c r="D8" i="3"/>
  <c r="C13" i="17"/>
  <c r="C22" i="17"/>
  <c r="E201" i="3"/>
  <c r="D51" i="3"/>
  <c r="H210" i="3"/>
  <c r="F82" i="7"/>
  <c r="E86" i="7"/>
  <c r="D17" i="3"/>
  <c r="H10" i="8"/>
  <c r="G38" i="3"/>
  <c r="F143" i="3"/>
  <c r="F87" i="3"/>
  <c r="D144" i="3"/>
  <c r="H42" i="8"/>
  <c r="D142" i="3"/>
  <c r="E154" i="3"/>
  <c r="H86" i="3"/>
  <c r="H144" i="3"/>
  <c r="C40" i="17"/>
  <c r="F174" i="3"/>
  <c r="H7" i="4"/>
  <c r="H151" i="3"/>
  <c r="E72" i="3"/>
  <c r="G9" i="8"/>
  <c r="F175" i="3"/>
  <c r="G46" i="7"/>
  <c r="H120" i="3"/>
  <c r="D206" i="3"/>
  <c r="D221" i="3"/>
  <c r="G161" i="3"/>
  <c r="H7" i="8"/>
  <c r="G120" i="3"/>
  <c r="H207" i="3"/>
  <c r="F57" i="7"/>
  <c r="F135" i="3"/>
  <c r="G68" i="7"/>
  <c r="E15" i="3"/>
  <c r="F9" i="8"/>
  <c r="E64" i="7"/>
  <c r="G75" i="3"/>
  <c r="F173" i="3"/>
  <c r="E146" i="3"/>
  <c r="F18" i="7"/>
  <c r="G54" i="7"/>
  <c r="E84" i="7"/>
  <c r="G217" i="3"/>
  <c r="E25" i="7"/>
  <c r="D59" i="3"/>
  <c r="H204" i="3"/>
  <c r="G138" i="3"/>
  <c r="E172" i="3"/>
  <c r="D200" i="3"/>
  <c r="F74" i="7"/>
  <c r="H139" i="3"/>
  <c r="F79" i="7"/>
  <c r="D68" i="3"/>
  <c r="F208" i="3"/>
  <c r="D216" i="3"/>
  <c r="E145" i="3"/>
  <c r="E60" i="7"/>
  <c r="D18" i="4"/>
  <c r="G99" i="3"/>
  <c r="F111" i="3"/>
  <c r="E13" i="7"/>
  <c r="F207" i="3"/>
  <c r="G202" i="3"/>
  <c r="D156" i="3"/>
  <c r="E35" i="7"/>
  <c r="G11" i="7"/>
  <c r="F81" i="7"/>
  <c r="F166" i="3"/>
  <c r="E199" i="3"/>
  <c r="D28" i="3"/>
  <c r="D193" i="3"/>
  <c r="F154" i="3"/>
  <c r="H168" i="3"/>
  <c r="G100" i="3"/>
  <c r="D47" i="7"/>
  <c r="E131" i="3"/>
  <c r="G84" i="3"/>
  <c r="G10" i="7"/>
  <c r="F64" i="7"/>
  <c r="F163" i="3"/>
  <c r="G50" i="7"/>
  <c r="F73" i="3"/>
  <c r="D7" i="3"/>
  <c r="G207" i="3"/>
  <c r="F47" i="3"/>
  <c r="H77" i="3"/>
  <c r="D106" i="3"/>
  <c r="C20" i="17"/>
  <c r="F92" i="7"/>
  <c r="D145" i="3"/>
  <c r="G201" i="3"/>
  <c r="G47" i="3"/>
  <c r="G139" i="3"/>
  <c r="G129" i="9"/>
  <c r="H61" i="3"/>
  <c r="E214" i="3"/>
  <c r="D72" i="3"/>
  <c r="G39" i="8"/>
  <c r="D189" i="3"/>
  <c r="F122" i="3"/>
  <c r="F41" i="3"/>
  <c r="E110" i="3"/>
  <c r="D69" i="7"/>
  <c r="D117" i="3"/>
  <c r="G129" i="3"/>
  <c r="F94" i="3"/>
  <c r="E8" i="3"/>
  <c r="G169" i="3"/>
  <c r="D85" i="7"/>
  <c r="E81" i="7"/>
  <c r="F96" i="3"/>
  <c r="D22" i="3"/>
  <c r="H162" i="3"/>
  <c r="G221" i="3"/>
  <c r="H184" i="3"/>
  <c r="G148" i="3"/>
  <c r="G31" i="3"/>
  <c r="H81" i="7"/>
  <c r="H189" i="3"/>
  <c r="H17" i="9"/>
  <c r="G18" i="8"/>
  <c r="G83" i="3"/>
  <c r="H50" i="3"/>
  <c r="E9" i="8"/>
  <c r="D179" i="3"/>
  <c r="F60" i="7"/>
  <c r="G41" i="3"/>
  <c r="F12" i="3"/>
  <c r="E197" i="3"/>
  <c r="G62" i="3"/>
  <c r="E155" i="3"/>
  <c r="E34" i="3"/>
  <c r="F146" i="3"/>
  <c r="D45" i="9"/>
  <c r="E194" i="3"/>
  <c r="G162" i="3"/>
  <c r="E57" i="7"/>
  <c r="E186" i="3"/>
  <c r="F129" i="3"/>
  <c r="F160" i="3"/>
  <c r="H191" i="3"/>
  <c r="G158" i="3"/>
  <c r="D88" i="3"/>
  <c r="F18" i="9"/>
  <c r="G22" i="3"/>
  <c r="G126" i="3"/>
  <c r="G163" i="3"/>
  <c r="D175" i="3"/>
  <c r="G35" i="9"/>
  <c r="F21" i="7"/>
  <c r="H52" i="7"/>
  <c r="G32" i="7"/>
  <c r="H33" i="7"/>
  <c r="F21" i="8"/>
  <c r="D120" i="3"/>
  <c r="H209" i="3"/>
  <c r="D55" i="8"/>
  <c r="H8" i="3"/>
  <c r="H112" i="3"/>
  <c r="E124" i="3"/>
  <c r="F64" i="8"/>
  <c r="F158" i="3"/>
  <c r="E99" i="3"/>
  <c r="D172" i="3"/>
  <c r="G24" i="7"/>
  <c r="F32" i="3"/>
  <c r="G45" i="9"/>
  <c r="G20" i="7"/>
  <c r="F85" i="7"/>
  <c r="H44" i="9"/>
  <c r="E174" i="3"/>
  <c r="D12" i="4"/>
  <c r="G153" i="3"/>
  <c r="F219" i="3"/>
  <c r="F92" i="3"/>
  <c r="G68" i="3"/>
  <c r="E100" i="3"/>
  <c r="E98" i="3"/>
  <c r="G116" i="3"/>
  <c r="F119" i="3"/>
  <c r="E184" i="3"/>
  <c r="E163" i="3"/>
  <c r="G92" i="3"/>
  <c r="H76" i="3"/>
  <c r="E62" i="3"/>
  <c r="D100" i="3"/>
  <c r="G111" i="3"/>
  <c r="H131" i="3"/>
  <c r="F172" i="3"/>
  <c r="H21" i="9"/>
  <c r="D105" i="3"/>
  <c r="E73" i="3"/>
  <c r="G78" i="8"/>
  <c r="D132" i="3"/>
  <c r="E80" i="7"/>
  <c r="G39" i="3"/>
  <c r="H34" i="3"/>
  <c r="D73" i="3"/>
  <c r="D219" i="3"/>
  <c r="G194" i="3"/>
  <c r="D15" i="3"/>
  <c r="H72" i="3"/>
  <c r="F199" i="3"/>
  <c r="G154" i="3"/>
  <c r="F66" i="7"/>
  <c r="D77" i="3"/>
  <c r="D218" i="3"/>
  <c r="C7" i="17"/>
  <c r="G63" i="3"/>
  <c r="H173" i="3"/>
  <c r="H13" i="4"/>
  <c r="E7" i="3"/>
  <c r="F79" i="3"/>
  <c r="G215" i="3"/>
  <c r="G90" i="7"/>
  <c r="D9" i="7"/>
  <c r="H132" i="3"/>
  <c r="H108" i="3"/>
  <c r="E81" i="3"/>
  <c r="G211" i="3"/>
  <c r="G88" i="3"/>
  <c r="G149" i="3"/>
  <c r="H180" i="3"/>
  <c r="E61" i="3"/>
  <c r="D125" i="3"/>
  <c r="E139" i="3"/>
  <c r="D50" i="7"/>
  <c r="H19" i="8"/>
  <c r="F137" i="3"/>
  <c r="F48" i="8"/>
  <c r="G78" i="7"/>
  <c r="D66" i="8"/>
  <c r="H56" i="3"/>
  <c r="D186" i="3"/>
  <c r="D138" i="3"/>
  <c r="C5" i="17"/>
  <c r="D94" i="3"/>
  <c r="G39" i="7"/>
  <c r="H109" i="3"/>
  <c r="D47" i="3"/>
  <c r="D65" i="7"/>
  <c r="F132" i="3"/>
  <c r="E12" i="4"/>
  <c r="E26" i="3"/>
  <c r="D53" i="7"/>
  <c r="G67" i="7"/>
  <c r="E47" i="7"/>
  <c r="H80" i="7"/>
  <c r="D91" i="7"/>
  <c r="E40" i="9"/>
  <c r="H9" i="9"/>
  <c r="E59" i="8"/>
  <c r="F153" i="3"/>
  <c r="D152" i="3"/>
  <c r="D27" i="7"/>
  <c r="F82" i="9"/>
  <c r="F136" i="3"/>
  <c r="D24" i="7"/>
  <c r="E125" i="3"/>
  <c r="F55" i="3"/>
  <c r="H9" i="4"/>
  <c r="D86" i="3"/>
  <c r="H23" i="9"/>
  <c r="G58" i="3"/>
  <c r="E12" i="3"/>
  <c r="E164" i="3"/>
  <c r="D14" i="4"/>
  <c r="G132" i="3"/>
  <c r="D163" i="3"/>
  <c r="F90" i="7"/>
  <c r="H49" i="9"/>
  <c r="D35" i="7"/>
  <c r="E112" i="3"/>
  <c r="F113" i="3"/>
  <c r="G74" i="3"/>
  <c r="F120" i="3"/>
  <c r="F63" i="7"/>
  <c r="H170" i="3"/>
  <c r="E165" i="3"/>
  <c r="H217" i="3"/>
  <c r="D24" i="3"/>
  <c r="G53" i="7"/>
  <c r="F88" i="7"/>
  <c r="E48" i="3"/>
  <c r="F72" i="7"/>
  <c r="G97" i="3"/>
  <c r="H107" i="3"/>
  <c r="E7" i="4"/>
  <c r="E17" i="3"/>
  <c r="D204" i="3"/>
  <c r="E208" i="3"/>
  <c r="D159" i="3"/>
  <c r="F18" i="4"/>
  <c r="H83" i="3"/>
  <c r="H200" i="3"/>
  <c r="G56" i="3"/>
  <c r="G146" i="3"/>
  <c r="E204" i="3"/>
  <c r="G205" i="3"/>
  <c r="D111" i="3"/>
  <c r="H117" i="3"/>
  <c r="G9" i="4"/>
  <c r="G35" i="3"/>
  <c r="D43" i="7"/>
  <c r="F221" i="3"/>
  <c r="F49" i="3"/>
  <c r="F189" i="3"/>
  <c r="C16" i="17"/>
  <c r="H154" i="3"/>
  <c r="F17" i="3"/>
  <c r="D41" i="7"/>
  <c r="G160" i="3"/>
  <c r="F18" i="3"/>
  <c r="G13" i="8"/>
  <c r="H143" i="3"/>
  <c r="D173" i="3"/>
  <c r="G124" i="3"/>
  <c r="H27" i="3"/>
  <c r="G32" i="3"/>
  <c r="G14" i="3"/>
  <c r="G19" i="3"/>
  <c r="F60" i="3"/>
  <c r="D32" i="3"/>
  <c r="G96" i="3"/>
  <c r="D92" i="3"/>
  <c r="D44" i="3"/>
  <c r="G32" i="9"/>
  <c r="F90" i="3"/>
  <c r="F76" i="8"/>
  <c r="G178" i="3"/>
  <c r="F185" i="3"/>
  <c r="D119" i="3"/>
  <c r="D169" i="3"/>
  <c r="H111" i="3"/>
  <c r="H14" i="4"/>
  <c r="H106" i="3"/>
  <c r="E20" i="3"/>
  <c r="E27" i="7"/>
  <c r="H30" i="3"/>
  <c r="F65" i="3"/>
  <c r="H205" i="3"/>
  <c r="F27" i="7"/>
  <c r="G76" i="3"/>
  <c r="D39" i="3"/>
  <c r="F68" i="3"/>
  <c r="E161" i="3"/>
  <c r="F59" i="3"/>
  <c r="F66" i="3"/>
  <c r="F149" i="3"/>
  <c r="G94" i="3"/>
  <c r="F51" i="3"/>
  <c r="E133" i="3"/>
  <c r="F47" i="7"/>
  <c r="G130" i="3"/>
  <c r="D46" i="3"/>
  <c r="D160" i="3"/>
  <c r="D157" i="3"/>
  <c r="E121" i="3"/>
  <c r="E94" i="3"/>
  <c r="D13" i="7"/>
  <c r="H19" i="3"/>
  <c r="E149" i="3"/>
  <c r="D220" i="3"/>
  <c r="D223" i="3"/>
  <c r="H63" i="7"/>
  <c r="E115" i="3"/>
  <c r="D49" i="3"/>
  <c r="H82" i="7"/>
  <c r="F91" i="7"/>
  <c r="H18" i="3"/>
  <c r="D211" i="3"/>
  <c r="E126" i="3"/>
  <c r="G26" i="7"/>
  <c r="H18" i="7"/>
  <c r="F53" i="3"/>
  <c r="G115" i="3"/>
  <c r="G49" i="7"/>
  <c r="E26" i="7"/>
  <c r="E92" i="3"/>
  <c r="G170" i="3"/>
  <c r="E190" i="3"/>
  <c r="H96" i="3"/>
  <c r="G7" i="3"/>
  <c r="D107" i="3"/>
  <c r="E179" i="3"/>
  <c r="D92" i="7"/>
  <c r="F167" i="3"/>
  <c r="H29" i="8"/>
  <c r="E28" i="3"/>
  <c r="E63" i="3"/>
  <c r="E218" i="3"/>
  <c r="E86" i="3"/>
  <c r="F61" i="3"/>
  <c r="F84" i="7"/>
  <c r="H121" i="3"/>
  <c r="E83" i="7"/>
  <c r="H61" i="7"/>
  <c r="H201" i="3"/>
  <c r="F21" i="9"/>
  <c r="E20" i="7"/>
  <c r="F159" i="3"/>
  <c r="D26" i="3"/>
  <c r="D76" i="3"/>
  <c r="D78" i="3"/>
  <c r="G185" i="3"/>
  <c r="C12" i="17"/>
  <c r="G118" i="3"/>
  <c r="G57" i="3"/>
  <c r="E117" i="3"/>
  <c r="H69" i="7"/>
  <c r="H25" i="7"/>
  <c r="H60" i="7"/>
  <c r="G88" i="7"/>
  <c r="G184" i="3"/>
  <c r="D41" i="3"/>
  <c r="F52" i="3"/>
  <c r="D19" i="3"/>
  <c r="C25" i="17"/>
  <c r="E132" i="3"/>
  <c r="F24" i="3"/>
  <c r="E87" i="3"/>
  <c r="H23" i="7"/>
  <c r="C10" i="17"/>
  <c r="G127" i="3"/>
  <c r="H175" i="3"/>
  <c r="E38" i="3"/>
  <c r="F142" i="3"/>
  <c r="F84" i="3"/>
  <c r="G81" i="3"/>
  <c r="H199" i="3"/>
  <c r="G52" i="3"/>
  <c r="F74" i="3"/>
  <c r="H219" i="3"/>
  <c r="F46" i="9"/>
  <c r="G208" i="3"/>
  <c r="G18" i="3"/>
  <c r="F177" i="3"/>
  <c r="H68" i="8"/>
  <c r="D48" i="3"/>
  <c r="G83" i="7"/>
  <c r="H12" i="3"/>
  <c r="F20" i="9"/>
  <c r="D115" i="3"/>
  <c r="F139" i="3"/>
  <c r="E68" i="3"/>
  <c r="G43" i="3"/>
  <c r="G60" i="7"/>
  <c r="H160" i="3"/>
  <c r="F165" i="3"/>
  <c r="E9" i="4"/>
  <c r="F86" i="7"/>
  <c r="H26" i="3"/>
  <c r="F59" i="7"/>
  <c r="G43" i="7"/>
  <c r="H15" i="3"/>
  <c r="E168" i="3"/>
  <c r="D146" i="3"/>
  <c r="G90" i="3"/>
  <c r="G177" i="3"/>
  <c r="H73" i="3"/>
  <c r="F205" i="3"/>
  <c r="G136" i="3"/>
  <c r="H125" i="3"/>
  <c r="G20" i="3"/>
  <c r="G17" i="9"/>
  <c r="G156" i="3"/>
  <c r="D212" i="3"/>
  <c r="D14" i="3"/>
  <c r="H212" i="3"/>
  <c r="E122" i="3"/>
  <c r="G152" i="3"/>
  <c r="H13" i="7"/>
  <c r="F116" i="3"/>
  <c r="D79" i="7"/>
  <c r="G103" i="3"/>
  <c r="D50" i="8"/>
  <c r="G67" i="3"/>
  <c r="D190" i="3"/>
  <c r="D37" i="7"/>
  <c r="E35" i="3"/>
  <c r="H17" i="7"/>
  <c r="H138" i="3"/>
  <c r="D90" i="3"/>
  <c r="E68" i="7"/>
  <c r="D33" i="3"/>
  <c r="F69" i="7"/>
  <c r="E72" i="8"/>
  <c r="E69" i="7"/>
  <c r="D64" i="7"/>
  <c r="F215" i="3"/>
  <c r="F36" i="8"/>
  <c r="D112" i="3"/>
  <c r="E157" i="3"/>
  <c r="G59" i="3"/>
  <c r="E56" i="3"/>
  <c r="F97" i="3"/>
  <c r="D180" i="3"/>
  <c r="F187" i="3"/>
  <c r="H9" i="7"/>
  <c r="E156" i="3"/>
  <c r="F13" i="4"/>
  <c r="F71" i="3"/>
  <c r="G220" i="3"/>
  <c r="H123" i="3"/>
  <c r="G87" i="7"/>
  <c r="D203" i="3"/>
  <c r="F197" i="3"/>
  <c r="H10" i="4"/>
  <c r="D43" i="3"/>
  <c r="D76" i="8"/>
  <c r="G197" i="3"/>
  <c r="H88" i="3"/>
  <c r="G29" i="7"/>
  <c r="E96" i="3"/>
  <c r="C9" i="17"/>
  <c r="F14" i="9"/>
  <c r="H68" i="7"/>
  <c r="D184" i="3"/>
  <c r="C17" i="17"/>
  <c r="C36" i="17"/>
  <c r="D201" i="3"/>
  <c r="C76" i="17"/>
  <c r="C21" i="17"/>
  <c r="H92" i="3"/>
  <c r="D154" i="3"/>
  <c r="G51" i="7"/>
  <c r="H220" i="3"/>
  <c r="F50" i="3"/>
  <c r="E24" i="3"/>
  <c r="E144" i="3"/>
  <c r="C28" i="17"/>
  <c r="E36" i="7" l="1"/>
  <c r="B9" i="1"/>
  <c r="D19" i="1"/>
  <c r="B7" i="1"/>
  <c r="B8" i="1"/>
  <c r="D9" i="1"/>
  <c r="D8" i="1"/>
  <c r="E55" i="7"/>
  <c r="E71" i="7"/>
  <c r="D7" i="1"/>
  <c r="D11" i="1"/>
  <c r="E77" i="7"/>
  <c r="E48" i="7"/>
  <c r="B13" i="1"/>
  <c r="B17" i="1"/>
  <c r="B11" i="1"/>
  <c r="B15" i="1"/>
  <c r="D10" i="1"/>
  <c r="E38" i="7"/>
  <c r="E19" i="7"/>
  <c r="E42" i="7"/>
  <c r="E14" i="7"/>
  <c r="E44" i="7"/>
  <c r="D15" i="1"/>
  <c r="E95" i="7"/>
  <c r="E93" i="7"/>
  <c r="E73" i="7"/>
  <c r="D13" i="1"/>
  <c r="B10" i="1"/>
  <c r="E96" i="7" l="1"/>
</calcChain>
</file>

<file path=xl/comments1.xml><?xml version="1.0" encoding="utf-8"?>
<comments xmlns="http://schemas.openxmlformats.org/spreadsheetml/2006/main">
  <authors>
    <author>David A. Gray</author>
  </authors>
  <commentList>
    <comment ref="B1" authorId="0">
      <text>
        <r>
          <rPr>
            <b/>
            <sz val="8"/>
            <color indexed="81"/>
            <rFont val="Tahoma"/>
            <charset val="1"/>
          </rPr>
          <t>David A. Gray:</t>
        </r>
        <r>
          <rPr>
            <sz val="8"/>
            <color indexed="81"/>
            <rFont val="Tahoma"/>
            <charset val="1"/>
          </rPr>
          <t xml:space="preserve">
This enumeration is used with the ErrorExitOptions methods, which are still very much alive and well, and are designed to work hand in hand with the OutputOptions flag values.</t>
        </r>
      </text>
    </comment>
  </commentList>
</comments>
</file>

<file path=xl/comments2.xml><?xml version="1.0" encoding="utf-8"?>
<comments xmlns="http://schemas.openxmlformats.org/spreadsheetml/2006/main">
  <authors>
    <author>David A. Gray</author>
  </authors>
  <commentList>
    <comment ref="A40" authorId="0">
      <text>
        <r>
          <rPr>
            <b/>
            <sz val="8"/>
            <color indexed="81"/>
            <rFont val="Tahoma"/>
            <charset val="1"/>
          </rPr>
          <t>David A. Gray:</t>
        </r>
        <r>
          <rPr>
            <sz val="8"/>
            <color indexed="81"/>
            <rFont val="Tahoma"/>
            <charset val="1"/>
          </rPr>
          <t xml:space="preserve">
This assembly is bound to deprecated assembly WizardWrx.SharedUtl2.dll.</t>
        </r>
      </text>
    </comment>
    <comment ref="B40" authorId="0">
      <text>
        <r>
          <rPr>
            <b/>
            <sz val="8"/>
            <color indexed="81"/>
            <rFont val="Tahoma"/>
            <charset val="1"/>
          </rPr>
          <t>David A. Gray:</t>
        </r>
        <r>
          <rPr>
            <sz val="8"/>
            <color indexed="81"/>
            <rFont val="Tahoma"/>
            <charset val="1"/>
          </rPr>
          <t xml:space="preserve">
This assembly is bound to deprecated assembly WizardWrx.SharedUtl2.dll.</t>
        </r>
      </text>
    </comment>
    <comment ref="C40" authorId="0">
      <text>
        <r>
          <rPr>
            <b/>
            <sz val="8"/>
            <color indexed="81"/>
            <rFont val="Tahoma"/>
            <charset val="1"/>
          </rPr>
          <t>David A. Gray:</t>
        </r>
        <r>
          <rPr>
            <sz val="8"/>
            <color indexed="81"/>
            <rFont val="Tahoma"/>
            <charset val="1"/>
          </rPr>
          <t xml:space="preserve">
This assembly is bound to deprecated assembly WizardWrx.SharedUtl2.dll.</t>
        </r>
      </text>
    </comment>
    <comment ref="D40" authorId="0">
      <text>
        <r>
          <rPr>
            <b/>
            <sz val="8"/>
            <color indexed="81"/>
            <rFont val="Tahoma"/>
            <charset val="1"/>
          </rPr>
          <t>David A. Gray:</t>
        </r>
        <r>
          <rPr>
            <sz val="8"/>
            <color indexed="81"/>
            <rFont val="Tahoma"/>
            <charset val="1"/>
          </rPr>
          <t xml:space="preserve">
This assembly is bound to deprecated assembly WizardWrx.SharedUtl2.dll.</t>
        </r>
      </text>
    </comment>
    <comment ref="E40" authorId="0">
      <text>
        <r>
          <rPr>
            <b/>
            <sz val="8"/>
            <color indexed="81"/>
            <rFont val="Tahoma"/>
            <charset val="1"/>
          </rPr>
          <t>David A. Gray:</t>
        </r>
        <r>
          <rPr>
            <sz val="8"/>
            <color indexed="81"/>
            <rFont val="Tahoma"/>
            <charset val="1"/>
          </rPr>
          <t xml:space="preserve">
This assembly is bound to deprecated assembly WizardWrx.SharedUtl2.dll.</t>
        </r>
      </text>
    </comment>
    <comment ref="F40" authorId="0">
      <text>
        <r>
          <rPr>
            <b/>
            <sz val="8"/>
            <color indexed="81"/>
            <rFont val="Tahoma"/>
            <charset val="1"/>
          </rPr>
          <t>David A. Gray:</t>
        </r>
        <r>
          <rPr>
            <sz val="8"/>
            <color indexed="81"/>
            <rFont val="Tahoma"/>
            <charset val="1"/>
          </rPr>
          <t xml:space="preserve">
This assembly is bound to deprecated assembly WizardWrx.SharedUtl2.dll.</t>
        </r>
      </text>
    </comment>
    <comment ref="G40" authorId="0">
      <text>
        <r>
          <rPr>
            <b/>
            <sz val="8"/>
            <color indexed="81"/>
            <rFont val="Tahoma"/>
            <charset val="1"/>
          </rPr>
          <t>David A. Gray:</t>
        </r>
        <r>
          <rPr>
            <sz val="8"/>
            <color indexed="81"/>
            <rFont val="Tahoma"/>
            <charset val="1"/>
          </rPr>
          <t xml:space="preserve">
This assembly is bound to deprecated assembly WizardWrx.SharedUtl2.dll.</t>
        </r>
      </text>
    </comment>
    <comment ref="H40" authorId="0">
      <text>
        <r>
          <rPr>
            <b/>
            <sz val="8"/>
            <color indexed="81"/>
            <rFont val="Tahoma"/>
            <charset val="1"/>
          </rPr>
          <t>David A. Gray:</t>
        </r>
        <r>
          <rPr>
            <sz val="8"/>
            <color indexed="81"/>
            <rFont val="Tahoma"/>
            <charset val="1"/>
          </rPr>
          <t xml:space="preserve">
This assembly is bound to deprecated assembly WizardWrx.SharedUtl2.dll.</t>
        </r>
      </text>
    </comment>
    <comment ref="I40" authorId="0">
      <text>
        <r>
          <rPr>
            <b/>
            <sz val="8"/>
            <color indexed="81"/>
            <rFont val="Tahoma"/>
            <charset val="1"/>
          </rPr>
          <t>David A. Gray:</t>
        </r>
        <r>
          <rPr>
            <sz val="8"/>
            <color indexed="81"/>
            <rFont val="Tahoma"/>
            <charset val="1"/>
          </rPr>
          <t xml:space="preserve">
This assembly is bound to deprecated assembly WizardWrx.SharedUtl2.dll.</t>
        </r>
      </text>
    </comment>
  </commentList>
</comments>
</file>

<file path=xl/connections.xml><?xml version="1.0" encoding="utf-8"?>
<connections xmlns="http://schemas.openxmlformats.org/spreadsheetml/2006/main">
  <connection id="1" name="Application_ZAPHOD42_20140305_004026" type="6" refreshedVersion="4" background="1" saveData="1">
    <textPr codePage="437" firstRow="2" sourceFile="C:\Users\DAVE\Documents\Visual Studio 2013\Projects\WizardWrx_Libs\Wizardwrx\_NOTES\DLLServices2TestStand_7_0_Debug_ApplicationEvents_20170829_010730.TXT">
      <textFields count="9">
        <textField/>
        <textField/>
        <textField/>
        <textField/>
        <textField/>
        <textField/>
        <textField/>
        <textField/>
        <textField type="text"/>
      </textFields>
    </textPr>
  </connection>
  <connection id="2" name="DependentAssemblyInfoReport_20170328_021444" type="6" refreshedVersion="4" background="1" saveData="1">
    <textPr codePage="65001" sourceFile="C:\Users\DAVE\Documents\Visual Studio 2013\Projects\WizardWrx_Libs\Wizardwrx\_NOTES\Test_Data\DependentAssemblyInfoReport.TXT">
      <textFields count="17">
        <textField/>
        <textField/>
        <textField/>
        <textField/>
        <textField/>
        <textField/>
        <textField/>
        <textField/>
        <textField/>
        <textField/>
        <textField/>
        <textField/>
        <textField/>
        <textField/>
        <textField/>
        <textField/>
        <textField/>
      </textFields>
    </textPr>
  </connection>
  <connection id="3" name="DependentAssemblyInfoReport_20170328_0214441" type="6" refreshedVersion="4" background="1" saveData="1">
    <textPr codePage="65001" sourceFile="C:\Users\DAVE\Documents\Visual Studio 2013\Projects\WizardWrx_Libs\DLLServices2\_NOTES\DependentAssemblyInfoReport_20170328_021444.TXT">
      <textFields count="17">
        <textField/>
        <textField/>
        <textField/>
        <textField/>
        <textField/>
        <textField/>
        <textField/>
        <textField/>
        <textField/>
        <textField/>
        <textField/>
        <textField/>
        <textField/>
        <textField/>
        <textField/>
        <textField/>
        <textField/>
      </textFields>
    </textPr>
  </connection>
  <connection id="4" name="DisplayOrder_XREF_20140721_182516" type="6" refreshedVersion="4" background="1" saveData="1">
    <textPr codePage="437" sourceFile="C:\Users\DAVE\Documents\Visual Studio 2013\Projects\WizardWrx_Libs\DLLServices2\_NOTES\XREF_SysDateFormatters.TXT" tab="0" delimiter="^">
      <textFields count="3">
        <textField/>
        <textField/>
        <textField type="text"/>
      </textFields>
    </textPr>
  </connection>
  <connection id="5" name="DisplayOrder_XREF_20140721_1825161" type="6" refreshedVersion="4" background="1" saveData="1">
    <textPr codePage="437" sourceFile="C:\Users\DAVE\Documents\Visual Studio 2013\Projects\WizardWrx_Libs\DLLServices2\_NOTES\XREF_RegistryValues.TXT" tab="0" delimiter="^">
      <textFields count="3">
        <textField/>
        <textField/>
        <textField type="text"/>
      </textFields>
    </textPr>
  </connection>
  <connection id="6" name="DisplayOrder_XREF_20140721_1825162" type="6" refreshedVersion="4" background="1" saveData="1">
    <textPr codePage="437" sourceFile="C:\Users\DAVE\Documents\Visual Studio 2013\Projects\WizardWrx_Libs\DLLServices2\_NOTES\xREF_CSVFileInfo.TXT" tab="0" delimiter="^">
      <textFields count="3">
        <textField/>
        <textField/>
        <textField type="text"/>
      </textFields>
    </textPr>
  </connection>
  <connection id="7" name="DisplayOrder_XREF_20140721_1825163" type="6" refreshedVersion="4" background="1" saveData="1">
    <textPr codePage="437" sourceFile="C:\Users\DAVE\Documents\Visual Studio 2013\Projects\WizardWrx_Libs\DLLServices2\_NOTES\XREF_ERRMSG_ARG_IS_NULL_OR_EMPTY_20161029_183030.TXT" tab="0" delimiter="^">
      <textFields count="5">
        <textField type="text"/>
        <textField/>
        <textField type="text"/>
        <textField/>
        <textField/>
      </textFields>
    </textPr>
  </connection>
  <connection id="8" name="DisplayOrder_XREF_20140721_18251631" type="6" refreshedVersion="4" background="1" saveData="1">
    <textPr codePage="437" sourceFile="C:\Users\DAVE\Documents\Visual Studio 2013\Projects\WizardWrx_Libs\DLLServices2\_NOTES\XREF_ERRMSG_ARG_IS_NULL_20161029_182613.TXT" tab="0" delimiter="^">
      <textFields count="5">
        <textField type="text"/>
        <textField/>
        <textField type="text"/>
        <textField/>
        <textField/>
      </textFields>
    </textPr>
  </connection>
</connections>
</file>

<file path=xl/sharedStrings.xml><?xml version="1.0" encoding="utf-8"?>
<sst xmlns="http://schemas.openxmlformats.org/spreadsheetml/2006/main" count="5989" uniqueCount="2363">
  <si>
    <t>Legend</t>
  </si>
  <si>
    <t>In Progress</t>
  </si>
  <si>
    <t>Ready to Test</t>
  </si>
  <si>
    <t>Done</t>
  </si>
  <si>
    <t>Step</t>
  </si>
  <si>
    <t>Location</t>
  </si>
  <si>
    <t>Type</t>
  </si>
  <si>
    <t>Name</t>
  </si>
  <si>
    <t>Action</t>
  </si>
  <si>
    <t>Reference</t>
  </si>
  <si>
    <t>Comment</t>
  </si>
  <si>
    <t>Status</t>
  </si>
  <si>
    <t>Absolute PathName</t>
  </si>
  <si>
    <t>Size</t>
  </si>
  <si>
    <t>Modified</t>
  </si>
  <si>
    <t>Unqualified FileName</t>
  </si>
  <si>
    <t>Text</t>
  </si>
  <si>
    <t>Line</t>
  </si>
  <si>
    <t>Absolute FileName</t>
  </si>
  <si>
    <t>C:\Users\DAVE\Documents\Visual Studio 2013\Projects\WizardWrx_Libs\DLLServices2\DLLServices2\Util.cs</t>
  </si>
  <si>
    <t xml:space="preserve">                               class. The new classes are named RegistryValuesC:\Users\DAVE\Documents\Visual Studio 2013\Projects\WizardWrx_Libs\DLLServices2\DLLServices2TestStand\NewClassTests_20140914.cs</t>
  </si>
  <si>
    <t xml:space="preserve"> 						RegistryValues.RegQueryValue (</t>
  </si>
  <si>
    <t>C:\Users\DAVE\Documents\Visual Studio 2013\Projects\WizardWrx_Libs\DLLServices2\DLLServices2TestStand\NewClassTests_20140914.cs</t>
  </si>
  <si>
    <t xml:space="preserve"> 					string [ ] astrIndividualValues = RegistryValues.RegQueryValue (</t>
  </si>
  <si>
    <t xml:space="preserve"> 					    ( long ) RegistryValues.RegQueryValue (</t>
  </si>
  <si>
    <t xml:space="preserve"> 							RegistryValues.RegQueryValue (</t>
  </si>
  <si>
    <t xml:space="preserve"> 								RegistryValues.REG_BINARY_NULL_FOR_ABSENT ) ,C:\Users\DAVE\Documents\Visual Studio 2013\Projects\WizardWrx_Libs\DLLServices2\DLLServices2TestStand\Properties\Resources.Designer.cs</t>
  </si>
  <si>
    <t>C:\Users\DAVE\Documents\Visual Studio 2013\Projects\WizardWrx_Libs\DLLServices2\GPConstants\RegistryValues.cs</t>
  </si>
  <si>
    <t xml:space="preserve">     File Name:          RegistryValues.cs</t>
  </si>
  <si>
    <t xml:space="preserve"> 	public static class RegistryValues</t>
  </si>
  <si>
    <t xml:space="preserve"> 	}	// public sealed class RegistryValues</t>
  </si>
  <si>
    <t>C:\Users\DAVE\Documents\Visual Studio 2013\Projects\Console_Apps\Date2FN\Date2FN\FileNameSuffixEngine.cs</t>
  </si>
  <si>
    <t xml:space="preserve">         public const string DEFAULT_DATE_FORMAT_MASK = SysDateFormatters.RFDYYYYMMDD_HHMMSS;</t>
  </si>
  <si>
    <t xml:space="preserve">                     SysDateFormatters.ReformatSysDate (C:\Users\DAVE\Documents\Visual Studio 2013\Projects\Console_Apps\Date2FN\Date2FN\Program.cs</t>
  </si>
  <si>
    <t>C:\Users\DAVE\Documents\Visual Studio 2013\Projects\GUI_Apps\CountDownClock\CountDownClock\frmZeroHour.cs</t>
  </si>
  <si>
    <t xml:space="preserve">                         SysDateFormatters.RFD_HH_MM_SS ) );C:\Users\DAVE\Documents\Visual Studio 2013\Projects\NOLANB\DataEaseDirectoryReader\DataEase\FormInfo.cs</t>
  </si>
  <si>
    <t>C:\Users\DAVE\Documents\Visual Studio 2013\Projects\NOLANB\DataEaseDirectoryReader\DataEase\FormInfo.cs</t>
  </si>
  <si>
    <t xml:space="preserve">         /// member of my SysDateFormatters class.C:\Users\DAVE\Documents\Visual Studio 2013\Projects\NOLANB\DataEaseDirectoryReader\DataEase\FormInfoPropertyListingEngine.cs</t>
  </si>
  <si>
    <t>C:\Users\DAVE\Documents\Visual Studio 2013\Projects\NOLANB\DataEaseDirectoryReader\DataEase\Util.cs</t>
  </si>
  <si>
    <t xml:space="preserve">                     return SysDateFormatters.ReformatSysDate (</t>
  </si>
  <si>
    <t xml:space="preserve">                     return SysDateFormatters.ReformatSysDate (C:\Users\DAVE\Documents\Visual Studio 2013\Projects\NOLANB\DataEaseDirectoryReader\DataEaseDirectoryReader\Program.cs</t>
  </si>
  <si>
    <t>C:\Users\DAVE\Documents\Visual Studio 2013\Projects\NOLANB\DataEaseDirectoryReader\DataEaseDirectoryReader\Program.cs</t>
  </si>
  <si>
    <t xml:space="preserve">                         SysDateFormatters.ReformatSysDate ( fiRDRR.CreationTime , FILE_DATE_FMT ) ,         // Token 3</t>
  </si>
  <si>
    <t xml:space="preserve">                         SysDateFormatters.ReformatSysDate ( fiRDRR.CreationTimeUtc , FILE_DATE_FMT ),       // Token 4</t>
  </si>
  <si>
    <t xml:space="preserve">                         SysDateFormatters.ReformatSysDate ( fiRDRR.LastAccessTime , FILE_DATE_FMT ) ,       // Token 5</t>
  </si>
  <si>
    <t xml:space="preserve">                         SysDateFormatters.ReformatSysDate ( fiRDRR.LastWriteTimeUtc , FILE_DATE_FMT ),      // Token 6</t>
  </si>
  <si>
    <t xml:space="preserve">                         SysDateFormatters.ReformatSysDate ( fiRDRR.LastAccessTime , FILE_DATE_FMT ) ,       // Token 7</t>
  </si>
  <si>
    <t xml:space="preserve">                         SysDateFormatters.ReformatSysDate ( fiRDRR.LastAccessTimeUtc , FILE_DATE_FMT ),     // Token 8C:\Users\DAVE\Documents\Visual Studio 2013\Projects\NOLANB\DataEaseDirectoryReader\WizardWrx.Reporting\PropertyListingEngine.cs</t>
  </si>
  <si>
    <t>C:\Users\DAVE\Documents\Visual Studio 2013\Projects\NOLANB\DEDocTR_Repository_Manager\DEDocTR_Repository_Manager\ReportSplitter.cs</t>
  </si>
  <si>
    <t xml:space="preserve">                     SysDateFormatters.RFD_YYYY_MM_DD_HH_MM_SS );C:\Users\DAVE\Documents\Visual Studio 2013\Projects\NOLANB\ZZRdInts\ZZRdInts\ZZ_DirectoryImport.cs</t>
  </si>
  <si>
    <t>C:\Users\DAVE\Documents\Visual Studio 2013\Projects\NOLANB\ZZRdInts\ZZRdInts\ZZ_DirectoryImport.cs</t>
  </si>
  <si>
    <t xml:space="preserve">                    SysDateFormatters.RFD_MM_DD_YY );</t>
  </si>
  <si>
    <t xml:space="preserve">                string strTimeText = SysDateFormatters.ReformatSysDate (</t>
  </si>
  <si>
    <t xml:space="preserve">                    SysDateFormatters.RFD_HH_MM_SS );C:\Users\DAVE\Documents\Visual Studio 2013\Projects\WizardWrx_Libs\DLLServices2\DLLServices2\SysDateFormatters.cs</t>
  </si>
  <si>
    <t xml:space="preserve">     Class Name:         SysDateFormatters</t>
  </si>
  <si>
    <t>C:\Users\DAVE\Documents\Visual Studio 2013\Projects\WizardWrx_Libs\DLLServices2\DLLServices2\SysDateFormatters.cs</t>
  </si>
  <si>
    <t xml:space="preserve">     File Name:          SysDateFormatters.cs</t>
  </si>
  <si>
    <t xml:space="preserve">     public static class SysDateFormatters</t>
  </si>
  <si>
    <t xml:space="preserve"> 		static SysDateFormatters ( )</t>
  </si>
  <si>
    <t xml:space="preserve">             const string UNBALANCED_ERRMSG = @"The static SysDateFormatters constructor has detected unbalanced string arrays.{2}Length of array RSD_TOKENS = {0}{2}Length of array RSD_BCL_FORMATS = {1}";</t>
  </si>
  <si>
    <t xml:space="preserve">         }   // static SysDateFormatters constructor</t>
  </si>
  <si>
    <t xml:space="preserve"> 	}   // public class SysDateFormattersC:\Users\DAVE\Documents\Visual Studio 2013\Projects\WizardWrx_Libs\DLLServices2\DLLServices2\TimeDisplayFormatter.cs</t>
  </si>
  <si>
    <t xml:space="preserve"> 	/// &lt;seealso cref="SysDateFormatters"/&gt;</t>
  </si>
  <si>
    <t xml:space="preserve">             Console.WriteLine ( "    Public Constant DisplayFormats.STANDARD_DISPLAY_DATE_FORMAT      = {0} (Sample = {1})" , DisplayFormats.STANDARD_DISPLAY_DATE_FORMAT , SysDateFormatters.ReformatSysDate ( dtmSample , DisplayFormats.STANDARD_DISPLAY_DATE_FORMAT ) );</t>
  </si>
  <si>
    <t xml:space="preserve">             Console.WriteLine ( "    Public Constant DisplayFormats.STANDARD_DISPLAY_DATE_TIME_FORMAT = {0} (Sample = {1})" , DisplayFormats.STANDARD_DISPLAY_DATE_TIME_FORMAT , SysDateFormatters.ReformatSysDate ( dtmSample , DisplayFormats.STANDARD_DISPLAY_DATE_TIME_FORMAT ) );</t>
  </si>
  <si>
    <t xml:space="preserve">             Console.WriteLine ( "    Public Constant DisplayFormats.STANDARD_DISPLAY_TIME_FORMAT      = {0} (Sample = {1})" , DisplayFormats.STANDARD_DISPLAY_TIME_FORMAT , SysDateFormatters.ReformatSysDate ( dtmSample , DisplayFormats.STANDARD_DISPLAY_TIME_FORMAT ) );C:\Users\DAVE\Documents\Visual Studio 2013\Projects\WizardWrx_Libs\DLLServices2\GPConstants\DisplayFormats.cs</t>
  </si>
  <si>
    <t>C:\Users\DAVE\Documents\Visual Studio 2013\Projects\WizardWrx_Libs\DLLServices2\GPConstants\DisplayFormats.cs</t>
  </si>
  <si>
    <t xml:space="preserve">         /// I use this with my SysDateFormatters class to format a date (sans</t>
  </si>
  <si>
    <t xml:space="preserve">         /// SysDateFormatters class. SysDateFormatters strings are incompatible</t>
  </si>
  <si>
    <t xml:space="preserve">         public const string STANDARD_DISPLAY_DATE_FORMAT = SysDateFormatters.RFD_YYYY_MM_DD;</t>
  </si>
  <si>
    <t xml:space="preserve">         /// I use this with my SysDateFormatters class to format a date and time</t>
  </si>
  <si>
    <t xml:space="preserve">         public const string STANDARD_DISPLAY_DATE_TIME_FORMAT = SysDateFormatters.RFD_YYYY_MM_DD_HH_MM_SS;</t>
  </si>
  <si>
    <t xml:space="preserve">         /// I use this with my SysDateFormatters class to format a time (sans</t>
  </si>
  <si>
    <t xml:space="preserve">         public const string STANDARD_DISPLAY_TIME_FORMAT = SysDateFormatters.RFD_HH_MM_SS;</t>
  </si>
  <si>
    <t xml:space="preserve">             return SysDateFormatters.ReformatSysDate (</t>
  </si>
  <si>
    <t xml:space="preserve">             return SysDateFormatters.ReformatSysDate (C:\Users\DAVE\Documents\Visual Studio 2013\Projects\WizardWrx_Libs\DLLServices2\_NOTES\ApplicationHelpers3_Program_20150606_223541.CS</t>
  </si>
  <si>
    <t>C:\Users\DAVE\Documents\Visual Studio 2013\Projects\WizardWrx_Libs\DLLServices2\_NOTES\ApplicationHelpers3_Program_20150606_223541.CS</t>
  </si>
  <si>
    <t xml:space="preserve">                     //  Put the SysDateFormatters class through its paces.</t>
  </si>
  <si>
    <t xml:space="preserve">                     //  Put the ExerciseSysDateFormatters class through its paces.</t>
  </si>
  <si>
    <t xml:space="preserve">                     ExerciseSysDateFormatters (</t>
  </si>
  <si>
    <t xml:space="preserve">         private static void ExerciseSysDateFormatters (</t>
  </si>
  <si>
    <t xml:space="preserve">                 SysDateFormatters.RFD_DD_MM_YYYY ,</t>
  </si>
  <si>
    <t xml:space="preserve">                 SysDateFormatters.RFD_HH_MM ,</t>
  </si>
  <si>
    <t xml:space="preserve">                 SysDateFormatters.RFD_HH_MM_SS ,</t>
  </si>
  <si>
    <t xml:space="preserve">                 SysDateFormatters.RFD_HH_MM_SS_TTT ,</t>
  </si>
  <si>
    <t xml:space="preserve">                 SysDateFormatters.RFD_MM_DD_YYYY , </t>
  </si>
  <si>
    <t xml:space="preserve">                 SysDateFormatters.RFD_YYYY_MM_DD ,</t>
  </si>
  <si>
    <t xml:space="preserve">                 SysDateFormatters.RFD_WWW_DD_MM_YYYY ,</t>
  </si>
  <si>
    <t xml:space="preserve">                 SysDateFormatters.RFD_WWW_MM_DD_YYYY ,</t>
  </si>
  <si>
    <t xml:space="preserve">                 SysDateFormatters.RFD_WW_DD_MM_YYYY ,</t>
  </si>
  <si>
    <t xml:space="preserve">                 SysDateFormatters.RFD_WW_MM_DD_YYYY ,</t>
  </si>
  <si>
    <t xml:space="preserve">                 SysDateFormatters.RFD_WWWW_DD_MM_YYYY ,</t>
  </si>
  <si>
    <t xml:space="preserve">                 SysDateFormatters.RFD_WWWW_MM_DD_YYYY ,</t>
  </si>
  <si>
    <t xml:space="preserve">                 SysDateFormatters.RFDYYYYMMDD_HHMMSS ,</t>
  </si>
  <si>
    <t xml:space="preserve">                 SysDateFormatters.RFDYYYYMMDD ,</t>
  </si>
  <si>
    <t xml:space="preserve">                 SysDateFormatters.RFDHHMMSS</t>
  </si>
  <si>
    <t xml:space="preserve">         }   // private static void ExerciseSysDateFormatters</t>
  </si>
  <si>
    <t xml:space="preserve">                     return WizardWrx.ApplicationHelpers3.SysDateFormatters.ReformatSysDate ( pdtmThisDate , pstrThisFormat );</t>
  </si>
  <si>
    <t xml:space="preserve">                     return WizardWrx.ApplicationHelpers3.SysDateFormatters.ReformatNow ( pstrThisFormat );</t>
  </si>
  <si>
    <t xml:space="preserve">                     return WizardWrx.ApplicationHelpers3.SysDateFormatters.ReformatUtcNow ( pstrThisFormat );C:\Users\DAVE\Documents\Visual Studio 2013\Projects\WizardWrx_Libs\MailForAllApps\MailForAllApps\RFC2822MessageID.cs</t>
  </si>
  <si>
    <t xml:space="preserve">                 SysDateFormatters.ReformatNow ( MESSAGE_ID_TIME_FORMAT_1 ) ,</t>
  </si>
  <si>
    <t>C:\Users\DAVE\Documents\Visual Studio 2013\Projects\WizardWrx_Libs\MailForAllApps\MailForAllApps\RFC2822MessageID.cs</t>
  </si>
  <si>
    <t xml:space="preserve">                 SysDateFormatters.ReformatUtcNow ( MESSAGE_ID_TIME_FORMAT_1 ) ,</t>
  </si>
  <si>
    <t xml:space="preserve">         /// string, which is derived from two SysDateFormatters constants,C:\Users\DAVE\Documents\Visual Studio 2013\Projects\WizardWrx_Libs\MailForAllApps\TestStand\Program.cs</t>
  </si>
  <si>
    <t>C:\Users\DAVE\Documents\Visual Studio 2013\Projects\WizardWrx_Libs\MailForAllApps\TestStand\Program.cs</t>
  </si>
  <si>
    <t xml:space="preserve">                             SysDateFormatters.RFD_YYYY_MM_DD_HH_MM_SS_TTT ) ,                   // string   pstrFormat</t>
  </si>
  <si>
    <t xml:space="preserve">                         SysDateFormatters.ReformatSysDate (                                 // Format Item 3 = Time sent completed</t>
  </si>
  <si>
    <t xml:space="preserve">                             SysDateFormatters.RFD_YYYY_MM_DD_HH_MM_SS_TTT ) ,                   // string   pstrFormatC:\Users\DAVE\Documents\Visual Studio 2013\Projects\WizardWrx_Libs\SharedUtl4\SharedUtl4_TestStand\MaxStringLength_Tester.cs</t>
  </si>
  <si>
    <t>C:\Users\DAVE\Documents\Visual Studio 2013\Projects\WizardWrx_Libs\SharedUtl4\SharedUtl4_TestStand\MaxStringLength_Tester.cs</t>
  </si>
  <si>
    <t xml:space="preserve">                                 SysDateFormatters.RFD_YYYY_MM_DD_HH_MM_SS ) ) );C:\Users\DAVE\Documents\Visual Studio 2013\Projects\WizardWrx_Libs\SharedUtl4\SharedUtl4_TestStand\MergeNewItemsIntoArray_Tester.cs</t>
  </si>
  <si>
    <t>C:\Users\DAVE\Documents\Visual Studio 2013\Projects\WizardWrx_Libs\SharedUtl4\SharedUtl4_TestStand\MergeNewItemsIntoArray_Tester.cs</t>
  </si>
  <si>
    <t xml:space="preserve">                         SysDateFormatters.RFD_YYYY_MM_DD_HH_MM_SS ) ,</t>
  </si>
  <si>
    <t xml:space="preserve">                     SysDateFormatters.ReformatSysDate</t>
  </si>
  <si>
    <t xml:space="preserve">                         SysDateFormatters.RFD_YYYY_MM_DD_HH_MM_SSC:\Users\DAVE\Documents\Visual Studio 2013\Projects\WizardWrx_Libs\_Deprecated_Libraries\ApplicationHelpers\ApplicationHelpers\SysDateFormatters.cs</t>
  </si>
  <si>
    <t>C:\Users\DAVE\Documents\Visual Studio 2013\Projects\WizardWrx_Libs\_Deprecated_Libraries\ApplicationHelpers\ApplicationHelpers\SysDateFormatters.cs</t>
  </si>
  <si>
    <t xml:space="preserve">         static SysDateFormatters ( )</t>
  </si>
  <si>
    <t xml:space="preserve">     }   // public class SysDateFormattersC:\Users\DAVE\Documents\Visual Studio 2013\Projects\WizardWrx_Libs\_Deprecated_Libraries\ApplicationHelpers\ApplicationHelpersTestHarness\ApplicationHelpersTestHarness\Program.cs</t>
  </si>
  <si>
    <t>C:\Users\DAVE\Documents\Visual Studio 2013\Projects\WizardWrx_Libs\_Deprecated_Libraries\ApplicationHelpers\ApplicationHelpersTestHarness\ApplicationHelpersTestHarness\Program.cs</t>
  </si>
  <si>
    <t xml:space="preserve">                     return WizardWrx.ApplicationHelpers.SysDateFormatters.ReformatSysDate ( pdtmThisDate , pstrThisFormat );</t>
  </si>
  <si>
    <t xml:space="preserve">                     return WizardWrx.ApplicationHelpers.SysDateFormatters.ReformatNow ( pstrThisFormat );</t>
  </si>
  <si>
    <t xml:space="preserve">                     return WizardWrx.ApplicationHelpers.SysDateFormatters.ReformatUtcNow ( pstrThisFormat );C:\Users\DAVE\Documents\Visual Studio 2013\Projects\WizardWrx_Libs\_Deprecated_Libraries\ApplicationHelpers2\ApplicationHelpers2\DisplayFormats.cs</t>
  </si>
  <si>
    <t>C:\Users\DAVE\Documents\Visual Studio 2013\Projects\WizardWrx_Libs\_Deprecated_Libraries\ApplicationHelpers2\ApplicationHelpers2\DisplayFormats.cs</t>
  </si>
  <si>
    <t xml:space="preserve">             return SysDateFormatters.ReformatSysDate (C:\Users\DAVE\Documents\Visual Studio 2013\Projects\WizardWrx_Libs\_Deprecated_Libraries\ApplicationHelpers2\ApplicationHelpers2\SysDateFormatters.cs</t>
  </si>
  <si>
    <t>C:\Users\DAVE\Documents\Visual Studio 2013\Projects\WizardWrx_Libs\_Deprecated_Libraries\ApplicationHelpers2\ApplicationHelpers2\SysDateFormatters.cs</t>
  </si>
  <si>
    <t xml:space="preserve">     }   // public class SysDateFormattersC:\Users\DAVE\Documents\Visual Studio 2013\Projects\WizardWrx_Libs\_Deprecated_Libraries\ApplicationHelpers2\ApplicationHelpers2TestHarness\ApplicationHelpers2TestHarness\NewClassTests_20140914.cs</t>
  </si>
  <si>
    <t>C:\Users\DAVE\Documents\Visual Studio 2013\Projects\WizardWrx_Libs\_Deprecated_Libraries\ApplicationHelpers2\ApplicationHelpers2TestHarness\ApplicationHelpers2TestHarness\NewClassTests_20140914.cs</t>
  </si>
  <si>
    <t xml:space="preserve">             Console.WriteLine ( "    Public Constant DisplayFormats.STANDARD_DISPLAY_TIME_FORMAT      = {0} (Sample = {1})" , DisplayFormats.STANDARD_DISPLAY_TIME_FORMAT , SysDateFormatters.ReformatSysDate ( dtmSample , DisplayFormats.STANDARD_DISPLAY_TIME_FORMAT ) );C:\Users\DAVE\Documents\Visual Studio 2013\Projects\WizardWrx_Libs\_Deprecated_Libraries\ApplicationHelpers2\ApplicationHelpers2TestHarness\ApplicationHelpers2TestHarness\Program.cs</t>
  </si>
  <si>
    <t>C:\Users\DAVE\Documents\Visual Studio 2013\Projects\WizardWrx_Libs\_Deprecated_Libraries\ApplicationHelpers2\ApplicationHelpers2TestHarness\ApplicationHelpers2TestHarness\Program.cs</t>
  </si>
  <si>
    <t xml:space="preserve">                     return WizardWrx.ApplicationHelpers2.SysDateFormatters.ReformatSysDate ( pdtmThisDate , pstrThisFormat );</t>
  </si>
  <si>
    <t xml:space="preserve">                     return WizardWrx.ApplicationHelpers2.SysDateFormatters.ReformatNow ( pstrThisFormat );</t>
  </si>
  <si>
    <t xml:space="preserve">                     return WizardWrx.ApplicationHelpers2.SysDateFormatters.ReformatUtcNow ( pstrThisFormat );C:\Users\DAVE\Documents\Visual Studio 2013\Projects\WizardWrx_Libs\_Deprecated_Libraries\ApplicationHelpers3\ApplicationHelpers3\DisplayFormats.cs</t>
  </si>
  <si>
    <t>C:\Users\DAVE\Documents\Visual Studio 2013\Projects\WizardWrx_Libs\_Deprecated_Libraries\ApplicationHelpers3\ApplicationHelpers3\DisplayFormats.cs</t>
  </si>
  <si>
    <t xml:space="preserve">             return SysDateFormatters.ReformatSysDate (C:\Users\DAVE\Documents\Visual Studio 2013\Projects\WizardWrx_Libs\_Deprecated_Libraries\ApplicationHelpers3\ApplicationHelpers3\SysDateFormatters.cs</t>
  </si>
  <si>
    <t>C:\Users\DAVE\Documents\Visual Studio 2013\Projects\WizardWrx_Libs\_Deprecated_Libraries\ApplicationHelpers3\ApplicationHelpers3\SysDateFormatters.cs</t>
  </si>
  <si>
    <t xml:space="preserve">     }   // public class SysDateFormattersC:\Users\DAVE\Documents\Visual Studio 2013\Projects\WizardWrx_Libs\_Deprecated_Libraries\ApplicationHelpers3\TestStand\NewClassTests_20140914.cs</t>
  </si>
  <si>
    <t>C:\Users\DAVE\Documents\Visual Studio 2013\Projects\WizardWrx_Libs\_Deprecated_Libraries\ApplicationHelpers3\TestStand\NewClassTests_20140914.cs</t>
  </si>
  <si>
    <t xml:space="preserve">             Console.WriteLine ( "    Public Constant DisplayFormats.STANDARD_DISPLAY_TIME_FORMAT      = {0} (Sample = {1})" , DisplayFormats.STANDARD_DISPLAY_TIME_FORMAT , SysDateFormatters.ReformatSysDate ( dtmSample , DisplayFormats.STANDARD_DISPLAY_TIME_FORMAT ) );C:\Users\DAVE\Documents\Visual Studio 2013\Projects\WizardWrx_Libs\_Deprecated_Libraries\ApplicationHelpers3\TestStand\Program.cs</t>
  </si>
  <si>
    <t>C:\Users\DAVE\Documents\Visual Studio 2013\Projects\WizardWrx_Libs\_Deprecated_Libraries\ApplicationHelpers3\TestStand\Program.cs</t>
  </si>
  <si>
    <t xml:space="preserve">                     return WizardWrx.ApplicationHelpers3.SysDateFormatters.ReformatUtcNow ( pstrThisFormat );Search complete,  (30 file(s)).</t>
  </si>
  <si>
    <t>C:\Users\DAVE\Documents\Visual Studio 2013\Projects\WizardWrx_Libs\DLLServices2\DLLServices2\Util.cs Count</t>
  </si>
  <si>
    <t>C:\Users\DAVE\Documents\Visual Studio 2013\Projects\WizardWrx_Libs\DLLServices2\DLLServices2TestStand\NewClassTests_20140914.cs Count</t>
  </si>
  <si>
    <t>C:\Users\DAVE\Documents\Visual Studio 2013\Projects\WizardWrx_Libs\DLLServices2\GPConstants\RegistryValues.cs Count</t>
  </si>
  <si>
    <t>Grand Count</t>
  </si>
  <si>
    <t>C:\Users\DAVE\Documents\Visual Studio 2013\Projects\Console_Apps\Date2FN\Date2FN\FileNameSuffixEngine.cs Count</t>
  </si>
  <si>
    <t>C:\Users\DAVE\Documents\Visual Studio 2013\Projects\GUI_Apps\CountDownClock\CountDownClock\frmZeroHour.cs Count</t>
  </si>
  <si>
    <t>C:\Users\DAVE\Documents\Visual Studio 2013\Projects\NOLANB\DataEaseDirectoryReader\DataEase\FormInfo.cs Count</t>
  </si>
  <si>
    <t>C:\Users\DAVE\Documents\Visual Studio 2013\Projects\NOLANB\DataEaseDirectoryReader\DataEase\Util.cs Count</t>
  </si>
  <si>
    <t>C:\Users\DAVE\Documents\Visual Studio 2013\Projects\NOLANB\DataEaseDirectoryReader\DataEaseDirectoryReader\Program.cs Count</t>
  </si>
  <si>
    <t>C:\Users\DAVE\Documents\Visual Studio 2013\Projects\NOLANB\DEDocTR_Repository_Manager\DEDocTR_Repository_Manager\ReportSplitter.cs Count</t>
  </si>
  <si>
    <t>C:\Users\DAVE\Documents\Visual Studio 2013\Projects\NOLANB\ZZRdInts\ZZRdInts\ZZ_DirectoryImport.cs Count</t>
  </si>
  <si>
    <t>C:\Users\DAVE\Documents\Visual Studio 2013\Projects\WizardWrx_Libs\DLLServices2\DLLServices2\SysDateFormatters.cs Count</t>
  </si>
  <si>
    <t>C:\Users\DAVE\Documents\Visual Studio 2013\Projects\WizardWrx_Libs\DLLServices2\GPConstants\DisplayFormats.cs Count</t>
  </si>
  <si>
    <t>C:\Users\DAVE\Documents\Visual Studio 2013\Projects\WizardWrx_Libs\DLLServices2\_NOTES\ApplicationHelpers3_Program_20150606_223541.CS Count</t>
  </si>
  <si>
    <t>C:\Users\DAVE\Documents\Visual Studio 2013\Projects\WizardWrx_Libs\MailForAllApps\MailForAllApps\RFC2822MessageID.cs Count</t>
  </si>
  <si>
    <t>C:\Users\DAVE\Documents\Visual Studio 2013\Projects\WizardWrx_Libs\MailForAllApps\TestStand\Program.cs Count</t>
  </si>
  <si>
    <t>C:\Users\DAVE\Documents\Visual Studio 2013\Projects\WizardWrx_Libs\SharedUtl4\SharedUtl4_TestStand\MaxStringLength_Tester.cs Count</t>
  </si>
  <si>
    <t>C:\Users\DAVE\Documents\Visual Studio 2013\Projects\WizardWrx_Libs\SharedUtl4\SharedUtl4_TestStand\MergeNewItemsIntoArray_Tester.cs Count</t>
  </si>
  <si>
    <t>C:\Users\DAVE\Documents\Visual Studio 2013\Projects\WizardWrx_Libs\_Deprecated_Libraries\ApplicationHelpers\ApplicationHelpers\SysDateFormatters.cs Count</t>
  </si>
  <si>
    <t>C:\Users\DAVE\Documents\Visual Studio 2013\Projects\WizardWrx_Libs\_Deprecated_Libraries\ApplicationHelpers\ApplicationHelpersTestHarness\ApplicationHelpersTestHarness\Program.cs Count</t>
  </si>
  <si>
    <t>C:\Users\DAVE\Documents\Visual Studio 2013\Projects\WizardWrx_Libs\_Deprecated_Libraries\ApplicationHelpers2\ApplicationHelpers2\DisplayFormats.cs Count</t>
  </si>
  <si>
    <t>C:\Users\DAVE\Documents\Visual Studio 2013\Projects\WizardWrx_Libs\_Deprecated_Libraries\ApplicationHelpers2\ApplicationHelpers2\SysDateFormatters.cs Count</t>
  </si>
  <si>
    <t>C:\Users\DAVE\Documents\Visual Studio 2013\Projects\WizardWrx_Libs\_Deprecated_Libraries\ApplicationHelpers2\ApplicationHelpers2TestHarness\ApplicationHelpers2TestHarness\NewClassTests_20140914.cs Count</t>
  </si>
  <si>
    <t>C:\Users\DAVE\Documents\Visual Studio 2013\Projects\WizardWrx_Libs\_Deprecated_Libraries\ApplicationHelpers2\ApplicationHelpers2TestHarness\ApplicationHelpers2TestHarness\Program.cs Count</t>
  </si>
  <si>
    <t>C:\Users\DAVE\Documents\Visual Studio 2013\Projects\WizardWrx_Libs\_Deprecated_Libraries\ApplicationHelpers3\ApplicationHelpers3\DisplayFormats.cs Count</t>
  </si>
  <si>
    <t>C:\Users\DAVE\Documents\Visual Studio 2013\Projects\WizardWrx_Libs\_Deprecated_Libraries\ApplicationHelpers3\ApplicationHelpers3\SysDateFormatters.cs Count</t>
  </si>
  <si>
    <t>C:\Users\DAVE\Documents\Visual Studio 2013\Projects\WizardWrx_Libs\_Deprecated_Libraries\ApplicationHelpers3\TestStand\NewClassTests_20140914.cs Count</t>
  </si>
  <si>
    <t>C:\Users\DAVE\Documents\Visual Studio 2013\Projects\WizardWrx_Libs\_Deprecated_Libraries\ApplicationHelpers3\TestStand\Program.cs Count</t>
  </si>
  <si>
    <t>Obsolete (Frozen)</t>
  </si>
  <si>
    <t>Will Break</t>
  </si>
  <si>
    <t>Fixed</t>
  </si>
  <si>
    <t>Total</t>
  </si>
  <si>
    <t>C# Source File</t>
  </si>
  <si>
    <t>Promote reference to RegistryValues to the WizardWrx root namespace.</t>
  </si>
  <si>
    <t>RegistryValues XREF</t>
  </si>
  <si>
    <t>Promote reference to SysDateFormatters to the WizardWrx root namespace.</t>
  </si>
  <si>
    <t>ERRMSG_INTEGER2HEXSTR_INVALID_INPUT</t>
  </si>
  <si>
    <t>The type of the first argument, pintegralValue, is invalid.{2}Argument value = {0}{2}Argument type  = {1}{2}{2}Limitations of the underlying formatting engine{2}restrict this method to integral types.{2}</t>
  </si>
  <si>
    <t>The IntegerToHexStr method constructs the message for the ArgumentException exception that it throws when fed a non-integral type.</t>
  </si>
  <si>
    <t>Value</t>
  </si>
  <si>
    <t>Deleted</t>
  </si>
  <si>
    <t>Added</t>
  </si>
  <si>
    <t>Tested</t>
  </si>
  <si>
    <t>C:\Users\DAVE\Documents\Visual Studio 2013\Projects\NOLANB\EZPayFileMonitor\EZPayFileMonitor\Program.cs</t>
  </si>
  <si>
    <t xml:space="preserve">             int intKeyCount = CSVFileInfo.RecordCount ( astrMapInfoFromResource );</t>
  </si>
  <si>
    <t xml:space="preserve">             if ( astrMapInfoFromResource [ CSVFileInfo.LABEL_ROW ] == pstrExpectedLabelRow )</t>
  </si>
  <si>
    <t xml:space="preserve">                     for ( int intRowIndex = CSVFileInfo.FIRST_RECORD ;</t>
  </si>
  <si>
    <t xml:space="preserve">                     }   // for ( int intRowIndex = CSVFileInfo.FIRST_RECORD ; intRowIndex &lt;= intKeyCount ; intRowIndex++ )</t>
  </si>
  <si>
    <t xml:space="preserve">             }   // TRUE (expected outcome) block, if ( astrMapInfoFromResource [ CSVFileInfo.LABEL_ROW ] == pstrExpectedLabelRow )</t>
  </si>
  <si>
    <t xml:space="preserve">                             astrMapInfoFromResource [ CSVFileInfo.LABEL_ROW ] , // Format Item 1 = Actual label row read from resource</t>
  </si>
  <si>
    <t xml:space="preserve">             }   // FALSE (UNexpected outcome) block, if ( astrMapInfoFromResource [ CSVFileInfo.LABEL_ROW ] == pstrExpectedLabelRow )C:\Users\DAVE\Documents\Visual Studio 2013\Projects\Tools_for_Programmers\MemCalc\MemCalc\ByteMap.cs</t>
  </si>
  <si>
    <t>C:\Users\DAVE\Documents\Visual Studio 2013\Projects\Tools_for_Programmers\MemCalc\MemCalc\ByteMap.cs</t>
  </si>
  <si>
    <t xml:space="preserve">                      for ( int intMapRow = CSVFileInfo.FIRST_RECORD ;</t>
  </si>
  <si>
    <t xml:space="preserve">                      }   // for ( int intMapRow = WizardWrx.DLLServices2.CSVFileInfo.FIRST_RECORD ; intMapRow &lt; astrMap.Length ; intMapRow++ )</t>
  </si>
  <si>
    <t xml:space="preserve">              }   // TRUE (anticipated outcome) block, if ( astrMap [ CSVFileInfo.LABEL_ROW ] == string.Format ( Properties.Resources.STRING_MAP_SANITY_CHECK , puintStorageBitCount ) )</t>
  </si>
  <si>
    <t xml:space="preserve">              }   // FALSE (UNanticipated outcome) block, if ( astrMap [ CSVFileInfo.LABEL_ROW ] == string.Format ( Properties.Resources.STRING_MAP_SANITY_CHECK , puintStorageBitCount ) )C:\Users\DAVE\Documents\Visual Studio 2013\Projects\WizardWrx_Libs\DLLServices2\DLLServices2TestStand\NewClassTests_20140914.cs</t>
  </si>
  <si>
    <t xml:space="preserve">             Console.WriteLine ( "    Public  Constant CSVFileInfo.EMPTY_FILE     = {0}" , CSVFileInfo.EMPTY_FILE );</t>
  </si>
  <si>
    <t xml:space="preserve">             Console.WriteLine ( "    Public  Constant CSVFileInfo.LABEL_ROW      = {0}" , CSVFileInfo.LABEL_ROW );</t>
  </si>
  <si>
    <t xml:space="preserve">             Console.WriteLine ( "    Public  Constant CSVFileInfo.FIRST_RECORD   = {0}{1}" , CSVFileInfo.FIRST_RECORD , Environment.NewLine );</t>
  </si>
  <si>
    <t xml:space="preserve">               "    Public method CSVFileInfo.IndexFromOrdinal = {0} , for pastrWholeFile = {1}" ,</t>
  </si>
  <si>
    <t xml:space="preserve">               CSVFileInfo.RecordCount ( astrDummyRecords ) ,</t>
  </si>
  <si>
    <t xml:space="preserve">         }   // internal static int CSVFileInfoExercises</t>
  </si>
  <si>
    <t xml:space="preserve">             int intNRecs = CSVFileInfo.RecordCount ( astrClassMap );</t>
  </si>
  <si>
    <t xml:space="preserve">             if ( intNRecs &gt; CSVFileInfo.EMPTY_FILE )</t>
  </si>
  <si>
    <t xml:space="preserve">                 if ( astrClassMap [ CSVFileInfo.LABEL_ROW ] == VALID_LABEL_ROW )</t>
  </si>
  <si>
    <t xml:space="preserve">                     for ( int intIndex = CSVFileInfo.FIRST_RECORD ;</t>
  </si>
  <si>
    <t xml:space="preserve">                     }   // for ( int intIndex = CSVFileInfo.FIRST_RECORD ; intIndex &lt;= intNRecs ; intIndex++ )</t>
  </si>
  <si>
    <t xml:space="preserve">                 }   // TRUE (expected outcome) block, if ( astrClassMap [ CSVFileInfo.LABEL_ROW ] == VALID_LABEL_ROW )</t>
  </si>
  <si>
    <t xml:space="preserve">                         astrClassMap [ CSVFileInfo.LABEL_ROW ] ,</t>
  </si>
  <si>
    <t xml:space="preserve">                 }   // FALSE (UNexpected outcome) block, if ( astrClassMap [ CSVFileInfo.LABEL_ROW ] == VALID_LABEL_ROW )</t>
  </si>
  <si>
    <t xml:space="preserve">             }   // TRUE (expected outcome) block, if ( intNRecs &gt; CSVFileInfo.EMPTY_FILE )</t>
  </si>
  <si>
    <t xml:space="preserve">             }   // FALSE (UNexpected outcome) block, if ( intNRecs &gt; CSVFileInfo.EMPTY_FILE )C:\Users\DAVE\Documents\Visual Studio 2013\Projects\WizardWrx_Libs\DLLServices2\DLLServices2TestStand\Program.cs</t>
  </si>
  <si>
    <t>C:\Users\DAVE\Documents\Visual Studio 2013\Projects\WizardWrx_Libs\DLLServices2\DLLServices2TestStand\Program.cs</t>
  </si>
  <si>
    <t xml:space="preserve">                              "CSVFileInfoExercises" ,C:\Users\DAVE\Documents\Visual Studio 2013\Projects\WizardWrx_Libs\DLLServices2\GPConstants\CSVFileInfo.cs</t>
  </si>
  <si>
    <t>C:\Users\DAVE\Documents\Visual Studio 2013\Projects\WizardWrx_Libs\DLLServices2\GPConstants\CSVFileInfo.cs</t>
  </si>
  <si>
    <t xml:space="preserve">     File Name:          CSVFileInfo.cs</t>
  </si>
  <si>
    <t xml:space="preserve">     public static class CSVFileInfo</t>
  </si>
  <si>
    <t xml:space="preserve">     }   // public static class CSVFileInfoC:\Users\DAVE\Documents\Visual Studio 2013\Projects\WizardWrx_Libs\DLLServices2\_NOTES\ApplicationHelpers3_Program_20150606_223541.CS</t>
  </si>
  <si>
    <t xml:space="preserve">                         "CSVFileInfoExercises" ,C:\Users\DAVE\Documents\Visual Studio 2013\Projects\WizardWrx_Libs\_Deprecated_Libraries\ApplicationHelpers2\ApplicationHelpers2\CSVFileInfo.cs</t>
  </si>
  <si>
    <t>C:\Users\DAVE\Documents\Visual Studio 2013\Projects\WizardWrx_Libs\_Deprecated_Libraries\ApplicationHelpers2\ApplicationHelpers2\CSVFileInfo.cs</t>
  </si>
  <si>
    <t xml:space="preserve">     }   // public static class CSVFileInfoC:\Users\DAVE\Documents\Visual Studio 2013\Projects\WizardWrx_Libs\_Deprecated_Libraries\ApplicationHelpers2\ApplicationHelpers2\Util.cs</t>
  </si>
  <si>
    <t>C:\Users\DAVE\Documents\Visual Studio 2013\Projects\WizardWrx_Libs\_Deprecated_Libraries\ApplicationHelpers2\ApplicationHelpers2\Util.cs</t>
  </si>
  <si>
    <t xml:space="preserve">                     for ( int intRow = CSVFileInfo.FIRST_RECORD ;</t>
  </si>
  <si>
    <t xml:space="preserve">                             astrMapInfoFromResource [ CSVFileInfo.LABEL_ROW ] ,     // Format Item 1 = Actual label row read from resource</t>
  </si>
  <si>
    <t xml:space="preserve">             }   // FALSE (UNexpected outcome) block, if ( astrMapInfoFromResource [ CSVFileInfo.LABEL_ROW ] == pstrExpectedLabelRow )C:\Users\DAVE\Documents\Visual Studio 2013\Projects\WizardWrx_Libs\_Deprecated_Libraries\ApplicationHelpers2\ApplicationHelpers2TestHarness\ApplicationHelpers2TestHarness\NewClassTests_20140914.cs</t>
  </si>
  <si>
    <t xml:space="preserve">             Console.WriteLine ( "Public Constant CSVFileInfo.EMPTY_FILE     = {0}" , CSVFileInfo.EMPTY_FILE );</t>
  </si>
  <si>
    <t xml:space="preserve">             Console.WriteLine ( "Public Constant CSVFileInfo.LABEL_ROW      = {0}" , CSVFileInfo.LABEL_ROW );</t>
  </si>
  <si>
    <t xml:space="preserve">             Console.WriteLine ( "Public Constant CSVFileInfo.FIRST_RECORD   = {0}{1}" , CSVFileInfo.FIRST_RECORD , Environment.NewLine );</t>
  </si>
  <si>
    <t xml:space="preserve">             Console.WriteLine ( "Public Method CSVFileInfo.IndexFromOrdinal = {0} , for pastrWholeFile = {1}" , CSVFileInfo.RecordCount ( astrDummyRecords ) , astrDummyRecords.Length );</t>
  </si>
  <si>
    <t xml:space="preserve">             }   // FALSE (UNexpected outcome) block, if ( intNRecs &gt; CSVFileInfo.EMPTY_FILE )C:\Users\DAVE\Documents\Visual Studio 2013\Projects\WizardWrx_Libs\_Deprecated_Libraries\ApplicationHelpers2\ApplicationHelpers2TestHarness\ApplicationHelpers2TestHarness\Program.cs</t>
  </si>
  <si>
    <t xml:space="preserve">                         "CSVFileInfoExercises" ,C:\Users\DAVE\Documents\Visual Studio 2013\Projects\WizardWrx_Libs\_Deprecated_Libraries\ApplicationHelpers3\ApplicationHelpers3\CSVFileInfo.cs</t>
  </si>
  <si>
    <t>C:\Users\DAVE\Documents\Visual Studio 2013\Projects\WizardWrx_Libs\_Deprecated_Libraries\ApplicationHelpers3\ApplicationHelpers3\CSVFileInfo.cs</t>
  </si>
  <si>
    <t xml:space="preserve">     }   // public static class CSVFileInfoC:\Users\DAVE\Documents\Visual Studio 2013\Projects\WizardWrx_Libs\_Deprecated_Libraries\ApplicationHelpers3\TestStand\NewClassTests_20140914.cs</t>
  </si>
  <si>
    <t xml:space="preserve">             }   // FALSE (UNexpected outcome) block, if ( intNRecs &gt; CSVFileInfo.EMPTY_FILE )C:\Users\DAVE\Documents\Visual Studio 2013\Projects\WizardWrx_Libs\_Deprecated_Libraries\ApplicationHelpers3\TestStand\Program.cs</t>
  </si>
  <si>
    <t xml:space="preserve">                         "CSVFileInfoExercises" ,</t>
  </si>
  <si>
    <t>C:\Users\DAVE\Documents\Visual Studio 2013\Projects\NOLANB\EZPayFileMonitor\EZPayFileMonitor\Program.cs Count</t>
  </si>
  <si>
    <t>C:\Users\DAVE\Documents\Visual Studio 2013\Projects\Tools_for_Programmers\MemCalc\MemCalc\ByteMap.cs Count</t>
  </si>
  <si>
    <t>C:\Users\DAVE\Documents\Visual Studio 2013\Projects\WizardWrx_Libs\DLLServices2\DLLServices2TestStand\Program.cs Count</t>
  </si>
  <si>
    <t>C:\Users\DAVE\Documents\Visual Studio 2013\Projects\WizardWrx_Libs\DLLServices2\GPConstants\CSVFileInfo.cs Count</t>
  </si>
  <si>
    <t>C:\Users\DAVE\Documents\Visual Studio 2013\Projects\WizardWrx_Libs\_Deprecated_Libraries\ApplicationHelpers2\ApplicationHelpers2\CSVFileInfo.cs Count</t>
  </si>
  <si>
    <t>C:\Users\DAVE\Documents\Visual Studio 2013\Projects\WizardWrx_Libs\_Deprecated_Libraries\ApplicationHelpers2\ApplicationHelpers2\Util.cs Count</t>
  </si>
  <si>
    <t>C:\Users\DAVE\Documents\Visual Studio 2013\Projects\WizardWrx_Libs\_Deprecated_Libraries\ApplicationHelpers3\ApplicationHelpers3\CSVFileInfo.cs Count</t>
  </si>
  <si>
    <t>Relsolve references to WizardWrx.DLLServices2.CSVFileInfo, which got promoted.</t>
  </si>
  <si>
    <t>SysDateFormatters XREF</t>
  </si>
  <si>
    <t>CSVFileInfo XREF</t>
  </si>
  <si>
    <t>C:\Users\DAVE\Documents\Visual Studio 2013\Projects\NOLANB\DataEaseDirectoryReader\DataEase\FormsDirectory.cs</t>
  </si>
  <si>
    <t xml:space="preserve">                     StandardConstants.ERRMSG_ARG_IS_NULL_OR_EMPTY );C:\Users\DAVE\Documents\Visual Studio 2013\Projects\NOLANB\DataEaseDirectoryReader\WizardWrx.BinaryIO\TableDrivenConversionEngine.cs</t>
  </si>
  <si>
    <t xml:space="preserve">                     StandardConstants.ERRMSG_ARG_IS_NULL_OR_EMPTY ,</t>
  </si>
  <si>
    <t>C:\Users\DAVE\Documents\Visual Studio 2013\Projects\NOLANB\DataEaseDirectoryReader\WizardWrx.BinaryIO\TableDrivenConversionEngine.cs</t>
  </si>
  <si>
    <t xml:space="preserve">                     StandardConstants.ERRMSG_ARG_IS_NULL_OR_EMPTY ,C:\Users\DAVE\Documents\Visual Studio 2013\Projects\NOLANB\EZPayFileMonitor\EZPayFileMonitor\MatchItem.cs</t>
  </si>
  <si>
    <t xml:space="preserve">                    StandardConstants.ERRMSG_ARG_IS_NULL_OR_EMPTY ,</t>
  </si>
  <si>
    <t xml:space="preserve">                    StandardConstants.ERRMSG_ARG_IS_NULL_OR_EMPTY ,C:\Users\DAVE\Documents\Visual Studio 2013\Projects\NOLANB\ZZRdInts\ZZRdInts\ZZ_FormsImport.cs</t>
  </si>
  <si>
    <t>C:\Users\DAVE\Documents\Visual Studio 2013\Projects\WizardWrx_Libs\DLLServices2\DLLServices2\FileNameTricks.cs</t>
  </si>
  <si>
    <t xml:space="preserve">                    WizardWrx.DLLServices2.Properties.Resources.ERRMSG_ARG_IS_NULL_OR_EMPTY ,</t>
  </si>
  <si>
    <t xml:space="preserve">                    WizardWrx.DLLServices2.Properties.Resources.ERRMSG_ARG_IS_NULL_OR_EMPTY ,C:\Users\DAVE\Documents\Visual Studio 2013\Projects\WizardWrx_Libs\DLLServices2\DLLServices2\Properties\Resources.Designer.cs</t>
  </si>
  <si>
    <t xml:space="preserve">         public static string ERRMSG_ARG_IS_NULL_OR_EMPTY {</t>
  </si>
  <si>
    <t>C:\Users\DAVE\Documents\Visual Studio 2013\Projects\WizardWrx_Libs\DLLServices2\DLLServices2\Properties\Resources.Designer.cs</t>
  </si>
  <si>
    <t xml:space="preserve">                 return ResourceManager.GetString("ERRMSG_ARG_IS_NULL_OR_EMPTY", resourceCulture);C:\Users\DAVE\Documents\Visual Studio 2013\Projects\WizardWrx_Libs\DLLServices2\DLLServices2TestStand\CmdLneArgsTests.cs</t>
  </si>
  <si>
    <t>C:\Users\DAVE\Documents\Visual Studio 2013\Projects\WizardWrx_Libs\DLLServices2\DLLServices2TestStand\CmdLneArgsTests.cs</t>
  </si>
  <si>
    <t xml:space="preserve">                      }   // TRUE block, if ( exAny.Message.StartsWith(MagicNumbers.ERRMSG_ARG_IS_NULL_OR_EMPTY) &amp;&amp; exAny.TargetSite.Name == "FirstCharFromString" )</t>
  </si>
  <si>
    <t xml:space="preserve">                      }   // FALSE block, if ( exAny.Message.StartsWith(MagicNumbers.ERRMSG_ARG_IS_NULL_OR_EMPTY) &amp;&amp; exAny.TargetSite.Name == "FirstCharFromString" )C:\Users\DAVE\Documents\Visual Studio 2013\Projects\WizardWrx_Libs\DLLServices2\GPConstants\SysDateFormatters.cs</t>
  </si>
  <si>
    <t xml:space="preserve">                         if ( exAny.Message.StartsWith ( StandardConstants.ERRMSG_ARG_IS_NULL_OR_EMPTY ) &amp;&amp; exAny.TargetSite.Name == "FirstCharFromString" )</t>
  </si>
  <si>
    <t xml:space="preserve">                         }   // TRUE block, if ( exAny.Message.StartsWith(StandardConstants.ERRMSG_ARG_IS_NULL_OR_EMPTY) &amp;&amp; exAny.TargetSite.Name == "FirstCharFromString" )</t>
  </si>
  <si>
    <t xml:space="preserve">                         }   // FALSE block, if ( exAny.Message.StartsWith(StandardConstants.ERRMSG_ARG_IS_NULL_OR_EMPTY) &amp;&amp; exAny.TargetSite.Name == "FirstCharFromString" )C:\Users\DAVE\Documents\Visual Studio 2013\Projects\WizardWrx_Libs\SharedUtl4\FormatStringEngine\FormatItem.cs</t>
  </si>
  <si>
    <t xml:space="preserve">                       WizardWrx.DLLServices2.Properties.Resources.ERRMSG_ARG_IS_NULL_OR_EMPTY ,</t>
  </si>
  <si>
    <t>C:\Users\DAVE\Documents\Visual Studio 2013\Projects\WizardWrx_Libs\SharedUtl4\FormatStringEngine\FormatItem.cs</t>
  </si>
  <si>
    <t xml:space="preserve">                        WizardWrx.DLLServices2.Properties.Resources.ERRMSG_ARG_IS_NULL_OR_EMPTY ,</t>
  </si>
  <si>
    <t xml:space="preserve">                       WizardWrx.DLLServices2.Properties.Resources.ERRMSG_ARG_IS_NULL_OR_EMPTY ,C:\Users\DAVE\Documents\Visual Studio 2013\Projects\WizardWrx_Libs\WebApp\WebApp\MailMan.cs</t>
  </si>
  <si>
    <t xml:space="preserve">                         }   // FALSE block, if ( exAny.Message.StartsWith(StandardConstants.ERRMSG_ARG_IS_NULL_OR_EMPTY) &amp;&amp; exAny.TargetSite.Name == "FirstCharFromString" )C:\Users\DAVE\Documents\Visual Studio 2013\Projects\WizardWrx_Libs\_Deprecated_Libraries\ApplicationHelpers2\ApplicationHelpers2\CmdLneArgsBasic.cs</t>
  </si>
  <si>
    <t xml:space="preserve">                         }   // FALSE block, if ( exAny.Message.StartsWith(StandardConstants.ERRMSG_ARG_IS_NULL_OR_EMPTY) &amp;&amp; exAny.TargetSite.Name == "FirstCharFromString" )C:\Users\DAVE\Documents\Visual Studio 2013\Projects\WizardWrx_Libs\_Deprecated_Libraries\ApplicationHelpers3\ApplicationHelpers3\CmdLneArgsBasic.cs</t>
  </si>
  <si>
    <t xml:space="preserve">         internal static string ERRMSG_ARG_IS_NULL_OR_EMPTY {</t>
  </si>
  <si>
    <t>C:\Users\DAVE\Documents\Visual Studio 2013\Projects\WizardWrx_Libs\_Deprecated_Libraries\ApplicationHelpers3\ApplicationHelpers3\Properties\Resources.Designer.cs</t>
  </si>
  <si>
    <t xml:space="preserve">                 return ResourceManager.GetString("ERRMSG_ARG_IS_NULL_OR_EMPTY", resourceCulture);C:\Users\DAVE\Documents\Visual Studio 2013\Projects\WizardWrx_Libs\_Deprecated_Libraries\ApplicationHelpers3\TestStand\Program.cs</t>
  </si>
  <si>
    <t xml:space="preserve">                         }   // FALSE block, if ( exAny.Message.StartsWith(StandardConstants.ERRMSG_ARG_IS_NULL_OR_EMPTY) &amp;&amp; exAny.TargetSite.Name == "FirstCharFromString" )C:\Users\DAVE\Documents\Visual Studio 2013\Projects\WizardWrx_Libs\_Deprecated_Libraries\DateMath\DateMath\UtilityConstants.cs</t>
  </si>
  <si>
    <t xml:space="preserve">                               2) Add ERRMSG_ARG_IS_NULL_OR_EMPTY string, for use</t>
  </si>
  <si>
    <t>C:\Users\DAVE\Documents\Visual Studio 2013\Projects\WizardWrx_Libs\_Deprecated_Libraries\DateMath\DateMath\UtilityConstants.cs</t>
  </si>
  <si>
    <t xml:space="preserve">         public const string ERRMSG_ARG_IS_NULL_OR_EMPTY = @"String cannot be NULL (nothing in VB) or empty.";C:\Users\DAVE\Documents\Visual Studio 2013\Projects\WizardWrx_Libs\_Deprecated_Libraries\SharedUtl2\SharedUtl2\FileNameTricks.cs</t>
  </si>
  <si>
    <t xml:space="preserve">                     StandardConstants.ERRMSG_ARG_IS_NULL_OR_EMPTY,</t>
  </si>
  <si>
    <t>C:\Users\DAVE\Documents\Visual Studio 2013\Projects\WizardWrx_Libs\_Deprecated_Libraries\SharedUtl2\SharedUtl2\FileNameTricks.cs</t>
  </si>
  <si>
    <t xml:space="preserve">                     StandardConstants.ERRMSG_ARG_IS_NULL_OR_EMPTY,C:\Users\DAVE\Documents\Visual Studio 2013\Projects\WizardWrx_Libs\_Deprecated_Libraries\SharedUtl2\SharedUtl2\StandardConstants.cs</t>
  </si>
  <si>
    <t>C:\Users\DAVE\Documents\Visual Studio 2013\Projects\WizardWrx_Libs\_Deprecated_Libraries\SharedUtl2\SharedUtl2\StandardConstants.cs</t>
  </si>
  <si>
    <t xml:space="preserve">         public const string ERRMSG_ARG_IS_NULL_OR_EMPTY = @"String cannot be NULL (nothing in VB) or empty.";C:\Users\DAVE\Documents\Visual Studio 2013\Projects\WizardWrx_Libs\_Deprecated_Libraries\SharedUtl2\SharedUtl2\TextLog.cs</t>
  </si>
  <si>
    <t xml:space="preserve">                         throw new Exception(WizardWrx.StandardConstants.ERRMSG_ARG_IS_NULL_OR_EMPTY);</t>
  </si>
  <si>
    <t>C:\Users\DAVE\Documents\Visual Studio 2013\Projects\WizardWrx_Libs\_Deprecated_Libraries\SharedUtl2\SharedUtl2\TextLog.cs</t>
  </si>
  <si>
    <t xml:space="preserve">                     WizardWrx.StandardConstants.ERRMSG_ARG_IS_NULL_OR_EMPTY,C:\Users\DAVE\Documents\Visual Studio 2013\Projects\WizardWrx_Libs\_Deprecated_Libraries\SharedUtl2\SharedUtl2_Test_Harness\SharedUtl2_Test_Harness\Program.cs</t>
  </si>
  <si>
    <t>C:\Users\DAVE\Documents\Visual Studio 2013\Projects\_TESTING WizardWrx Libs\SharedUtl2\SharedUtl2\FileNameTricks.cs</t>
  </si>
  <si>
    <t xml:space="preserve">                     StandardConstants.ERRMSG_ARG_IS_NULL_OR_EMPTY,C:\Users\DAVE\Documents\Visual Studio 2013\Projects\_TESTING WizardWrx Libs\SharedUtl2\SharedUtl2\StandardConstants.cs</t>
  </si>
  <si>
    <t>C:\Users\DAVE\Documents\Visual Studio 2013\Projects\_TESTING WizardWrx Libs\SharedUtl2\SharedUtl2\StandardConstants.cs</t>
  </si>
  <si>
    <t xml:space="preserve">         public const string ERRMSG_ARG_IS_NULL_OR_EMPTY = @"String cannot be NULL (nothing in VB) or empty.";C:\Users\DAVE\Documents\Visual Studio 2013\Projects\_TESTING WizardWrx Libs\SharedUtl2\SharedUtl2\TextLog.cs</t>
  </si>
  <si>
    <t>C:\Users\DAVE\Documents\Visual Studio 2013\Projects\_TESTING WizardWrx Libs\SharedUtl2\SharedUtl2\TextLog.cs</t>
  </si>
  <si>
    <t xml:space="preserve">                     WizardWrx.StandardConstants.ERRMSG_ARG_IS_NULL_OR_EMPTY,C:\Users\DAVE\Documents\Visual Studio 2013\Projects\_TESTING WizardWrx Libs\SharedUtl2\SharedUtl2_Test_Harness\SharedUtl2_Test_Harness\Program.cs</t>
  </si>
  <si>
    <t xml:space="preserve">                     StandardConstants.ERRMSG_ARG_IS_NULL_OR_EMPTY );</t>
  </si>
  <si>
    <t>C:\Users\DAVE\Documents\Visual Studio 2013\Projects\NOLANB\DataEaseDirectoryReader\WizardWrx.BinaryIO\BinaryRecordBuffer.cs</t>
  </si>
  <si>
    <t xml:space="preserve">                     StandardConstants.ERRMSG_ARG_IS_NULL );</t>
  </si>
  <si>
    <t xml:space="preserve">                     StandardConstants.ERRMSG_ARG_IS_NULL ,</t>
  </si>
  <si>
    <t>C:\Users\DAVE\Documents\Visual Studio 2013\Projects\NOLANB\EZPayFileMonitor\EZPayFileMonitor\MatchItem.cs</t>
  </si>
  <si>
    <t>C:\Users\DAVE\Documents\Visual Studio 2013\Projects\NOLANB\EZXFER_Cloud_Manager\EZXFER_Cloud_Manager\Util.cs</t>
  </si>
  <si>
    <t>C:\Users\DAVE\Documents\Visual Studio 2013\Projects\NOLANB\LogBasePruner\LogBasePruner\Logbase_Master_Out.cs</t>
  </si>
  <si>
    <t xml:space="preserve">                     WizardWrx.StandardConstants.ERRMSG_ARG_IS_NULL );</t>
  </si>
  <si>
    <t>C:\Users\DAVE\Documents\Visual Studio 2013\Projects\NOLANB\ZZRdInts\ZZRdInts\ZZ_FormsImport.cs</t>
  </si>
  <si>
    <t>C:\Users\DAVE\Documents\Visual Studio 2013\Projects\NOLANB\ZZRdInts\ZZRdInts\ZZ_ProcImport.cs</t>
  </si>
  <si>
    <t>C:\Users\DAVE\Documents\Visual Studio 2013\Projects\WizardWrx_Libs\AssemblyPropertyViewer\AssemblyPropertyViewer\AssemblyPropertyViewer.CS</t>
  </si>
  <si>
    <t xml:space="preserve">                         StandardConstants.ERRMSG_ARG_IS_NULL );</t>
  </si>
  <si>
    <t>C:\Users\DAVE\Documents\Visual Studio 2013\Projects\WizardWrx_Libs\DLLServices2\DLLServices2\CmdLneArgsBasic.cs</t>
  </si>
  <si>
    <t xml:space="preserve">                     Properties.Resources.ERRMSG_ARG_IS_NULL_OR_EMPTY ,</t>
  </si>
  <si>
    <t xml:space="preserve">         public static string ERRMSG_ARG_IS_NULL {</t>
  </si>
  <si>
    <t xml:space="preserve">                 return ResourceManager.GetString("ERRMSG_ARG_IS_NULL", resourceCulture);</t>
  </si>
  <si>
    <t xml:space="preserve">                 return ResourceManager.GetString("ERRMSG_ARG_IS_NULL_OR_EMPTY", resourceCulture);</t>
  </si>
  <si>
    <t xml:space="preserve">                      if ( exAny.Message.StartsWith ( WizardWrx.DLLServices2.Properties.Resources.ERRMSG_ARG_IS_NULL_OR_EMPTY ) &amp;&amp; exAny.TargetSite.Name == "FirstCharFromString" )</t>
  </si>
  <si>
    <t xml:space="preserve">                      }   // FALSE block, if ( exAny.Message.StartsWith(MagicNumbers.ERRMSG_ARG_IS_NULL_OR_EMPTY) &amp;&amp; exAny.TargetSite.Name == "FirstCharFromString" )</t>
  </si>
  <si>
    <t>C:\Users\DAVE\Documents\Visual Studio 2013\Projects\WizardWrx_Libs\DLLServices2\GPConstants\SysDateFormatters.cs</t>
  </si>
  <si>
    <t xml:space="preserve">                     Properties.Resources.ERRMSG_ARG_IS_NULL );</t>
  </si>
  <si>
    <t xml:space="preserve">                         }   // FALSE block, if ( exAny.Message.StartsWith(StandardConstants.ERRMSG_ARG_IS_NULL_OR_EMPTY) &amp;&amp; exAny.TargetSite.Name == "FirstCharFromString" )</t>
  </si>
  <si>
    <t>C:\Users\DAVE\Documents\Visual Studio 2013\Projects\WizardWrx_Libs\SharedUtl4\SharedUtl4\ListHelpers.cs</t>
  </si>
  <si>
    <t xml:space="preserve">                     WizardWrx.DLLServices2.Properties.Resources.ERRMSG_ARG_IS_NULL );</t>
  </si>
  <si>
    <t xml:space="preserve">                   WizardWrx.DLLServices2.Properties.Resources.ERRMSG_ARG_IS_NULL );</t>
  </si>
  <si>
    <t>C:\Users\DAVE\Documents\Visual Studio 2013\Projects\WizardWrx_Libs\WebApp\WebApp\MailMan.cs</t>
  </si>
  <si>
    <t xml:space="preserve">                 StandardConstants.ERRMSG_ARG_IS_NULL_OR_EMPTY );</t>
  </si>
  <si>
    <t>C:\Users\DAVE\Documents\Visual Studio 2013\Projects\WizardWrx_Libs\WebApp\WebApp\UtlLib.cs</t>
  </si>
  <si>
    <t xml:space="preserve">         public const string ERRMSG_ARG_IS_NULL = @"Value cannot be NULL (nothing in VB).";</t>
  </si>
  <si>
    <t xml:space="preserve">                     ERRMSG_ARG_IS_NULL );</t>
  </si>
  <si>
    <t>C:\Users\DAVE\Documents\Visual Studio 2013\Projects\WizardWrx_Libs\WebApp\WebAppLibTestHarness\WebAppLibTestHarness\Program.cs</t>
  </si>
  <si>
    <t xml:space="preserve">             Console.WriteLine ( @"    ERRMSG_ARG_IS_NULL               = {0}" , WizardWrx.WebApp.UtlLib.ERRMSG_ARG_IS_NULL );</t>
  </si>
  <si>
    <t>C:\Users\DAVE\Documents\Visual Studio 2013\Projects\WizardWrx_Libs\_Deprecated_Libraries\ApplicationHelpers\ApplicationHelpers\CmdLneArgsBasic.cs</t>
  </si>
  <si>
    <t>C:\Users\DAVE\Documents\Visual Studio 2013\Projects\WizardWrx_Libs\_Deprecated_Libraries\ApplicationHelpers2\ApplicationHelpers2\CmdLneArgsBasic.cs</t>
  </si>
  <si>
    <t>C:\Users\DAVE\Documents\Visual Studio 2013\Projects\WizardWrx_Libs\_Deprecated_Libraries\ApplicationHelpers3\ApplicationHelpers3\CmdLneArgsBasic.cs</t>
  </si>
  <si>
    <t>C:\Users\DAVE\Documents\Visual Studio 2013\Projects\WizardWrx_Libs\_Deprecated_Libraries\ApplicationHelpers3\ApplicationHelpers3\Util.cs</t>
  </si>
  <si>
    <t xml:space="preserve">                  Properties.Resources.ERRMSG_ARG_IS_NULL_OR_EMPTY );</t>
  </si>
  <si>
    <t xml:space="preserve">         internal static string ERRMSG_ARG_IS_NULL {</t>
  </si>
  <si>
    <t xml:space="preserve">         public const string ERRMSG_ARG_IS_NULL_OR_EMPTY = @"String cannot be NULL (nothing in VB) or empty.";</t>
  </si>
  <si>
    <t>C:\Users\DAVE\Documents\Visual Studio 2013\Projects\WizardWrx_Libs\_Deprecated_Libraries\SharedUtl2\SharedUtl2\DelimitedDataReader.cs</t>
  </si>
  <si>
    <t xml:space="preserve">                 mstrErrorMsg = WizardWrx.StandardConstants.ERRMSG_ARG_IS_NULL;</t>
  </si>
  <si>
    <t>C:\Users\DAVE\Documents\Visual Studio 2013\Projects\WizardWrx_Libs\_Deprecated_Libraries\SharedUtl2\SharedUtl2\MachineApplicationMutex.cs</t>
  </si>
  <si>
    <t xml:space="preserve">             const string ERRMSG_ARG_IS_NULL = @"Unable to create MutexAccessRule, due to the Identity being null or EventRights value being zero. The inner exception may contains pertinent additional information.";</t>
  </si>
  <si>
    <t xml:space="preserve">                     ERRMSG_ARG_IS_NULL ,</t>
  </si>
  <si>
    <t xml:space="preserve">                             StandardConstants.ERRMSG_ARG_IS_NULL );</t>
  </si>
  <si>
    <t xml:space="preserve">                     WizardWrx.StandardConstants.ERRMSG_ARG_IS_NULL_OR_EMPTY,</t>
  </si>
  <si>
    <t>C:\Users\DAVE\Documents\Visual Studio 2013\Projects\WizardWrx_Libs\_Deprecated_Libraries\SharedUtl2\SharedUtl2_Mutex_Tester\ConsoleColorNameParser.cs</t>
  </si>
  <si>
    <t xml:space="preserve">                         WizardWrx.StandardConstants.ERRMSG_ARG_IS_NULL );</t>
  </si>
  <si>
    <t>C:\Users\DAVE\Documents\Visual Studio 2013\Projects\WizardWrx_Libs\_Deprecated_Libraries\SharedUtl2\SharedUtl2_Test_Harness\SharedUtl2_Test_Harness\Program.cs</t>
  </si>
  <si>
    <t xml:space="preserve">             Console.WriteLine ( @"     ERRMSG_ARG_IS_NULL = {0}" , StandardConstants.ERRMSG_ARG_IS_NULL );</t>
  </si>
  <si>
    <t xml:space="preserve">             Console.WriteLine ( @"     ERRMSG_ARG_IS_NULL_OR_EMPTY = {0}" , StandardConstants.ERRMSG_ARG_IS_NULL_OR_EMPTY );</t>
  </si>
  <si>
    <t>C:\Users\DAVE\Documents\Visual Studio 2013\Projects\_TESTING WizardWrx Libs\SharedUtl2\SharedUtl2\DelimitedDataReader.cs</t>
  </si>
  <si>
    <t>C:\Users\DAVE\Documents\Visual Studio 2013\Projects\_TESTING WizardWrx Libs\SharedUtl2\SharedUtl2\MachineApplicationMutex.cs</t>
  </si>
  <si>
    <t>C:\Users\DAVE\Documents\Visual Studio 2013\Projects\_TESTING WizardWrx Libs\SharedUtl2\SharedUtl2_Mutex_Tester\ConsoleColorNameParser.cs</t>
  </si>
  <si>
    <t>C:\Users\DAVE\Documents\Visual Studio 2013\Projects\_TESTING WizardWrx Libs\SharedUtl2\SharedUtl2_Test_Harness\SharedUtl2_Test_Harness\Program.cs</t>
  </si>
  <si>
    <t>C:\Users\DAVE\Documents\Visual Studio 2013\Projects\NOLANB\DataEaseDirectoryReader\DataEase\FormsDirectory.cs Count</t>
  </si>
  <si>
    <t>C:\Users\DAVE\Documents\Visual Studio 2013\Projects\NOLANB\DataEaseDirectoryReader\WizardWrx.BinaryIO\BinaryRecordBuffer.cs Count</t>
  </si>
  <si>
    <t>C:\Users\DAVE\Documents\Visual Studio 2013\Projects\NOLANB\DataEaseDirectoryReader\WizardWrx.BinaryIO\TableDrivenConversionEngine.cs Count</t>
  </si>
  <si>
    <t>C:\Users\DAVE\Documents\Visual Studio 2013\Projects\NOLANB\EZPayFileMonitor\EZPayFileMonitor\MatchItem.cs Count</t>
  </si>
  <si>
    <t>C:\Users\DAVE\Documents\Visual Studio 2013\Projects\NOLANB\EZXFER_Cloud_Manager\EZXFER_Cloud_Manager\Util.cs Count</t>
  </si>
  <si>
    <t>C:\Users\DAVE\Documents\Visual Studio 2013\Projects\NOLANB\LogBasePruner\LogBasePruner\Logbase_Master_Out.cs Count</t>
  </si>
  <si>
    <t>C:\Users\DAVE\Documents\Visual Studio 2013\Projects\NOLANB\ZZRdInts\ZZRdInts\ZZ_FormsImport.cs Count</t>
  </si>
  <si>
    <t>C:\Users\DAVE\Documents\Visual Studio 2013\Projects\NOLANB\ZZRdInts\ZZRdInts\ZZ_ProcImport.cs Count</t>
  </si>
  <si>
    <t>C:\Users\DAVE\Documents\Visual Studio 2013\Projects\WizardWrx_Libs\AssemblyPropertyViewer\AssemblyPropertyViewer\AssemblyPropertyViewer.CS Count</t>
  </si>
  <si>
    <t>C:\Users\DAVE\Documents\Visual Studio 2013\Projects\WizardWrx_Libs\DLLServices2\DLLServices2\CmdLneArgsBasic.cs Count</t>
  </si>
  <si>
    <t>C:\Users\DAVE\Documents\Visual Studio 2013\Projects\WizardWrx_Libs\DLLServices2\DLLServices2\FileNameTricks.cs Count</t>
  </si>
  <si>
    <t>C:\Users\DAVE\Documents\Visual Studio 2013\Projects\WizardWrx_Libs\DLLServices2\DLLServices2\Properties\Resources.Designer.cs Count</t>
  </si>
  <si>
    <t>C:\Users\DAVE\Documents\Visual Studio 2013\Projects\WizardWrx_Libs\DLLServices2\DLLServices2TestStand\CmdLneArgsTests.cs Count</t>
  </si>
  <si>
    <t>C:\Users\DAVE\Documents\Visual Studio 2013\Projects\WizardWrx_Libs\DLLServices2\GPConstants\SysDateFormatters.cs Count</t>
  </si>
  <si>
    <t>C:\Users\DAVE\Documents\Visual Studio 2013\Projects\WizardWrx_Libs\SharedUtl4\FormatStringEngine\FormatItem.cs Count</t>
  </si>
  <si>
    <t>C:\Users\DAVE\Documents\Visual Studio 2013\Projects\WizardWrx_Libs\SharedUtl4\SharedUtl4\ListHelpers.cs Count</t>
  </si>
  <si>
    <t>C:\Users\DAVE\Documents\Visual Studio 2013\Projects\WizardWrx_Libs\WebApp\WebApp\MailMan.cs Count</t>
  </si>
  <si>
    <t>C:\Users\DAVE\Documents\Visual Studio 2013\Projects\WizardWrx_Libs\WebApp\WebApp\UtlLib.cs Count</t>
  </si>
  <si>
    <t>C:\Users\DAVE\Documents\Visual Studio 2013\Projects\WizardWrx_Libs\WebApp\WebAppLibTestHarness\WebAppLibTestHarness\Program.cs Count</t>
  </si>
  <si>
    <t>C:\Users\DAVE\Documents\Visual Studio 2013\Projects\WizardWrx_Libs\_Deprecated_Libraries\ApplicationHelpers\ApplicationHelpers\CmdLneArgsBasic.cs Count</t>
  </si>
  <si>
    <t>C:\Users\DAVE\Documents\Visual Studio 2013\Projects\WizardWrx_Libs\_Deprecated_Libraries\ApplicationHelpers2\ApplicationHelpers2\CmdLneArgsBasic.cs Count</t>
  </si>
  <si>
    <t>C:\Users\DAVE\Documents\Visual Studio 2013\Projects\WizardWrx_Libs\_Deprecated_Libraries\ApplicationHelpers3\ApplicationHelpers3\CmdLneArgsBasic.cs Count</t>
  </si>
  <si>
    <t>C:\Users\DAVE\Documents\Visual Studio 2013\Projects\WizardWrx_Libs\_Deprecated_Libraries\ApplicationHelpers3\ApplicationHelpers3\Util.cs Count</t>
  </si>
  <si>
    <t>C:\Users\DAVE\Documents\Visual Studio 2013\Projects\WizardWrx_Libs\_Deprecated_Libraries\ApplicationHelpers3\ApplicationHelpers3\Properties\Resources.Designer.cs Count</t>
  </si>
  <si>
    <t>C:\Users\DAVE\Documents\Visual Studio 2013\Projects\WizardWrx_Libs\_Deprecated_Libraries\DateMath\DateMath\UtilityConstants.cs Count</t>
  </si>
  <si>
    <t>C:\Users\DAVE\Documents\Visual Studio 2013\Projects\WizardWrx_Libs\_Deprecated_Libraries\SharedUtl2\SharedUtl2\DelimitedDataReader.cs Count</t>
  </si>
  <si>
    <t>C:\Users\DAVE\Documents\Visual Studio 2013\Projects\WizardWrx_Libs\_Deprecated_Libraries\SharedUtl2\SharedUtl2\FileNameTricks.cs Count</t>
  </si>
  <si>
    <t>C:\Users\DAVE\Documents\Visual Studio 2013\Projects\WizardWrx_Libs\_Deprecated_Libraries\SharedUtl2\SharedUtl2\MachineApplicationMutex.cs Count</t>
  </si>
  <si>
    <t>C:\Users\DAVE\Documents\Visual Studio 2013\Projects\WizardWrx_Libs\_Deprecated_Libraries\SharedUtl2\SharedUtl2\StandardConstants.cs Count</t>
  </si>
  <si>
    <t>C:\Users\DAVE\Documents\Visual Studio 2013\Projects\WizardWrx_Libs\_Deprecated_Libraries\SharedUtl2\SharedUtl2\TextLog.cs Count</t>
  </si>
  <si>
    <t>C:\Users\DAVE\Documents\Visual Studio 2013\Projects\WizardWrx_Libs\_Deprecated_Libraries\SharedUtl2\SharedUtl2_Mutex_Tester\ConsoleColorNameParser.cs Count</t>
  </si>
  <si>
    <t>C:\Users\DAVE\Documents\Visual Studio 2013\Projects\WizardWrx_Libs\_Deprecated_Libraries\SharedUtl2\SharedUtl2_Test_Harness\SharedUtl2_Test_Harness\Program.cs Count</t>
  </si>
  <si>
    <t>C:\Users\DAVE\Documents\Visual Studio 2013\Projects\_TESTING WizardWrx Libs\SharedUtl2\SharedUtl2\DelimitedDataReader.cs Count</t>
  </si>
  <si>
    <t>C:\Users\DAVE\Documents\Visual Studio 2013\Projects\_TESTING WizardWrx Libs\SharedUtl2\SharedUtl2\FileNameTricks.cs Count</t>
  </si>
  <si>
    <t>C:\Users\DAVE\Documents\Visual Studio 2013\Projects\_TESTING WizardWrx Libs\SharedUtl2\SharedUtl2\MachineApplicationMutex.cs Count</t>
  </si>
  <si>
    <t>C:\Users\DAVE\Documents\Visual Studio 2013\Projects\_TESTING WizardWrx Libs\SharedUtl2\SharedUtl2\StandardConstants.cs Count</t>
  </si>
  <si>
    <t>C:\Users\DAVE\Documents\Visual Studio 2013\Projects\_TESTING WizardWrx Libs\SharedUtl2\SharedUtl2\TextLog.cs Count</t>
  </si>
  <si>
    <t>C:\Users\DAVE\Documents\Visual Studio 2013\Projects\_TESTING WizardWrx Libs\SharedUtl2\SharedUtl2_Mutex_Tester\ConsoleColorNameParser.cs Count</t>
  </si>
  <si>
    <t>C:\Users\DAVE\Documents\Visual Studio 2013\Projects\_TESTING WizardWrx Libs\SharedUtl2\SharedUtl2_Test_Harness\SharedUtl2_Test_Harness\Program.cs Count</t>
  </si>
  <si>
    <t>Resolve references to ERRMSG_ARG_IS_NULL.</t>
  </si>
  <si>
    <t>Resolve references to ERRMSG_ARG_IS_NULL and ERRMSG_ARG_IS_NULL_OR_EMPTY.</t>
  </si>
  <si>
    <t>ERRMSG_ARG_IS_NULL XREF</t>
  </si>
  <si>
    <t>ERRMSG_ARG_IS_NULL_OR_EMPTY XRF</t>
  </si>
  <si>
    <t>1.2.6.35286</t>
  </si>
  <si>
    <t>C:\UTIL</t>
  </si>
  <si>
    <t>C:\UTIL\WizardWrx.AssemblyPropertyViewer.dll</t>
  </si>
  <si>
    <t>C:\Users\Public\Documents\NOLANB\_Installation_Packages\UTIL_Reference</t>
  </si>
  <si>
    <t>C:\Users\Public\Documents\NOLANB\_Installation_Packages\UTIL_Reference\WizardWrx.AssemblyPropertyViewer.dll</t>
  </si>
  <si>
    <t>C:\Users\Public\Documents\NOLANB\_Installation_Packages\Remote\2014\20141010\AI_PKG_400</t>
  </si>
  <si>
    <t>C:\Users\Public\Documents\NOLANB\_Installation_Packages\Remote\2014\20141010\AI_PKG_400\WizardWrx.AssemblyPropertyViewer.dll</t>
  </si>
  <si>
    <t>C:\Users\Public\Documents\NOLANB\TASKS\_PTI_Gate_2016\UTIL_Rock_Hill</t>
  </si>
  <si>
    <t>C:\Users\Public\Documents\NOLANB\TASKS\_PTI_Gate_2016\UTIL_Rock_Hill\WizardWrx.AssemblyPropertyViewer.dll</t>
  </si>
  <si>
    <t>C:\Users\Public\Documents\H_DEASE\AI_PKG_400</t>
  </si>
  <si>
    <t>C:\Users\Public\Documents\H_DEASE\AI_PKG_400\WizardWrx.AssemblyPropertyViewer.dll</t>
  </si>
  <si>
    <t>C:\Users\DAVE\Documents\Visual Studio 2013\Projects\WizardWrx_Libs\ConsoleAppAids2\TestStand\bin\Release</t>
  </si>
  <si>
    <t>C:\Users\DAVE\Documents\Visual Studio 2013\Projects\WizardWrx_Libs\ConsoleAppAids2\TestStand\bin\Release\WizardWrx.AssemblyPropertyViewer.dll</t>
  </si>
  <si>
    <t>C:\Users\DAVE\Documents\Visual Studio 2013\Projects\WizardWrx_Libs\ConsoleAppAids2\TestStand\bin\Debug</t>
  </si>
  <si>
    <t>C:\Users\DAVE\Documents\Visual Studio 2013\Projects\WizardWrx_Libs\ConsoleAppAids2\TestStand\bin\Debug\WizardWrx.AssemblyPropertyViewer.dll</t>
  </si>
  <si>
    <t>C:\Users\DAVE\Documents\Visual Studio 2013\Projects\WizardWrx_Libs\AssemblyPropertyViewer\AssemblyPropertyViewer\obj\Release</t>
  </si>
  <si>
    <t>C:\Users\DAVE\Documents\Visual Studio 2013\Projects\WizardWrx_Libs\AssemblyPropertyViewer\AssemblyPropertyViewer\obj\Release\WizardWrx.AssemblyPropertyViewer.dll</t>
  </si>
  <si>
    <t>C:\Users\DAVE\Documents\Visual Studio 2013\Projects\WizardWrx_Libs\AssemblyPropertyViewer\AssemblyPropertyViewer\bin\Release</t>
  </si>
  <si>
    <t>C:\Users\DAVE\Documents\Visual Studio 2013\Projects\WizardWrx_Libs\AssemblyPropertyViewer\AssemblyPropertyViewer\bin\Release\WizardWrx.AssemblyPropertyViewer.dll</t>
  </si>
  <si>
    <t>C:\Users\DAVE\Documents\Visual Studio 2013\Projects\NOLANB\EZPayFileMonitor\EZPayFileMonitor\bin\Release</t>
  </si>
  <si>
    <t>C:\Users\DAVE\Documents\Visual Studio 2013\Projects\NOLANB\EZPayFileMonitor\EZPayFileMonitor\bin\Release\WizardWrx.AssemblyPropertyViewer.dll</t>
  </si>
  <si>
    <t>C:\Users\DAVE\Documents\Visual Studio 2013\Projects\NOLANB\EZPayFileMonitor\EZPayFileMonitor\bin\Debug</t>
  </si>
  <si>
    <t>C:\Users\DAVE\Documents\Visual Studio 2013\Projects\NOLANB\EZPayFileMonitor\EZPayFileMonitor\bin\Debug\WizardWrx.AssemblyPropertyViewer.dll</t>
  </si>
  <si>
    <t>C:\Users\DAVE\Documents\Articles_2015\Console_Output_Magic\Console_Color_Writer\TestStand\bin\Release</t>
  </si>
  <si>
    <t>C:\Users\DAVE\Documents\Articles_2015\Console_Output_Magic\Console_Color_Writer\TestStand\bin\Release\WizardWrx.AssemblyPropertyViewer.dll</t>
  </si>
  <si>
    <t>C:\Users\DAVE\Documents\Articles_2015\Console_Output_Magic\Console_Color_Writer\TestStand\bin\Debug</t>
  </si>
  <si>
    <t>C:\Users\DAVE\Documents\Articles_2015\Console_Output_Magic\Console_Color_Writer\TestStand\bin\Debug\WizardWrx.AssemblyPropertyViewer.dll</t>
  </si>
  <si>
    <t>C:\bin</t>
  </si>
  <si>
    <t>C:\bin\WizardWrx.AssemblyPropertyViewer.dll</t>
  </si>
  <si>
    <t>Last_Modify</t>
  </si>
  <si>
    <t>Access_Mode</t>
  </si>
  <si>
    <t>Directory</t>
  </si>
  <si>
    <t>FileName</t>
  </si>
  <si>
    <t>ERRMSG_ARG_IS_NULL</t>
  </si>
  <si>
    <t>The specified argument is a null reference.</t>
  </si>
  <si>
    <t>ERRMSG_ARG_IS_NULL_OR_EMPTY</t>
  </si>
  <si>
    <t>The argument is a null reference or the empty string.</t>
  </si>
  <si>
    <t>This is a general purpose error message, intended for reporting null reference exceptions.</t>
  </si>
  <si>
    <t>C:\Users\DAVE\Documents\Visual Studio 2013\Projects\WizardWrx_Libs\DLLServices2\Core\SysDateFormatters.cs</t>
  </si>
  <si>
    <t xml:space="preserve"> </t>
  </si>
  <si>
    <t xml:space="preserve">                 DisplayFormats.STANDARD_DISPLAY_DATE_FORMAT );</t>
  </si>
  <si>
    <t>Absolute_FileName</t>
  </si>
  <si>
    <t>Line #</t>
  </si>
  <si>
    <t>Absolute_DirectoryName</t>
  </si>
  <si>
    <t>Local_FileName</t>
  </si>
  <si>
    <t>C:\Users\DAVE\Documents\Visual Studio 2013\Projects\WizardWrx_Libs\DLLServices2\Core</t>
  </si>
  <si>
    <t>SysDateFormatters.cs</t>
  </si>
  <si>
    <t>C:\Users\DAVE\Documents\Visual Studio 2013\Projects\WizardWrx_Libs\DLLServices2\DLLServices2TestStand</t>
  </si>
  <si>
    <t>NewClassTests_20140914.cs</t>
  </si>
  <si>
    <t>C:\Users\DAVE\Documents\Visual Studio 2013\Projects\WizardWrx_Libs\DLLServices2\GPConstants</t>
  </si>
  <si>
    <t>DisplayFormats.cs</t>
  </si>
  <si>
    <t>C:\Users\DAVE\Documents\Visual Studio 2013\Projects\WizardWrx_Libs\_Deprecated_Libraries\ApplicationHelpers2\ApplicationHelpers2</t>
  </si>
  <si>
    <t>C:\Users\DAVE\Documents\Visual Studio 2013\Projects\WizardWrx_Libs\_Deprecated_Libraries\ApplicationHelpers2\ApplicationHelpers2TestHarness\ApplicationHelpers2TestHarness</t>
  </si>
  <si>
    <t>C:\Users\DAVE\Documents\Visual Studio 2013\Projects\WizardWrx_Libs\_Deprecated_Libraries\ApplicationHelpers3\ApplicationHelpers3</t>
  </si>
  <si>
    <t>C:\Users\DAVE\Documents\Visual Studio 2013\Projects\WizardWrx_Libs\_Deprecated_Libraries\ApplicationHelpers3\TestStand</t>
  </si>
  <si>
    <t>C:\Users\DAVE\Documents\Visual Studio 2013\Projects\WizardWrx_Libs\DLLServices2\Core\SysDateFormatters.cs Count</t>
  </si>
  <si>
    <t>OK</t>
  </si>
  <si>
    <t>53aac86c0982ae2701d04a8acae6b605</t>
  </si>
  <si>
    <t>C:\Users\DAVE\Documents\Visual Studio 2013\Projects\WizardWrx_Libs\DLLServices2\RedirectedStreamTester\bin\Release</t>
  </si>
  <si>
    <t>C:\Users\DAVE\Documents\Visual Studio 2013\Projects\WizardWrx_Libs\DLLServices2\RedirectedStreamTester\bin\Release\WizardWrx.DLLServices2.dll.config</t>
  </si>
  <si>
    <t>C:\Users\DAVE\Documents\Visual Studio 2013\Projects\WizardWrx_Libs\DLLServices2\RedirectedStreamTester\bin\Debug</t>
  </si>
  <si>
    <t>C:\Users\DAVE\Documents\Visual Studio 2013\Projects\WizardWrx_Libs\DLLServices2\RedirectedStreamTester\bin\Debug\WizardWrx.DLLServices2.dll.config</t>
  </si>
  <si>
    <t>C:\Users\DAVE\Documents\Visual Studio 2013\Projects\WizardWrx_Libs\DLLServices2\DLLServices2TestStand\bin\Release</t>
  </si>
  <si>
    <t>C:\Users\DAVE\Documents\Visual Studio 2013\Projects\WizardWrx_Libs\DLLServices2\DLLServices2TestStand\bin\Release\WizardWrx.DLLServices2.dll.config</t>
  </si>
  <si>
    <t>dab70519d5f592bca27f413e3b30b35e</t>
  </si>
  <si>
    <t>C:\Users\DAVE\Documents\Visual Studio 2013\Projects\WizardWrx_Libs\DLLServices2\DLLServices2TestStand\bin\Debug</t>
  </si>
  <si>
    <t>C:\Users\DAVE\Documents\Visual Studio 2013\Projects\WizardWrx_Libs\DLLServices2\DLLServices2TestStand\bin\Debug\WizardWrx.DLLServices2.dll.config</t>
  </si>
  <si>
    <t>C:\Users\DAVE\Documents\Visual Studio 2013\Projects\WizardWrx_Libs\DLLServices2\DLLServices2\obj\Release</t>
  </si>
  <si>
    <t>C:\Users\DAVE\Documents\Visual Studio 2013\Projects\WizardWrx_Libs\DLLServices2\DLLServices2\obj\Release\WizardWrx.DLLServices2.dll.config</t>
  </si>
  <si>
    <t>C:\Users\DAVE\Documents\Visual Studio 2013\Projects\WizardWrx_Libs\DLLServices2\DLLServices2\obj\Debug</t>
  </si>
  <si>
    <t>C:\Users\DAVE\Documents\Visual Studio 2013\Projects\WizardWrx_Libs\DLLServices2\DLLServices2\obj\Debug\WizardWrx.DLLServices2.dll.config</t>
  </si>
  <si>
    <t>C:\Users\DAVE\Documents\Visual Studio 2013\Projects\WizardWrx_Libs\DLLServices2\DLLServices2\bin\Release</t>
  </si>
  <si>
    <t>C:\Users\DAVE\Documents\Visual Studio 2013\Projects\WizardWrx_Libs\DLLServices2\DLLServices2\bin\Release\WizardWrx.DLLServices2.dll.config</t>
  </si>
  <si>
    <t>C:\Users\DAVE\Documents\Visual Studio 2013\Projects\WizardWrx_Libs\DLLServices2\DLLServices2\bin\Debug</t>
  </si>
  <si>
    <t>C:\Users\DAVE\Documents\Visual Studio 2013\Projects\WizardWrx_Libs\DLLServices2\DLLServices2\bin\Debug\WizardWrx.DLLServices2.dll.config</t>
  </si>
  <si>
    <t>C:\Users\DAVE\Documents\Visual Studio 2013\Projects\WizardWrx_Libs\DLLServices2\ConfigurationManagement\bin\Debug</t>
  </si>
  <si>
    <t>C:\Users\DAVE\Documents\Visual Studio 2013\Projects\WizardWrx_Libs\DLLServices2\ConfigurationManagement\bin\Debug\WizardWrx.DLLServices2.dll.config</t>
  </si>
  <si>
    <t>Shell Command to Delete</t>
  </si>
  <si>
    <t>Created</t>
  </si>
  <si>
    <t>Last_Access</t>
  </si>
  <si>
    <t>MD5_Digest</t>
  </si>
  <si>
    <t>C:\Users\DAVE\Documents\Visual Studio 2013\Projects\WizardWrx_Libs\DLLServices2\ConfigurationManagement\ExceptionLogger.cs</t>
  </si>
  <si>
    <t xml:space="preserve">             Console.WriteLine ( "Default colors for fatal exception message, per ErrorMessagesInColor: Foreground = {0}" , ErrorMessagesInColor.FatalExceptionTextColor );</t>
  </si>
  <si>
    <t xml:space="preserve">                 ErrorMessagesInColor.FatalExceptionTextColor ,</t>
  </si>
  <si>
    <t xml:space="preserve">             if ( ErrorMessagesInColor.FatalExceptionTextColor == ErrorMessagesInColor.FatalExceptionBackgroundColor )</t>
  </si>
  <si>
    <t>C:\Users\DAVE\Documents\Visual Studio 2013\Projects\WizardWrx_Libs\DLLServices2\ConsoleStreams\ErrorMessagesInColor.cs</t>
  </si>
  <si>
    <t xml:space="preserve">         public static ConsoleColor FatalExceptionTextColor</t>
  </si>
  <si>
    <t xml:space="preserve">         }   // public static ConsoleColor FatalExceptionTextColor</t>
  </si>
  <si>
    <t>C:\Users\DAVE\Documents\Visual Studio 2013\Projects\WizardWrx_Libs\DLLServices2\ConsoleStreams\Properties\Resources.resx</t>
  </si>
  <si>
    <t xml:space="preserve">     &lt;value&gt;FatalExceptionTextColor&lt;/value&gt;</t>
  </si>
  <si>
    <t xml:space="preserve">     &lt;comment&gt;Key Name of FatalExceptionTextColor Property&lt;/comment&gt;</t>
  </si>
  <si>
    <t>C:\Users\DAVE\Documents\Visual Studio 2013\Projects\WizardWrx_Libs\DLLServices2\ConsoleStreams\Properties\Resources.Designer.cs</t>
  </si>
  <si>
    <t xml:space="preserve">         ///   Looks up a localized string similar to FatalExceptionTextColor.</t>
  </si>
  <si>
    <t>C:\Users\DAVE\Documents\Visual Studio 2013\Projects\WizardWrx_Libs\DLLServices2\DLLServices2\Properties\Resources_20161105_225526.resx</t>
  </si>
  <si>
    <t xml:space="preserve">             ErrorMessagesInColor.FatalExceptionTextColor = ConsoleColor.Red;</t>
  </si>
  <si>
    <t>C:\Users\DAVE\Documents\Visual Studio 2013\Projects\WizardWrx_Libs\DLLServices2\_NOTES\WizardWrx.DllServices2.Resources_20170221_005123.resx</t>
  </si>
  <si>
    <t>Line_#</t>
  </si>
  <si>
    <t>Source_Code</t>
  </si>
  <si>
    <t>C:\Users\DAVE\Documents\Visual Studio 2013\Projects\WizardWrx_Libs\DLLServices2\ConfigurationManagement</t>
  </si>
  <si>
    <t>C:\Users\DAVE\Documents\Visual Studio 2013\Projects\WizardWrx_Libs\DLLServices2\ConsoleStreams</t>
  </si>
  <si>
    <t>C:\Users\DAVE\Documents\Visual Studio 2013\Projects\WizardWrx_Libs\DLLServices2\ConsoleStreams\Properties</t>
  </si>
  <si>
    <t>C:\Users\DAVE\Documents\Visual Studio 2013\Projects\WizardWrx_Libs\DLLServices2\DLLServices2\Properties</t>
  </si>
  <si>
    <t>C:\Users\DAVE\Documents\Visual Studio 2013\Projects\WizardWrx_Libs\DLLServices2\_NOTES</t>
  </si>
  <si>
    <t>ExceptionLogger.cs</t>
  </si>
  <si>
    <t>ErrorMessagesInColor.cs</t>
  </si>
  <si>
    <t>Resources.resx</t>
  </si>
  <si>
    <t>Resources.Designer.cs</t>
  </si>
  <si>
    <t>Resources_20161105_225526.resx</t>
  </si>
  <si>
    <t>Program.cs</t>
  </si>
  <si>
    <t>WizardWrx.DllServices2.Resources_20170221_005123.resx</t>
  </si>
  <si>
    <t>C:\Users\DAVE\Documents\Visual Studio 2013\Projects\WizardWrx_Libs\DLLServices2\ConfigurationManagement\ExceptionLogger.cs Count</t>
  </si>
  <si>
    <t>C:\Users\DAVE\Documents\Visual Studio 2013\Projects\WizardWrx_Libs\DLLServices2\ConsoleStreams\ErrorMessagesInColor.cs Count</t>
  </si>
  <si>
    <t>C:\Users\DAVE\Documents\Visual Studio 2013\Projects\WizardWrx_Libs\DLLServices2\ConsoleStreams\Properties\Resources.resx Count</t>
  </si>
  <si>
    <t>C:\Users\DAVE\Documents\Visual Studio 2013\Projects\WizardWrx_Libs\DLLServices2\ConsoleStreams\Properties\Resources.Designer.cs Count</t>
  </si>
  <si>
    <t>C:\Users\DAVE\Documents\Visual Studio 2013\Projects\WizardWrx_Libs\DLLServices2\DLLServices2\Properties\Resources_20161105_225526.resx Count</t>
  </si>
  <si>
    <t>C:\Users\DAVE\Documents\Visual Studio 2013\Projects\WizardWrx_Libs\DLLServices2\_NOTES\WizardWrx.DllServices2.Resources_20170221_005123.resx Count</t>
  </si>
  <si>
    <t>This line is in a block of conditionally included debugging messages.</t>
  </si>
  <si>
    <t>This line evaluates the colors, to prevent setting  the foreground and background colors to the same from hiding the message.</t>
  </si>
  <si>
    <t>This line is part of a constructor call that sets the colors for the standard output and standard error handles.</t>
  </si>
  <si>
    <t>This line opens a static read/write property.</t>
  </si>
  <si>
    <t>This line closes a static read/write property.</t>
  </si>
  <si>
    <t>Key Name of RecoverablelExceptionTextColor Property</t>
  </si>
  <si>
    <t>RecoverablelExceptionTextColor</t>
  </si>
  <si>
    <t>preserve</t>
  </si>
  <si>
    <t>RECOVERABLE_EXCEPTION_FORECOLOR</t>
  </si>
  <si>
    <t>Key Name of RecoverableExceptionBackground PropertyColor</t>
  </si>
  <si>
    <t>RecoverableExceptionBackgroundColor</t>
  </si>
  <si>
    <t>RECOVERABLE_EXCEPTION_BACKCOLOR</t>
  </si>
  <si>
    <t>The ErrorMessagesInColor checks this property for a default value.</t>
  </si>
  <si>
    <t>ErrorMessageColors</t>
  </si>
  <si>
    <t>PROPID_ERROR_MSG_COLOR</t>
  </si>
  <si>
    <t>Key Name of FatalExceptionTextColor Property</t>
  </si>
  <si>
    <t>FatalExceptionTextColor</t>
  </si>
  <si>
    <t>FATAL_EXCEPTION_FORECOLOR</t>
  </si>
  <si>
    <t>Key Name of FatalExceptionBackgroundColor Property</t>
  </si>
  <si>
    <t>FatalExceptionBackgroundColor</t>
  </si>
  <si>
    <t>FATAL_EXCEPTION_BACKCOLOR</t>
  </si>
  <si>
    <t>System.Resources.ResXResourceWriter, System.Windows.Forms, Version=2.0.0.0, Culture=neutral, PublicKeyToken=b77a5c561934e089</t>
  </si>
  <si>
    <t>writer</t>
  </si>
  <si>
    <t>System.Resources.ResXResourceReader, System.Windows.Forms, Version=2.0.0.0, Culture=neutral, PublicKeyToken=b77a5c561934e089</t>
  </si>
  <si>
    <t>reader</t>
  </si>
  <si>
    <t>2.0</t>
  </si>
  <si>
    <t>version</t>
  </si>
  <si>
    <t>text/microsoft-resx</t>
  </si>
  <si>
    <t>resmimetype</t>
  </si>
  <si>
    <t>xsd:string</t>
  </si>
  <si>
    <t>required</t>
  </si>
  <si>
    <t>name</t>
  </si>
  <si>
    <t>resheader</t>
  </si>
  <si>
    <t>unbounded</t>
  </si>
  <si>
    <t>root</t>
  </si>
  <si>
    <t>http://www.w3.org/XML/1998/namespace</t>
  </si>
  <si>
    <t>value</t>
  </si>
  <si>
    <t>xml:space</t>
  </si>
  <si>
    <t>data</t>
  </si>
  <si>
    <t>mimetype</t>
  </si>
  <si>
    <t>type</t>
  </si>
  <si>
    <t>comment</t>
  </si>
  <si>
    <t>assembly</t>
  </si>
  <si>
    <t>alias</t>
  </si>
  <si>
    <t>metadata</t>
  </si>
  <si>
    <t>value9</t>
  </si>
  <si>
    <t>ns2:space</t>
  </si>
  <si>
    <t>name8</t>
  </si>
  <si>
    <t>name7</t>
  </si>
  <si>
    <t>ns1:Ordinal6</t>
  </si>
  <si>
    <t>ref</t>
  </si>
  <si>
    <t>type5</t>
  </si>
  <si>
    <t>use</t>
  </si>
  <si>
    <t>name4</t>
  </si>
  <si>
    <t>ns1:Ordinal</t>
  </si>
  <si>
    <t>minOccurs</t>
  </si>
  <si>
    <t>name3</t>
  </si>
  <si>
    <t>name2</t>
  </si>
  <si>
    <t>maxOccurs</t>
  </si>
  <si>
    <t>ns1:IsDataSet</t>
  </si>
  <si>
    <t>namespace</t>
  </si>
  <si>
    <t>id</t>
  </si>
  <si>
    <t>Modified_)Date</t>
  </si>
  <si>
    <t xml:space="preserve">                         pkvpcDefaultColors [ Properties.Resources.FATAL_EXCEPTION_BACKCOLOR ].Value ,</t>
  </si>
  <si>
    <t xml:space="preserve">   &lt;data name="FATAL_EXCEPTION_BACKCOLOR" xml:space="preserve"&gt;</t>
  </si>
  <si>
    <t xml:space="preserve">         internal static string FATAL_EXCEPTION_BACKCOLOR {</t>
  </si>
  <si>
    <t xml:space="preserve">                 return ResourceManager.GetString("FATAL_EXCEPTION_BACKCOLOR", resourceCulture);</t>
  </si>
  <si>
    <t xml:space="preserve">         public static string FATAL_EXCEPTION_BACKCOLOR {</t>
  </si>
  <si>
    <t xml:space="preserve">                         pkvpcDefaultColors [ Properties.Resources.FATAL_EXCEPTION_FORECOLOR ].Value ,</t>
  </si>
  <si>
    <t xml:space="preserve">   &lt;data name="FATAL_EXCEPTION_FORECOLOR" xml:space="preserve"&gt;</t>
  </si>
  <si>
    <t xml:space="preserve">         internal static string FATAL_EXCEPTION_FORECOLOR {</t>
  </si>
  <si>
    <t xml:space="preserve">                 return ResourceManager.GetString("FATAL_EXCEPTION_FORECOLOR", resourceCulture);</t>
  </si>
  <si>
    <t xml:space="preserve">         public static string FATAL_EXCEPTION_FORECOLOR {</t>
  </si>
  <si>
    <t xml:space="preserve">   &lt;data name="PROPID_ERROR_MSG_COLOR" xml:space="preserve"&gt;</t>
  </si>
  <si>
    <t xml:space="preserve">         internal static string PROPID_ERROR_MSG_COLOR {</t>
  </si>
  <si>
    <t xml:space="preserve">                 return ResourceManager.GetString("PROPID_ERROR_MSG_COLOR", resourceCulture);</t>
  </si>
  <si>
    <t xml:space="preserve">         public static string PROPID_ERROR_MSG_COLOR {</t>
  </si>
  <si>
    <t xml:space="preserve">                         pkvpcDefaultColors [ Properties.Resources.RECOVERABLE_EXCEPTION_BACKCOLOR ].Value ,</t>
  </si>
  <si>
    <t xml:space="preserve">   &lt;data name="RECOVERABLE_EXCEPTION_BACKCOLOR" xml:space="preserve"&gt;</t>
  </si>
  <si>
    <t xml:space="preserve">         internal static string RECOVERABLE_EXCEPTION_BACKCOLOR {</t>
  </si>
  <si>
    <t xml:space="preserve">                 return ResourceManager.GetString("RECOVERABLE_EXCEPTION_BACKCOLOR", resourceCulture);</t>
  </si>
  <si>
    <t xml:space="preserve">         public static string RECOVERABLE_EXCEPTION_BACKCOLOR {</t>
  </si>
  <si>
    <t xml:space="preserve">                         pkvpcDefaultColors [ Properties.Resources.RECOVERABLE_EXCEPTION_FORECOLOR ].Value ,</t>
  </si>
  <si>
    <t xml:space="preserve">   &lt;data name="RECOVERABLE_EXCEPTION_FORECOLOR" xml:space="preserve"&gt;</t>
  </si>
  <si>
    <t xml:space="preserve">         internal static string RECOVERABLE_EXCEPTION_FORECOLOR {</t>
  </si>
  <si>
    <t xml:space="preserve">                 return ResourceManager.GetString("RECOVERABLE_EXCEPTION_FORECOLOR", resourceCulture);</t>
  </si>
  <si>
    <t xml:space="preserve">         public static string RECOVERABLE_EXCEPTION_FORECOLOR {</t>
  </si>
  <si>
    <t>Search Term</t>
  </si>
  <si>
    <t>FATAL_EXCEPTION_BACKCOLOR Count</t>
  </si>
  <si>
    <t>FATAL_EXCEPTION_FORECOLOR Count</t>
  </si>
  <si>
    <t>PROPID_ERROR_MSG_COLOR Count</t>
  </si>
  <si>
    <t>RECOVERABLE_EXCEPTION_BACKCOLOR Count</t>
  </si>
  <si>
    <t>RECOVERABLE_EXCEPTION_FORECOLOR Count</t>
  </si>
  <si>
    <t>Modified_Date</t>
  </si>
  <si>
    <t>Check List</t>
  </si>
  <si>
    <t>String Resources to Relocate</t>
  </si>
  <si>
    <t>Catalog_WizardWrx_AssemblyPrope</t>
  </si>
  <si>
    <t>WizardWrx_DLLServices2_DLL_Conf</t>
  </si>
  <si>
    <t>FatalExceptionTextColor XREF</t>
  </si>
  <si>
    <t>ConsoleStreams Strings XREF</t>
  </si>
  <si>
    <t>STANDARD_DISPLAY_DATE_FORMAT XR</t>
  </si>
  <si>
    <t>ConsoleStreams Strings</t>
  </si>
  <si>
    <t>Cells</t>
  </si>
  <si>
    <t>Columns</t>
  </si>
  <si>
    <t>Rows</t>
  </si>
  <si>
    <t>Address</t>
  </si>
  <si>
    <t>Sheet</t>
  </si>
  <si>
    <t>Origin Cell Contents</t>
  </si>
  <si>
    <t>Absolute Address</t>
  </si>
  <si>
    <t>AssemblyPropertyViewer_CS</t>
  </si>
  <si>
    <t>='ERRMSG_ARG_IS_NULL XREF'!$D$40</t>
  </si>
  <si>
    <t>AssemblyPropertyViewer_Source_Directory</t>
  </si>
  <si>
    <t>='ERRMSG_ARG_IS_NULL XREF'!$H$40</t>
  </si>
  <si>
    <t>BinaryRecordBuffer_CS</t>
  </si>
  <si>
    <t>='ERRMSG_ARG_IS_NULL XREF'!$D$9</t>
  </si>
  <si>
    <t>DataEaseDirectoryReader_SourceDirectory</t>
  </si>
  <si>
    <t>='ERRMSG_ARG_IS_NULL XREF'!$H$7</t>
  </si>
  <si>
    <t>Date2FN_Source_Directory</t>
  </si>
  <si>
    <t>='SysDateFormatters XREF'!$H$8</t>
  </si>
  <si>
    <t>DLLServices_Source_Util_CS</t>
  </si>
  <si>
    <t>='RegistryValues XREF'!$D$7</t>
  </si>
  <si>
    <t>DLLServices2_Source_Directory</t>
  </si>
  <si>
    <t>='RegistryValues XREF'!$H$7</t>
  </si>
  <si>
    <t>FileNameSuffixEngine.cs</t>
  </si>
  <si>
    <t>='SysDateFormatters XREF'!$D$7</t>
  </si>
  <si>
    <t>FileNameSuffixEngine_CS_Source_Filename</t>
  </si>
  <si>
    <t>='SysDateFormatters XREF'!$D$8</t>
  </si>
  <si>
    <t>FormsDirectory_CS</t>
  </si>
  <si>
    <t>='ERRMSG_ARG_IS_NULL XREF'!$D$7</t>
  </si>
  <si>
    <t>MemCalc_Program_CS</t>
  </si>
  <si>
    <t>='CSVFileInfo XREF'!$D$7</t>
  </si>
  <si>
    <t>MemCalc_Source_Directory</t>
  </si>
  <si>
    <t>='CSVFileInfo XREF'!$H$15</t>
  </si>
  <si>
    <t>NewClassTests_20140914_CS</t>
  </si>
  <si>
    <t>='RegistryValues XREF'!$D$9</t>
  </si>
  <si>
    <t>Resource_String_Added</t>
  </si>
  <si>
    <t>='String Resources to Relocate'!$D$3</t>
  </si>
  <si>
    <t>Resource_String_Deleted</t>
  </si>
  <si>
    <t>='String Resources to Relocate'!$D$2</t>
  </si>
  <si>
    <t>Resource_String_Disposition_Choices</t>
  </si>
  <si>
    <t>='String Resources to Relocate'!$D$2:$D$4</t>
  </si>
  <si>
    <t>Resource_String_Tested</t>
  </si>
  <si>
    <t>='String Resources to Relocate'!$D$4</t>
  </si>
  <si>
    <t>Source_Code_Status_Choices</t>
  </si>
  <si>
    <t>='SysDateFormatters XREF'!$I$2:$I$4</t>
  </si>
  <si>
    <t>Source_File_Status_Fixed</t>
  </si>
  <si>
    <t>='SysDateFormatters XREF'!$I$4</t>
  </si>
  <si>
    <t>Source_File_Status_Obsolete_Frozen</t>
  </si>
  <si>
    <t>='SysDateFormatters XREF'!$I$2</t>
  </si>
  <si>
    <t>Source_File_Status_Will_Break</t>
  </si>
  <si>
    <t>='SysDateFormatters XREF'!$I$3</t>
  </si>
  <si>
    <t>Status_Choices</t>
  </si>
  <si>
    <t>='Check List'!$A$2:$A$4</t>
  </si>
  <si>
    <t>Status_Done</t>
  </si>
  <si>
    <t>='Check List'!$A$4</t>
  </si>
  <si>
    <t>Status_In_Progress</t>
  </si>
  <si>
    <t>='Check List'!$A$2</t>
  </si>
  <si>
    <t>Status_Ready_to_Test</t>
  </si>
  <si>
    <t>='Check List'!$A$3</t>
  </si>
  <si>
    <t>TableDrivenConversionEngine_CS</t>
  </si>
  <si>
    <t>='ERRMSG_ARG_IS_NULL XREF'!$D$12</t>
  </si>
  <si>
    <t>Byte Order Marks</t>
  </si>
  <si>
    <t xml:space="preserve">        #region Private Constants and Enumerations</t>
  </si>
  <si>
    <t xml:space="preserve">        enum BOMStatus</t>
  </si>
  <si>
    <t xml:space="preserve">        {</t>
  </si>
  <si>
    <t xml:space="preserve">        }   // BOMStatus</t>
  </si>
  <si>
    <t xml:space="preserve">        //  Sources 1)  "Byte order mark," retrieved 2017/03/16 at 01:24</t>
  </si>
  <si>
    <t xml:space="preserve">        //              https://en.wikipedia.org/wiki/Byte_order_mark</t>
  </si>
  <si>
    <t xml:space="preserve">        //</t>
  </si>
  <si>
    <t xml:space="preserve">        //          2)  "UTF-8, UTF-16, UTF-32 &amp; BOM: General Questions, Relating to UTF or Encoding Form"</t>
  </si>
  <si>
    <t xml:space="preserve">        //              http://unicode.org/faq/utf_bom.html</t>
  </si>
  <si>
    <t xml:space="preserve">        const byte UTF8_BYTE_1_OF_3 = 0xEF;</t>
  </si>
  <si>
    <t xml:space="preserve">        const byte UTF8_BYTE_2_OF_3 = 0xBB;</t>
  </si>
  <si>
    <t xml:space="preserve">        const byte UTF8_BYTE_3_OF_3 = 0xBF;</t>
  </si>
  <si>
    <t xml:space="preserve">        //  --------------------------------------------------------------------</t>
  </si>
  <si>
    <t xml:space="preserve">        //  This encoding corresponds to the original Unicode Byte Order Mark,</t>
  </si>
  <si>
    <t xml:space="preserve">        //  about which I first learned in about 2005.</t>
  </si>
  <si>
    <t xml:space="preserve">        const byte UTF16_LE_BYTE_1_OF_2 = 0xFF;</t>
  </si>
  <si>
    <t xml:space="preserve">        const byte UTF16_LE_BYTE_2_OF_2 = 0xFE;</t>
  </si>
  <si>
    <t xml:space="preserve">        const byte UTF16_BE_BYTE_1_OF_2 = 0xFE;</t>
  </si>
  <si>
    <t xml:space="preserve">        const byte UTF16_BE_BYTE_2_OF_2 = 0xFF;</t>
  </si>
  <si>
    <t xml:space="preserve">        //  For the record, I documented these but this encoding is unsupported.</t>
  </si>
  <si>
    <t xml:space="preserve">        const byte UTF32_LE_BYTE_1_OF_4 = 0xFF;</t>
  </si>
  <si>
    <t xml:space="preserve">        const byte UTF32_LE_BYTE_2_OF_4 = 0xFE;</t>
  </si>
  <si>
    <t xml:space="preserve">        const byte UTF32_LE_BYTE_3_OF_4 = 0x00;</t>
  </si>
  <si>
    <t xml:space="preserve">        const byte UTF32_LE_BYTE_4_OF_4 = 0x00;</t>
  </si>
  <si>
    <t xml:space="preserve">        const byte UTF32_BE_BYTE_1_OF_4 = 0x00;</t>
  </si>
  <si>
    <t xml:space="preserve">        const byte UTF32_BE_BYTE_2_OF_4 = 0x00;</t>
  </si>
  <si>
    <t xml:space="preserve">        const byte UTF32_BE_BYTE_3_OF_4 = 0xFE;</t>
  </si>
  <si>
    <t xml:space="preserve">        const byte UTF32_BE_BYTE_4_OF_4 = 0xFF;</t>
  </si>
  <si>
    <t xml:space="preserve">        #endregion  // Private Constants and Enumerations</t>
  </si>
  <si>
    <t>dllservices2/embeddedtextfile/byteordermark.cs</t>
  </si>
  <si>
    <t>;</t>
  </si>
  <si>
    <t>Hex</t>
  </si>
  <si>
    <t>Dec.</t>
  </si>
  <si>
    <t>Binary</t>
  </si>
  <si>
    <t>Constant</t>
  </si>
  <si>
    <t>Parsing</t>
  </si>
  <si>
    <t>Application</t>
  </si>
  <si>
    <t>Array</t>
  </si>
  <si>
    <t>Method</t>
  </si>
  <si>
    <t>__Workbook_Index</t>
  </si>
  <si>
    <t>s_achrUTF16_BE</t>
  </si>
  <si>
    <t>s_achrUTF16_LE</t>
  </si>
  <si>
    <t>s_achrUTF32_BE</t>
  </si>
  <si>
    <t>s_achrUTF32_LE</t>
  </si>
  <si>
    <t>s_achrUTF8</t>
  </si>
  <si>
    <t>int</t>
  </si>
  <si>
    <t xml:space="preserve">        //  These static read-only integers store the lengths of the arrays of</t>
  </si>
  <si>
    <t xml:space="preserve">        //  Byte Order Marks.</t>
  </si>
  <si>
    <t>,</t>
  </si>
  <si>
    <t>Length</t>
  </si>
  <si>
    <t xml:space="preserve">            None = 0x00 ,</t>
  </si>
  <si>
    <t xml:space="preserve">            UTF8 = 0x01 ,</t>
  </si>
  <si>
    <t xml:space="preserve">            UnicodeLittleEndian = 0x02 ,</t>
  </si>
  <si>
    <t xml:space="preserve">            UnicodeBigEndian = 0x03 ,</t>
  </si>
  <si>
    <t xml:space="preserve">            UTF16LE = 0x02 ,</t>
  </si>
  <si>
    <t xml:space="preserve">            UTF16BE = 0x03 ,</t>
  </si>
  <si>
    <t xml:space="preserve">            UTF32LE = 0x04 ,</t>
  </si>
  <si>
    <t xml:space="preserve">            UTF32BE = 0x05 ,</t>
  </si>
  <si>
    <t>FullName</t>
  </si>
  <si>
    <t>AssemblyFileBaseName</t>
  </si>
  <si>
    <t>AssemblyFileName</t>
  </si>
  <si>
    <t>AssemblyGuidString</t>
  </si>
  <si>
    <t>AssembyDirName</t>
  </si>
  <si>
    <t>Comments</t>
  </si>
  <si>
    <t>CompanyName</t>
  </si>
  <si>
    <t>Culture</t>
  </si>
  <si>
    <t>Description</t>
  </si>
  <si>
    <t>FileCreationDate</t>
  </si>
  <si>
    <t>FileModifiedDate</t>
  </si>
  <si>
    <t>LegalCopyright</t>
  </si>
  <si>
    <t>LegalTrademarks</t>
  </si>
  <si>
    <t>ProductName</t>
  </si>
  <si>
    <t>PublicKeyToken</t>
  </si>
  <si>
    <t>RuntimeVersion</t>
  </si>
  <si>
    <t>VersionString</t>
  </si>
  <si>
    <t>mscorlib, Version=2.0.0.0, Culture=neutral, PublicKeyToken=b77a5c561934e089</t>
  </si>
  <si>
    <t>mscorlib</t>
  </si>
  <si>
    <t>mscorlib.dll</t>
  </si>
  <si>
    <t>BED7F4EA-1A96-11d2-8F08-00A0C9A6186D</t>
  </si>
  <si>
    <t>C:\Windows\Microsoft.NET\Framework\v2.0.50727</t>
  </si>
  <si>
    <t>Flavor=Retail</t>
  </si>
  <si>
    <t>Microsoft Corporation</t>
  </si>
  <si>
    <t>Invariant Language (Invariant Country)</t>
  </si>
  <si>
    <t>Microsoft Common Language Runtime Class Library</t>
  </si>
  <si>
    <t>2014/09/10 04:04:20 (2014/09/10 09:04:20 UTC)</t>
  </si>
  <si>
    <t>2014/07/08 17:13:20 (2014/07/08 22:13:20 UTC)</t>
  </si>
  <si>
    <t>© Microsoft Corporation.  All rights reserved.</t>
  </si>
  <si>
    <t>Microsoft® .NET Framework</t>
  </si>
  <si>
    <t>b77a5c561934e089</t>
  </si>
  <si>
    <t>v2.0.50727</t>
  </si>
  <si>
    <t>2.0.50727.5485 (Win7SP1GDR.050727-5400)</t>
  </si>
  <si>
    <t>System, Version=2.0.0.0, Culture=neutral, PublicKeyToken=b77a5c561934e089</t>
  </si>
  <si>
    <t>System</t>
  </si>
  <si>
    <t>System.dll</t>
  </si>
  <si>
    <t>C:\Windows\assembly\GAC_MSIL\System\2.0.0.0__b77a5c561934e089</t>
  </si>
  <si>
    <t>.NET Framework</t>
  </si>
  <si>
    <t>2016/06/11 19:15:14 (2016/06/12 00:15:14 UTC)</t>
  </si>
  <si>
    <t>2016/02/24 08:07:44 (2016/02/24 14:07:44 UTC)</t>
  </si>
  <si>
    <t>2.0.50727.8686 (QFE.050727-8600)</t>
  </si>
  <si>
    <t>System.Core, Version=3.5.0.0, Culture=neutral, PublicKeyToken=b77a5c561934e089</t>
  </si>
  <si>
    <t>System.Core</t>
  </si>
  <si>
    <t>System.Core.dll</t>
  </si>
  <si>
    <t>C:\Windows\assembly\GAC_MSIL\System.Core\3.5.0.0__b77a5c561934e089</t>
  </si>
  <si>
    <t>2010/11/20 21:25:01 (2010/11/21 03:25:01 UTC)</t>
  </si>
  <si>
    <t>3.5.30729.5420 built by: Win7SP1</t>
  </si>
  <si>
    <t>System.Xml, Version=2.0.0.0, Culture=neutral, PublicKeyToken=b77a5c561934e089</t>
  </si>
  <si>
    <t>System.Xml</t>
  </si>
  <si>
    <t>System.Xml.dll</t>
  </si>
  <si>
    <t>C:\Windows\assembly\GAC_MSIL\System.Xml\2.0.0.0__b77a5c561934e089</t>
  </si>
  <si>
    <t>2016/02/10 03:18:04 (2016/02/10 09:18:04 UTC)</t>
  </si>
  <si>
    <t>2015/12/04 08:07:52 (2015/12/04 14:07:52 UTC)</t>
  </si>
  <si>
    <t>2.0.50727.5494 (Win7SP1GDR.050727-5400)</t>
  </si>
  <si>
    <t>WizardWrx.AssemblyUtils, Version=1.0.11.1914, Culture=neutral, PublicKeyToken=null</t>
  </si>
  <si>
    <t>WizardWrx.AssemblyUtils</t>
  </si>
  <si>
    <t>WizardWrx.AssemblyUtils.dll</t>
  </si>
  <si>
    <t>2c6f30d9-f8c8-49e9-a427-1ba1499a69f9</t>
  </si>
  <si>
    <t>David A. Gray</t>
  </si>
  <si>
    <t>2017/03/27 18:11:05 (2017/03/27 23:11:05 UTC)</t>
  </si>
  <si>
    <t>2017/03/28 02:03:49 (2017/03/28 07:03:49 UTC)</t>
  </si>
  <si>
    <t>Copyright © 2013-2017, David A. Gray</t>
  </si>
  <si>
    <t>This library is distributed under a three-clause BSD license.</t>
  </si>
  <si>
    <t>DLLServices</t>
  </si>
  <si>
    <t>1.0.11.1914</t>
  </si>
  <si>
    <t>WizardWrx.Common, Version=7.0.49.627, Culture=neutral, PublicKeyToken=null</t>
  </si>
  <si>
    <t>WizardWrx.Common</t>
  </si>
  <si>
    <t>WizardWrx.Common.dll</t>
  </si>
  <si>
    <t>57f5765e-6021-481a-a39e-31d575988754</t>
  </si>
  <si>
    <t>2017/03/28 01:20:54 (2017/03/28 06:20:54 UTC)</t>
  </si>
  <si>
    <t>7.0.49.627</t>
  </si>
  <si>
    <t>WizardWrx.ConsoleStreams, Version=7.0.82.631, Culture=neutral, PublicKeyToken=null</t>
  </si>
  <si>
    <t>WizardWrx.ConsoleStreams</t>
  </si>
  <si>
    <t>WizardWrx.ConsoleStreams.dll</t>
  </si>
  <si>
    <t>57f0c693-d8b0-451b-87f4-a1cef5dfc78b</t>
  </si>
  <si>
    <t>2017/03/28 01:21:03 (2017/03/28 06:21:03 UTC)</t>
  </si>
  <si>
    <t>Copyright © 2017, David A. Gray</t>
  </si>
  <si>
    <t>7.0.82.631</t>
  </si>
  <si>
    <t>WizardWrx.Core, Version=7.0.64.629, Culture=neutral, PublicKeyToken=null</t>
  </si>
  <si>
    <t>WizardWrx.Core</t>
  </si>
  <si>
    <t>WizardWrx.Core.dll</t>
  </si>
  <si>
    <t>5563c503-081b-4c30-950d-0e1234ee5949</t>
  </si>
  <si>
    <t>2017/03/28 01:20:59 (2017/03/28 06:20:59 UTC)</t>
  </si>
  <si>
    <t>7.0.64.629</t>
  </si>
  <si>
    <t>WizardWrx.DLLConfigurationManager, Version=7.0.89.633, Culture=neutral, PublicKeyToken=null</t>
  </si>
  <si>
    <t>WizardWrx.DLLConfigurationManager</t>
  </si>
  <si>
    <t>WizardWrx.DLLConfigurationManager.dll</t>
  </si>
  <si>
    <t>27664ebc-0365-4771-80bb-f764863ac338</t>
  </si>
  <si>
    <t>2017/03/28 01:21:06 (2017/03/28 06:21:06 UTC)</t>
  </si>
  <si>
    <t>7.0.89.633</t>
  </si>
  <si>
    <t>WizardWrx.EmbeddedTextFile, Version=7.0.23.635, Culture=neutral, PublicKeyToken=null</t>
  </si>
  <si>
    <t>WizardWrx.EmbeddedTextFile</t>
  </si>
  <si>
    <t>WizardWrx.EmbeddedTextFile.dll</t>
  </si>
  <si>
    <t>f760e8dc-4ed4-438a-b728-6f7ded7a6034</t>
  </si>
  <si>
    <t>Use the methods of this class to read text files that are embedded in the assembly, and to test arbitrary byte arrays for the presence of a Byte Order Mark.</t>
  </si>
  <si>
    <t>EmbeddedResourceReader</t>
  </si>
  <si>
    <t>2017/03/28 01:21:10 (2017/03/28 06:21:10 UTC)</t>
  </si>
  <si>
    <t>Copyright 2017, David A. Gray</t>
  </si>
  <si>
    <t>7.0.23.635</t>
  </si>
  <si>
    <t>DependentAssemblyInfoReport 1</t>
  </si>
  <si>
    <t>DependentAssemblyInfoReport IMP</t>
  </si>
  <si>
    <t>APPLICATION_ERROR_MASK</t>
  </si>
  <si>
    <t>CAPACITY_01KB</t>
  </si>
  <si>
    <t>CAPACITY_02KB</t>
  </si>
  <si>
    <t>CAPACITY_04KB</t>
  </si>
  <si>
    <t>CAPACITY_08KB</t>
  </si>
  <si>
    <t>CAPACITY_16KB</t>
  </si>
  <si>
    <t>CAPACITY_32KB</t>
  </si>
  <si>
    <t>CAPACITY_64KB</t>
  </si>
  <si>
    <t>CAPACITY_MAX_PATH</t>
  </si>
  <si>
    <t>EMPTY_STRING_LENGTH</t>
  </si>
  <si>
    <t>ERROR_INVALID_CMD_LNE_ARGS</t>
  </si>
  <si>
    <t>ERROR_RUNTIME</t>
  </si>
  <si>
    <t>ERROR_SUCCESS</t>
  </si>
  <si>
    <t>EXACTLY_ONE_NUNDRED</t>
  </si>
  <si>
    <t>EXACTLY_ONE_THOUSAND</t>
  </si>
  <si>
    <t>EXACTLY_TEN_THOUSAND</t>
  </si>
  <si>
    <t>EXACTLY_ONE_MILLION</t>
  </si>
  <si>
    <t>EXACTLY_ONE_BILLION</t>
  </si>
  <si>
    <t>MILLISECONDS_PER_SECOND</t>
  </si>
  <si>
    <t>MINUS_ONE</t>
  </si>
  <si>
    <t>PLUS_ONE</t>
  </si>
  <si>
    <t>PLUS_TWO</t>
  </si>
  <si>
    <t>PLUS_SEVEN</t>
  </si>
  <si>
    <t>STRING_INDEXOF_NOT_FOUND</t>
  </si>
  <si>
    <t>STRING_SUBSTR_BEGINNING</t>
  </si>
  <si>
    <t>TICKS_PER_SECOND</t>
  </si>
  <si>
    <t>UNC_PREFIX_START_POS</t>
  </si>
  <si>
    <t>UNC_PREFIX_START_LEN</t>
  </si>
  <si>
    <t>ZERO</t>
  </si>
  <si>
    <t>Write Statement</t>
  </si>
  <si>
    <t>Longest Name</t>
  </si>
  <si>
    <t>#define VOLUME_NAME_DOS  0x0      //default</t>
  </si>
  <si>
    <t>#define VOLUME_NAME_GUID 0x1</t>
  </si>
  <si>
    <t>#define VOLUME_NAME_NT   0x2</t>
  </si>
  <si>
    <t>#define VOLUME_NAME_NONE 0x4</t>
  </si>
  <si>
    <t>#define FILE_NAME_NORMALIZED 0x0  //default</t>
  </si>
  <si>
    <t>#define FILE_NAME_OPENED     0x8</t>
  </si>
  <si>
    <t>WinBase.h</t>
  </si>
  <si>
    <t>//</t>
  </si>
  <si>
    <t>0x</t>
  </si>
  <si>
    <t>Commented C# Constant definition</t>
  </si>
  <si>
    <t>MagicNumbers</t>
  </si>
  <si>
    <t>GetFinalPathNameByHandleW</t>
  </si>
  <si>
    <t>='Byte Order Marks'!$A$36</t>
  </si>
  <si>
    <t>='Byte Order Marks'!$A$31</t>
  </si>
  <si>
    <t>='Byte Order Marks'!$A$51</t>
  </si>
  <si>
    <t>='Byte Order Marks'!$A$44</t>
  </si>
  <si>
    <t>='Byte Order Marks'!$A$22</t>
  </si>
  <si>
    <t>C:\Windows\Microsoft.NET\Framework64\v2.0.50727</t>
  </si>
  <si>
    <t>2017/05/10 14:10:42 (2017/05/10 19:10:42 UTC)</t>
  </si>
  <si>
    <t>2016/03/23 17:39:56 (2016/03/23 22:39:56 UTC)</t>
  </si>
  <si>
    <t>2.0.50727.8669 (QFE.050727-8600)</t>
  </si>
  <si>
    <t>2017/03/28 08:05:59 (2017/03/28 13:05:59 UTC)</t>
  </si>
  <si>
    <t>2.0.50727.8759 (QFE.050727-8700)</t>
  </si>
  <si>
    <t>WizardWrx.AssemblyUtils, Version=7.0.62.126, Culture=neutral, PublicKeyToken=null</t>
  </si>
  <si>
    <t>2017/03/30 19:05:46 (2017/03/31 00:05:46 UTC)</t>
  </si>
  <si>
    <t>2017/07/13 01:04:13 (2017/07/13 06:04:13 UTC)</t>
  </si>
  <si>
    <t>7.0.62.126</t>
  </si>
  <si>
    <t>WizardWrx.Common, Version=7.0.76.39083, Culture=neutral, PublicKeyToken=null</t>
  </si>
  <si>
    <t>2017/07/06 22:42:46 (2017/07/07 03:42:46 UTC)</t>
  </si>
  <si>
    <t>7.0.76.39083</t>
  </si>
  <si>
    <t>WizardWrx.ConsoleStreams, Version=7.0.138.128, Culture=neutral, PublicKeyToken=null</t>
  </si>
  <si>
    <t>2017/07/13 01:04:17 (2017/07/13 06:04:17 UTC)</t>
  </si>
  <si>
    <t>7.0.138.128</t>
  </si>
  <si>
    <t>WizardWrx.Core, Version=7.0.101.124, Culture=neutral, PublicKeyToken=null</t>
  </si>
  <si>
    <t>2017/07/13 01:04:09 (2017/07/13 06:04:09 UTC)</t>
  </si>
  <si>
    <t>7.0.101.124</t>
  </si>
  <si>
    <t>WizardWrx.DLLConfigurationManager, Version=7.0.152.130, Culture=neutral, PublicKeyToken=null</t>
  </si>
  <si>
    <t>2017/07/13 01:04:20 (2017/07/13 06:04:20 UTC)</t>
  </si>
  <si>
    <t>7.0.152.130</t>
  </si>
  <si>
    <t>WizardWrx.EmbeddedTextFile, Version=7.0.48.41210, Culture=neutral, PublicKeyToken=null</t>
  </si>
  <si>
    <t>2017/07/11 23:53:41 (2017/07/12 04:53:41 UTC)</t>
  </si>
  <si>
    <t>7.0.48.41210</t>
  </si>
  <si>
    <t>ProgramFiles</t>
  </si>
  <si>
    <t>ProgramFiles(x86)</t>
  </si>
  <si>
    <t>ProgramW6432</t>
  </si>
  <si>
    <t>SystemRoot</t>
  </si>
  <si>
    <t>VersionNumber</t>
  </si>
  <si>
    <t>.</t>
  </si>
  <si>
    <t>Major</t>
  </si>
  <si>
    <t>Minor</t>
  </si>
  <si>
    <t>Buld</t>
  </si>
  <si>
    <t>Revision</t>
  </si>
  <si>
    <t>TRUE Count</t>
  </si>
  <si>
    <t>FALSE Count</t>
  </si>
  <si>
    <t>AssemblyPropertyDirName</t>
  </si>
  <si>
    <t>Subsidiary Namespace</t>
  </si>
  <si>
    <t>AssemblyInfo_Absolute_FileName</t>
  </si>
  <si>
    <t>Exists</t>
  </si>
  <si>
    <t>using System.Reflection;</t>
  </si>
  <si>
    <t>using System.Runtime.CompilerServices;</t>
  </si>
  <si>
    <t>using System.Runtime.InteropServices;</t>
  </si>
  <si>
    <t xml:space="preserve">// General Information about an assembly is controlled through the following </t>
  </si>
  <si>
    <t>// set of attributes. Change these attribute values to modify the information</t>
  </si>
  <si>
    <t>// associated with an assembly.</t>
  </si>
  <si>
    <t>[assembly: AssemblyTitle ( "WizardWrx.AssemblyUtils" )]</t>
  </si>
  <si>
    <t>[assembly: AssemblyDescription ( "" )]</t>
  </si>
  <si>
    <t>[assembly: AssemblyConfiguration ( "" )]</t>
  </si>
  <si>
    <t>[assembly: AssemblyCompany ( "David A. Gray" )]</t>
  </si>
  <si>
    <t>[assembly: AssemblyProduct ( "DLLServices" )]</t>
  </si>
  <si>
    <t>[assembly: AssemblyCopyright ( "Copyright © 2017, David A. Gray" )]</t>
  </si>
  <si>
    <t>[assembly: AssemblyTrademark ( "This library is distributed under a three-clause BSD license." )]</t>
  </si>
  <si>
    <t>[assembly: AssemblyCulture ( "" )]</t>
  </si>
  <si>
    <t xml:space="preserve">// Setting ComVisible to false makes the types in this assembly not visible </t>
  </si>
  <si>
    <t xml:space="preserve">// to COM components. If you need to access a type in this assembly from </t>
  </si>
  <si>
    <t>// COM, set the ComVisible attribute to true on that type.</t>
  </si>
  <si>
    <t>[assembly: ComVisible ( false )]</t>
  </si>
  <si>
    <t>// The following GUID is for the ID of the typelib if this project is exposed to COM</t>
  </si>
  <si>
    <t>[assembly: Guid ( "2c6f30d9-f8c8-49e9-a427-1ba1499a69f9" )]</t>
  </si>
  <si>
    <t>// Version information for an assembly consists of the following four values:</t>
  </si>
  <si>
    <t>//      Major Version</t>
  </si>
  <si>
    <t xml:space="preserve">//      Minor Version </t>
  </si>
  <si>
    <t>//      Build Number</t>
  </si>
  <si>
    <t>//      Revision</t>
  </si>
  <si>
    <t xml:space="preserve">// You can specify all the values or you can default the Build and Revision Numbers </t>
  </si>
  <si>
    <t>// by using the '*' as shown below:</t>
  </si>
  <si>
    <t>// [assembly: AssemblyVersion ( "1.0.*" )]</t>
  </si>
  <si>
    <t>[assembly: AssemblyVersion ( "7.0.62.*" )]</t>
  </si>
  <si>
    <t>C:\Users\DAVE\Documents\Visual Studio 2013\Projects\WizardWrx_Libs\DLLServices2\DLLServices2_AssemblyInfo.CS</t>
  </si>
  <si>
    <t>Product</t>
  </si>
  <si>
    <t>Module</t>
  </si>
  <si>
    <t>Keep in Product File</t>
  </si>
  <si>
    <t>Keep in Module File</t>
  </si>
  <si>
    <t>Edited</t>
  </si>
  <si>
    <t>Modified, Current</t>
  </si>
  <si>
    <t>Modified, Original</t>
  </si>
  <si>
    <t>AssemblyInfo Subdivisions</t>
  </si>
  <si>
    <t>DependentAssemblyInfoReport 2</t>
  </si>
  <si>
    <t>Program_Files_Root_Directory_Name</t>
  </si>
  <si>
    <t>='Check List'!$E$3</t>
  </si>
  <si>
    <t>ProgramFiles_Directory_Name</t>
  </si>
  <si>
    <t>='Check List'!$E$1</t>
  </si>
  <si>
    <t>ProgramFiles_x86_Directory_Name</t>
  </si>
  <si>
    <t>='Check List'!$E$2</t>
  </si>
  <si>
    <t>Windows_Root_Directory_Name</t>
  </si>
  <si>
    <t>='Check List'!$E$4</t>
  </si>
  <si>
    <t>RegexMatch.MSBuildTask_20170724_014635</t>
  </si>
  <si>
    <t>https://p6lists-my.sharepoint.com/personal/dagray_p6lists_com/_layouts/15/guestaccess.aspx?docid=1e7f21069fe2a4883a0896c5afe4353fe&amp;authkey=AWr_gTMC8r8FoBb2pmQDnHQ</t>
  </si>
  <si>
    <t>ConsoleStreamsLab_20170724_105932.ZIP</t>
  </si>
  <si>
    <t>https://p6lists-my.sharepoint.com/personal/dagray_p6lists_com/_layouts/15/guestaccess.aspx?docid=18303c6c52cc146d18708bdf2db3fe1ca&amp;authkey=AQyFfBTjajwrfPnTxDysESs</t>
  </si>
  <si>
    <t>RegularExpressionMatching_BuildLog_20170724_014351.TXT</t>
  </si>
  <si>
    <t>https://p6lists-my.sharepoint.com/personal/dagray_p6lists_com/_layouts/15/guestaccess.aspx?docid=1ffbd52f2d72d413f8bbd4c41615b8400&amp;authkey=ARDl6V-pMxl_kA_YEVZya2s</t>
  </si>
  <si>
    <t>File</t>
  </si>
  <si>
    <t>Public Link</t>
  </si>
  <si>
    <t>The “RegularExpressionMatching” task could not be loaded from the assembly RegexMatch.MSBuildTask</t>
  </si>
  <si>
    <t>https://stackoverflow.com/questions/45290171/the-regularexpressionmatching-task-could-not-be-loaded-from-the-assembly-regex</t>
  </si>
  <si>
    <t>_Private Links</t>
  </si>
  <si>
    <t>This is the test stand entry point module.</t>
  </si>
  <si>
    <t>TestItemSortByString.cs</t>
  </si>
  <si>
    <t>MergeNewItemsIntoArray_Tester uses this helper class.</t>
  </si>
  <si>
    <t>MergeNewItemsIntoArray_Tester.cs</t>
  </si>
  <si>
    <t>MergeNewItemsIntoArray</t>
  </si>
  <si>
    <t>MaxStringLength_Tester.cs</t>
  </si>
  <si>
    <t>MaxStringLength</t>
  </si>
  <si>
    <t>FormatStringParsing_Drills.cs</t>
  </si>
  <si>
    <t>FormatStringParser</t>
  </si>
  <si>
    <t>Main</t>
  </si>
  <si>
    <t>Constants</t>
  </si>
  <si>
    <t>Strings</t>
  </si>
  <si>
    <t>Namespace</t>
  </si>
  <si>
    <t>History</t>
  </si>
  <si>
    <t>© Year</t>
  </si>
  <si>
    <t>Docs</t>
  </si>
  <si>
    <t>Project</t>
  </si>
  <si>
    <t>Copy</t>
  </si>
  <si>
    <t>Test Module Name</t>
  </si>
  <si>
    <t>Class Name</t>
  </si>
  <si>
    <t>Items to Fix</t>
  </si>
  <si>
    <t>Destination</t>
  </si>
  <si>
    <t>Source</t>
  </si>
  <si>
    <t>C:\Users\DAVE\Documents\Visual Studio 2013\Projects\WizardWrx_Libs\Wizardwrx\DLLServices2TestStand\</t>
  </si>
  <si>
    <t>DLLServices2 Test Stand Progrm Directory</t>
  </si>
  <si>
    <t>C:\Users\DAVE\Documents\Visual Studio 2013\Projects\WizardWrx_Libs\SharedUtl4\SharedUtl4_TestStand\</t>
  </si>
  <si>
    <t>SharedUtl4 Test Stand Progrm Directory</t>
  </si>
  <si>
    <t>DLLServices2TestStand Classes</t>
  </si>
  <si>
    <t>DLLServices2_Test_Stand_Progrm_Directory</t>
  </si>
  <si>
    <t>='DLLServices2TestStand Classes'!$C$2</t>
  </si>
  <si>
    <t>SharedUtl4_Test_Stand_Progrm_Directory</t>
  </si>
  <si>
    <t>='DLLServices2TestStand Classes'!$C$1</t>
  </si>
  <si>
    <t>_Index of Named Ranges</t>
  </si>
  <si>
    <t>Test Stand Namespace Name</t>
  </si>
  <si>
    <t>DLLServices2TestStand</t>
  </si>
  <si>
    <t>New Unit Test Modules</t>
  </si>
  <si>
    <t>Absolute Directory Name--&gt;&gt;</t>
  </si>
  <si>
    <t>ENV_STR_DLM</t>
  </si>
  <si>
    <t>%</t>
  </si>
  <si>
    <t>BRACKET_LEFT</t>
  </si>
  <si>
    <t>[</t>
  </si>
  <si>
    <t>BRACKET_RIGHT</t>
  </si>
  <si>
    <t>]</t>
  </si>
  <si>
    <t>HASH_TAG</t>
  </si>
  <si>
    <t>PARENTHESIS_LEFT</t>
  </si>
  <si>
    <t>(</t>
  </si>
  <si>
    <t>)</t>
  </si>
  <si>
    <t>PARENTHESIS_RIGHT</t>
  </si>
  <si>
    <t>CHAR_NUMERAL_2</t>
  </si>
  <si>
    <t>Symbol</t>
  </si>
  <si>
    <t>AT_SIGH</t>
  </si>
  <si>
    <t>@</t>
  </si>
  <si>
    <t>ASTERISK_CHAR</t>
  </si>
  <si>
    <t>*</t>
  </si>
  <si>
    <t>C:\Program Files (x86)\Microsoft SDKs\Windows\v10.0A\bin\NETFX 4.7 Tools\xsd.exe</t>
  </si>
  <si>
    <t>C:\Program Files (x86)\Microsoft SDKs\Windows\v10.0A\bin\NETFX 4.7 Tools\x64\xsd.exe</t>
  </si>
  <si>
    <t>C:\Program Files (x86)\Microsoft SDKs\Windows\v7.0A\Bin\xsd.exe</t>
  </si>
  <si>
    <t>C:\Program Files (x86)\Microsoft SDKs\Windows\v7.0A\Bin\x64\xsd.exe</t>
  </si>
  <si>
    <t>C:\Program Files (x86)\Microsoft SDKs\Windows\v8.0A\bin\NETFX 4.0 Tools\xsd.exe</t>
  </si>
  <si>
    <t>C:\Program Files (x86)\Microsoft SDKs\Windows\v8.0A\bin\NETFX 4.0 Tools\x64\xsd.exe</t>
  </si>
  <si>
    <t>C:\Program Files (x86)\Microsoft SDKs\Windows\v8.1A\bin\NETFX 4.5.1 Tools\xsd.exe</t>
  </si>
  <si>
    <t>C:\Program Files (x86)\Microsoft SDKs\Windows\v8.1A\bin\NETFX 4.5.1 Tools\x64\xsd.exe</t>
  </si>
  <si>
    <t>Version</t>
  </si>
  <si>
    <t>X64</t>
  </si>
  <si>
    <t xml:space="preserve">          Substring #  1 = C:\bin\php_5.6.31_x64</t>
  </si>
  <si>
    <t xml:space="preserve">          Substring #  2 = C:\bin\php_5.6.31_x64</t>
  </si>
  <si>
    <t xml:space="preserve">          Substring #  3 = C:\Program Files\Java\jdk1.8.0_144\bin</t>
  </si>
  <si>
    <t xml:space="preserve">          Substring #  4 = C:\bin\apache_ant_1_7_1\bin</t>
  </si>
  <si>
    <t xml:space="preserve">          Substring #  5 = C:\bin\python_2.7\</t>
  </si>
  <si>
    <t xml:space="preserve">          Substring #  6 = C:\bin\python_2.7\Scripts\</t>
  </si>
  <si>
    <t xml:space="preserve">          Substring #  7 = C:\bin\WWSYMBOL</t>
  </si>
  <si>
    <t xml:space="preserve">          Substring #  8 = C:\bin</t>
  </si>
  <si>
    <t xml:space="preserve">          Substring #  9 = C:\Windows</t>
  </si>
  <si>
    <t xml:space="preserve">          Substring # 10 = C:\Windows\system32</t>
  </si>
  <si>
    <t xml:space="preserve">          Substring # 11 = C:\bin\Perl\site\bin</t>
  </si>
  <si>
    <t xml:space="preserve">          Substring # 12 = C:\bin\Perl\bin</t>
  </si>
  <si>
    <t xml:space="preserve">          Substring # 13 = C:\Windows\System32\Wbem</t>
  </si>
  <si>
    <t xml:space="preserve">          Substring # 14 = C:\Windows\System32\WindowsPowerShell\v1.0\</t>
  </si>
  <si>
    <t xml:space="preserve">          Substring # 15 = C:\Program Files\Microsoft\Web Platform Installer\</t>
  </si>
  <si>
    <t xml:space="preserve">          Substring # 16 = C:\Program Files\IDM Computer Solutions\UltraEdit</t>
  </si>
  <si>
    <t xml:space="preserve">          Substring # 17 = C:\Program Files (x86)\Skype\Phone\</t>
  </si>
  <si>
    <t xml:space="preserve">          Substring # 18 = C:\Program Files\IDM Computer Solutions\UltraCompare</t>
  </si>
  <si>
    <t xml:space="preserve">          Substring # 19 = C:\Program Files\Prio</t>
  </si>
  <si>
    <t xml:space="preserve">          Substring # 20 = C:\Windows\System32\WindowsPowerShell\v1.0\</t>
  </si>
  <si>
    <t xml:space="preserve">          Substring # 21 = C:\Program Files\Microsoft SQL Server\120\Tools\Binn\</t>
  </si>
  <si>
    <t xml:space="preserve">          Substring # 22 = C:\Program Files\Microsoft SQL Server\Client SDK\ODBC\110\Tools\Binn\</t>
  </si>
  <si>
    <t xml:space="preserve">          Substring # 23 = C:\Program Files (x86)\Microsoft SQL Server\120\Tools\Binn\</t>
  </si>
  <si>
    <t xml:space="preserve">          Substring # 24 = C:\Program Files\Microsoft SQL Server\120\DTS\Binn\</t>
  </si>
  <si>
    <t xml:space="preserve">          Substring # 25 = C:\Program Files (x86)\Microsoft SQL Server\120\Tools\Binn\ManagementStudio\</t>
  </si>
  <si>
    <t xml:space="preserve">          Substring # 26 = C:\Program Files (x86)\Microsoft SQL Server\120\DTS\Binn\</t>
  </si>
  <si>
    <t xml:space="preserve">          Substring # 27 = C:\Program Files\nodejs\</t>
  </si>
  <si>
    <t xml:space="preserve">          Substring # 28 = C:\Program Files (x86)\Windows Kits\10\Windows Performance Toolkit\</t>
  </si>
  <si>
    <t xml:space="preserve">          Substring # 29 = C:\Windows\System32\WindowsPowerShell\v1.0\</t>
  </si>
  <si>
    <t xml:space="preserve">          Substring # 30 = C:\Program Files\Windows Imaging\</t>
  </si>
  <si>
    <t xml:space="preserve">          Substring # 31 = C:\Program Files\TortoiseSVN\bin</t>
  </si>
  <si>
    <t xml:space="preserve">          Substring # 32 = C:\Program Files\MySQL\MySQL Utilities 1.6\</t>
  </si>
  <si>
    <t xml:space="preserve">          Substring # 33 = C:\Users\DAVE\AppData\Roaming\npm</t>
  </si>
  <si>
    <t xml:space="preserve">          Substring # 34 = C:\Program Files (x86)\Microsoft_VS_Code\bin</t>
  </si>
  <si>
    <t xml:space="preserve">          Substring # 35 = C:\Program Files\Git\bin</t>
  </si>
  <si>
    <t>C:\Users\DAVE\Documents\Visual Studio 2013\Projects\WizardWrx_Libs\Wizardwrx\_NOTES\WWEnumEnvironmentStrings_ENIGMA_20170820_150900.LOG</t>
  </si>
  <si>
    <t>Report Source</t>
  </si>
  <si>
    <t>Path Substrings, per WWEnumEnvironmentStrings</t>
  </si>
  <si>
    <t>2017/08/20 15:09:00.225 (2017/08/20 20:09:00.225 UTC)</t>
  </si>
  <si>
    <t>Report Generation Time</t>
  </si>
  <si>
    <t>Substring #</t>
  </si>
  <si>
    <t xml:space="preserve"> = </t>
  </si>
  <si>
    <t>Tag Length</t>
  </si>
  <si>
    <t>String</t>
  </si>
  <si>
    <t>End S</t>
  </si>
  <si>
    <t>End Equ</t>
  </si>
  <si>
    <t>Ordinal</t>
  </si>
  <si>
    <t>Average Length</t>
  </si>
  <si>
    <t>Shortest Length</t>
  </si>
  <si>
    <t>Greatest Length</t>
  </si>
  <si>
    <t>Total Space Occupied in Environment Block</t>
  </si>
  <si>
    <t>Environment Block Label</t>
  </si>
  <si>
    <t>Path=</t>
  </si>
  <si>
    <t>Total Length, Exclusive of Delimiters</t>
  </si>
  <si>
    <t>Substring Count</t>
  </si>
  <si>
    <t>Order</t>
  </si>
  <si>
    <t>On Path</t>
  </si>
  <si>
    <t>(Default)</t>
  </si>
  <si>
    <t>MergeNewItemsIntoArray_Summary.TXT</t>
  </si>
  <si>
    <t>System.String</t>
  </si>
  <si>
    <t>MergeNewItemsIntoArray_Summary</t>
  </si>
  <si>
    <t>Settings</t>
  </si>
  <si>
    <t>SharedUtl4_TestStand.Properties</t>
  </si>
  <si>
    <t>$$DATADIRNAME$$\MergeNewItemsIntoArray_Output_$$CASENBR$$.TXT</t>
  </si>
  <si>
    <t>MergeNewItemsIntoArray_Outputs</t>
  </si>
  <si>
    <t>MergeNewItemsIntoArray_Case_??.TXT</t>
  </si>
  <si>
    <t>MergeNewItemsIntoArray_Cases</t>
  </si>
  <si>
    <t>MergeNewItemsIntoArray_Master.TXT</t>
  </si>
  <si>
    <t>MergeNewItemsIntoArray_Master</t>
  </si>
  <si>
    <t>MaxStringLength.TXT</t>
  </si>
  <si>
    <t>MaxStringLength_Input</t>
  </si>
  <si>
    <t>C:\Users\DAVE\Documents\Visual Studio 2013\Projects\WizardWrx_Libs\SharedUtl4\Test_Data\</t>
  </si>
  <si>
    <t>Data_Directory</t>
  </si>
  <si>
    <t>Profile</t>
  </si>
  <si>
    <t>ns1:Value</t>
  </si>
  <si>
    <t>Scope</t>
  </si>
  <si>
    <t>ns1:Profiles</t>
  </si>
  <si>
    <t>GeneratedClassName</t>
  </si>
  <si>
    <t>GeneratedClassNamespace</t>
  </si>
  <si>
    <t>CurrentProfile</t>
  </si>
  <si>
    <t>Not Found</t>
  </si>
  <si>
    <t>IDS_MSG_FILE_NOT_FOUND</t>
  </si>
  <si>
    <t>Key field {0} in record {1} is invalid. All keys must be integers.</t>
  </si>
  <si>
    <t>IDS_INVALID_KEY</t>
  </si>
  <si>
    <t>Input files are inconsistent{2}Label row of master file = {0}{2}Label Row of current file = {1}</t>
  </si>
  <si>
    <t>IDS_INCONSISTENT_INPUTS</t>
  </si>
  <si>
    <t>Output File</t>
  </si>
  <si>
    <t>IDS_DESCR_OUTPUT_FILE</t>
  </si>
  <si>
    <t>New Items File</t>
  </si>
  <si>
    <t>IDS_DESCR_NEWITEMS_FILE</t>
  </si>
  <si>
    <t>Master File</t>
  </si>
  <si>
    <t>IDS_DESCR_MASTER_FILE</t>
  </si>
  <si>
    <t>Comparison must involve objects of the same type.</t>
  </si>
  <si>
    <t>IDS_COMPARETO_MISMATCH</t>
  </si>
  <si>
    <t>Class MergeNewItemsIntoArray_Tester uses this string.</t>
  </si>
  <si>
    <t>Description\tFileName\tModDate\tSize\tLineCount</t>
  </si>
  <si>
    <t>IDS_MERGENEWITEMSINTOARRAY_LABELS</t>
  </si>
  <si>
    <t>The format of the label row in the master input file is invalid.{3}It should contain {0} TAB delimited fields.{3}The supplied label contains {1} fields.{3}The label row follows.{2}{3}</t>
  </si>
  <si>
    <t>IDS_BAD_MASTER_LABEL_ROW</t>
  </si>
  <si>
    <t>Use this command line argument to engage the routine that exercises the string and file digest routines.</t>
  </si>
  <si>
    <t>DigestFileTests</t>
  </si>
  <si>
    <t>CMDARG_DIGEST_FILE_TESTS</t>
  </si>
  <si>
    <t>Use this command line argument to engage the routine that displays the string resources stored in WizardWrx.Common.dll, which are publicy visible.</t>
  </si>
  <si>
    <t>EnumerateStringResourcesInAssembly</t>
  </si>
  <si>
    <t>CMDARG_LIST_COMMON_STRINGS</t>
  </si>
  <si>
    <t xml:space="preserve">Test Exception Message Number {0} </t>
  </si>
  <si>
    <t>TEST_EXCEPTION_MESSAGE</t>
  </si>
  <si>
    <t>Exception Test Case {0}{1}</t>
  </si>
  <si>
    <t>TEST_EXCEPTION_LABEL</t>
  </si>
  <si>
    <t>I moved this method into RegExpSupport, which is exported by WizardWrx.Core.dll, and belongs to the root WizardWrx namespace. The Util class is finally GONE!</t>
  </si>
  <si>
    <t xml:space="preserve">    Public method RegExpSupport.FileMatchesRegExpMask = {0,-5}, for filename = {1} and mask = {2}{3}</t>
  </si>
  <si>
    <t>REGEXP_TEST_LAST</t>
  </si>
  <si>
    <t xml:space="preserve">    Public method RegExpSupport.FileMatchesRegExpMask = {0,-5}, for filename = {1} and mask = {2}</t>
  </si>
  <si>
    <t>REGEXP_TEST_ALL_BUT_LAST</t>
  </si>
  <si>
    <t>{1}    Entry Assembly default product version = {0}{1}{1}StateManager.GetAssemblyProductAndVersion Tests Completed{1}</t>
  </si>
  <si>
    <t>MSG_VERSIONINFO_TESTS_DONE</t>
  </si>
  <si>
    <t xml:space="preserve">    Entry Assembly product version ({0}, {1} parts) = {2}</t>
  </si>
  <si>
    <t>MSG_VERSIONINFO</t>
  </si>
  <si>
    <t>{0}Testing StateManager.GetAssemblyProductAndVersion:{0}</t>
  </si>
  <si>
    <t>MSG_VERSIONIFNO_TESTS_BEGIN</t>
  </si>
  <si>
    <t>A new UnlessWhat method uses this as its report template.</t>
  </si>
  <si>
    <t xml:space="preserve">    Boolean Expression = {0}, Unless = {1}</t>
  </si>
  <si>
    <t>MSG_UNLESS_WHAT</t>
  </si>
  <si>
    <t>{0}Unless Idiom Tests Done!{0}</t>
  </si>
  <si>
    <t>MSG_UNLESS_END</t>
  </si>
  <si>
    <t>Unless Idiom Tests Begin:{0}</t>
  </si>
  <si>
    <t>MSG_UNLESS_BEGIN</t>
  </si>
  <si>
    <t xml:space="preserve">        Value # {0} = {1}{2}</t>
  </si>
  <si>
    <t>MSG_SUBSTRING_VALUE</t>
  </si>
  <si>
    <t>, as follows:</t>
  </si>
  <si>
    <t>MSG_SUBSTRING_SUMMARY_2</t>
  </si>
  <si>
    <t xml:space="preserve"> substrings</t>
  </si>
  <si>
    <t>MSG_SUBSTRING_SUMMARY_1</t>
  </si>
  <si>
    <t>Standard Output (STDOUT, a. k. a., Console.Out)</t>
  </si>
  <si>
    <t>MSG_STDOUT</t>
  </si>
  <si>
    <t>Standard Input (STDIN, a. k. a., Console.In)</t>
  </si>
  <si>
    <t>MSG_STDIN</t>
  </si>
  <si>
    <t>Standard Error (STDERR, a. k. a., Console.Error)</t>
  </si>
  <si>
    <t>MSG_STDERR</t>
  </si>
  <si>
    <t>Console handle {0} is {1}{2}</t>
  </si>
  <si>
    <t>MSG_STANDARD_HANDLE_STATE</t>
  </si>
  <si>
    <t>This message displays at the top of the second page of error message colors. The display routine is expected to supply a newline for the format item.</t>
  </si>
  <si>
    <t>The colors shown below were supplied by the test stand program.{0}</t>
  </si>
  <si>
    <t>MSG_SHOWING_PROGRAMMATIC_COLORS</t>
  </si>
  <si>
    <t>This message displays in advance of the first pause.</t>
  </si>
  <si>
    <t>{0}The next screen displays selected properties of the library that is about to be exercised.{0}</t>
  </si>
  <si>
    <t>MSG_SHOWING_LIBRARY_INFO</t>
  </si>
  <si>
    <t>This message displays at the top of the first page of error message colors. The display routine is expected to supply a newline for the format item.</t>
  </si>
  <si>
    <t>The colors shown below were read from WizardWrx.DllServices2.dll.config.{0}</t>
  </si>
  <si>
    <t>MSG_SHOWING_CONFIGURED_COLORS</t>
  </si>
  <si>
    <t xml:space="preserve">    Public method RegistryValues.RegQueryValue: Key Name   = {0}{4}                                                Value Name = {1}{4}                                                Value Type = {2}{4}                                                Value Data = {3}{4}</t>
  </si>
  <si>
    <t>MSG_REG_KEY_VALUE</t>
  </si>
  <si>
    <t>Display this message at the end of each test.</t>
  </si>
  <si>
    <t>Redirection State Test Method = {0}: Iterations   = {1}{5}                                            Start Time   = {2}{5}                                            Finish Time  = {3}{5}                                            Elapsed Time = {4}{5}{5}</t>
  </si>
  <si>
    <t>MSG_REDIRECTION_STATE_TEST_TIMING</t>
  </si>
  <si>
    <t>The DisplayProcessProperties uses this string to label a report about the properties of the executing process.</t>
  </si>
  <si>
    <t xml:space="preserve">    Process Startup Time     = {0} ({1} UTC)</t>
  </si>
  <si>
    <t>MSG_PROCESS_STARTUP_TIME</t>
  </si>
  <si>
    <t>The DisplayProcessProperties method formats its report header from this template.</t>
  </si>
  <si>
    <t>{0}The current process has the following properties.{0}</t>
  </si>
  <si>
    <t>MSG_PROCESS_PROPERTIES_HEADER</t>
  </si>
  <si>
    <t>The DisplayProcessProperties method formats its report footerfrom this template.</t>
  </si>
  <si>
    <t>{0}End of property listing for current process{0}</t>
  </si>
  <si>
    <t>MSG_PROCESS_PROPERTIES_FOOTER</t>
  </si>
  <si>
    <t xml:space="preserve">    Process ID               = 0x{0:X8} ({1} decimal){2}</t>
  </si>
  <si>
    <t>MSG_PROCESS_ID</t>
  </si>
  <si>
    <t xml:space="preserve">    Entry Assembly Subsystem = {0} ({1}): {2}{3}</t>
  </si>
  <si>
    <t>MSG_PROCESS_ENTRY_ASM_SUBSYSTEM</t>
  </si>
  <si>
    <t xml:space="preserve">    Name of Entry Assembly   = {0}</t>
  </si>
  <si>
    <t>MSG_PROCESS_ENTRY_ASM_NAME</t>
  </si>
  <si>
    <t>The DisplayDefaultAppDomainProperties method uses this message to report a null activation context.</t>
  </si>
  <si>
    <t xml:space="preserve">    ActivationContext                                  = NULL</t>
  </si>
  <si>
    <t>MSG_NULL_ACTIVATION_CONTEXT</t>
  </si>
  <si>
    <t>The DisplayDefaultAppDomainProperties method formats a console message from this template.</t>
  </si>
  <si>
    <t xml:space="preserve">    DomainManager                                      = NULL</t>
  </si>
  <si>
    <t>MSG_NO_DOMAIN_MANAGER</t>
  </si>
  <si>
    <t>PInvokeW32</t>
  </si>
  <si>
    <t>MSG_PINVOKE_WIN32</t>
  </si>
  <si>
    <t>The PauseForPictures method displays this message.</t>
  </si>
  <si>
    <t>Press ENTER to resume the program.</t>
  </si>
  <si>
    <t>MSG_PHOTO_OP</t>
  </si>
  <si>
    <t>Construct a TSV list, where token 0 is the TAB character.</t>
  </si>
  <si>
    <t>Index{0}First{0}Next{0}More{0}Last</t>
  </si>
  <si>
    <t>MSG_LOOP_STATE_TABLE_LABELS</t>
  </si>
  <si>
    <t>Construct a TSV list, where token 4 is the TAB character.</t>
  </si>
  <si>
    <t>{0}{5}{1}{5}{2}{5}{3}{5}{4}{5}</t>
  </si>
  <si>
    <t>MSG_LOOP_STATE_TABLE_DATA</t>
  </si>
  <si>
    <t>Token 0 is my mechanismo for embedding a newline.</t>
  </si>
  <si>
    <t>{0}Evaluate loop state with a Less Than Limit:{0}</t>
  </si>
  <si>
    <t>MSG_LOOP_STATE_LT</t>
  </si>
  <si>
    <t>{0}Evaluate loop state with a Less Than or Equal To Limit:{0}</t>
  </si>
  <si>
    <t>MSG_LOOP_STATE_LE</t>
  </si>
  <si>
    <t>{0}Evaluate loop state with a Greater Than Limit:{0}</t>
  </si>
  <si>
    <t>MSG_LOOP_STATE_GT</t>
  </si>
  <si>
    <t>{0}Evaluate loop state with a Greater Than or Equal To Limit:{0}</t>
  </si>
  <si>
    <t>MSG_LOOP_STATE_GE</t>
  </si>
  <si>
    <t>{0}Evaluate loop state with a Equal To Limit:{0}</t>
  </si>
  <si>
    <t>MSG_LOOP_STATE_EQ</t>
  </si>
  <si>
    <t>Token 2 is my mechanismo for embedding a newline.</t>
  </si>
  <si>
    <t>Loop Limit Values: Start = {0}{2}                   Stop  = {1}{2}</t>
  </si>
  <si>
    <t>MSG_LOOP_LIMIT_VALUES</t>
  </si>
  <si>
    <t>unknown</t>
  </si>
  <si>
    <t>MSG_HANDLE_IS_UNDEFINED</t>
  </si>
  <si>
    <t>redirected to a file or pipe</t>
  </si>
  <si>
    <t>MSG_HANDLE_IS_REDIRECTED</t>
  </si>
  <si>
    <t>attached to a console</t>
  </si>
  <si>
    <t>MSG_HANDLE_IS_ATTACHED</t>
  </si>
  <si>
    <t>HandleBase</t>
  </si>
  <si>
    <t>MSG_HANDLEBASE_NULL</t>
  </si>
  <si>
    <t>The DisplayDefaultAppDomainProperties method formats a line for its report from this template, which contains the label and a placeholder.</t>
  </si>
  <si>
    <t xml:space="preserve">    DomainManager.EntryAssembly.Location               = {0}</t>
  </si>
  <si>
    <t>MSG_ENTRY_ASM_LOCATION</t>
  </si>
  <si>
    <t xml:space="preserve">    DomainManager.EntryAssembly.FullName               = {0}</t>
  </si>
  <si>
    <t>MSG_ENTRY_ASM_FULLNAME</t>
  </si>
  <si>
    <t xml:space="preserve">    DomainManager.Id                                   = {0}</t>
  </si>
  <si>
    <t>MSG_DOMAIN_MGR_ID</t>
  </si>
  <si>
    <t xml:space="preserve">    DomainManager.FriendlyName                         = {0}</t>
  </si>
  <si>
    <t>MSG_DOMAIN_MGR_FRIENDLY_NAME</t>
  </si>
  <si>
    <t xml:space="preserve">    DomainManager.SetupInformation.ApplicationName     = {0}</t>
  </si>
  <si>
    <t>MSG_DOMAIN_MGR_APP_NAME</t>
  </si>
  <si>
    <t xml:space="preserve">    DomainManager.SetupInformation.ApplicationBase     = {0}</t>
  </si>
  <si>
    <t>MSG_DOMAIN_MGR_APP_BASE</t>
  </si>
  <si>
    <t xml:space="preserve">    SetupInformation                                   = NULL</t>
  </si>
  <si>
    <t>MSG_DFLT_SETUP_INFO_NULL</t>
  </si>
  <si>
    <t>{0}The default application domain exhibits the following properties.{0}</t>
  </si>
  <si>
    <t>MSG_DFLT_DOMAIN_PROPS_HEADER</t>
  </si>
  <si>
    <t>{0}End of property listing for default application domain{0}</t>
  </si>
  <si>
    <t>MSG_DFLT_DOMAIN_PROPS_FOOTER</t>
  </si>
  <si>
    <t xml:space="preserve">    ActivationContext.Identity.FullName                = {0}</t>
  </si>
  <si>
    <t>MSG_DFLT_DOMAIN_IDENTITY_FULLNAME</t>
  </si>
  <si>
    <t xml:space="preserve">    ActivationContext.Identity.CodeBase                = {0}</t>
  </si>
  <si>
    <t>MSG_DFLT_DOMAIN_IDENTITY_CODEBASE</t>
  </si>
  <si>
    <t xml:space="preserve">    ApplicationIdentity                                = NULL</t>
  </si>
  <si>
    <t>MSG_DFLT_APP_IDENTITY_NULL</t>
  </si>
  <si>
    <t xml:space="preserve">    Current Machine Time     = {0} ({1} UTC)</t>
  </si>
  <si>
    <t>MSG_CURRENT_MACHINE_TIME</t>
  </si>
  <si>
    <t xml:space="preserve">    BaseDirectory                                      = {0}</t>
  </si>
  <si>
    <t>MSG_BASE_DIRECTORY_NAME</t>
  </si>
  <si>
    <t>{2}Executable Subsystem = {0}: {1}{2}</t>
  </si>
  <si>
    <t>MSG_ASSEMBLY_SUBSYSTEM</t>
  </si>
  <si>
    <t>Since this message immediately follows the banner, it needs a leading line feed.</t>
  </si>
  <si>
    <t>{1}Fully qualified program name, per StateManager GetAssemblyFQFN method = {0}</t>
  </si>
  <si>
    <t>MSG_ASBSOLUTE_ASSEMBLYNAME</t>
  </si>
  <si>
    <t>{3}    Entry Assembly Subsystem                           = {0} ({1}): {2}{3}</t>
  </si>
  <si>
    <t>MSG_APP_DOMAIN_SUBSYSTEM</t>
  </si>
  <si>
    <t>{1}    Name of Entry Assembly                             = {0}</t>
  </si>
  <si>
    <t>MSG_APP_DOMAIN_ENTRY_ASM_NAME</t>
  </si>
  <si>
    <t xml:space="preserve">    Absolute Location of Entry Assembly                = {0}</t>
  </si>
  <si>
    <t>MSG_APP_DOMAIN_ENTRY_ASM_LOCATION</t>
  </si>
  <si>
    <t>[Null String]</t>
  </si>
  <si>
    <t>MESSAGE_NULL_STRING</t>
  </si>
  <si>
    <t>[Empty String]</t>
  </si>
  <si>
    <t>MESSAGE_EMPTY_STRING</t>
  </si>
  <si>
    <t>recoverable</t>
  </si>
  <si>
    <t>EXCEPTION_IS_RECOVERABLE</t>
  </si>
  <si>
    <t>fatal</t>
  </si>
  <si>
    <t>EXCEPTION_IS_FATAL</t>
  </si>
  <si>
    <t>This message is never displayed; it holds the spot in the array that is reserved for exit code zero.</t>
  </si>
  <si>
    <t>Processing completed without errors.</t>
  </si>
  <si>
    <t>ERRMSG_SUCCESS</t>
  </si>
  <si>
    <t>Exit code 1 is reserved for reporting runtime errors.</t>
  </si>
  <si>
    <t>A run-time exception was caught and reported.</t>
  </si>
  <si>
    <t>ERRMSG_RUNTIME</t>
  </si>
  <si>
    <t>ABORTING: Method NewClassTests_20140914.{0} failed, returning a status code of {1}</t>
  </si>
  <si>
    <t>ERRMSG_NEW_CLASS_TESTS_20140914</t>
  </si>
  <si>
    <t>Value must belong to the LimitValue enumeration.</t>
  </si>
  <si>
    <t>ERRMSG_LIMIT_VALUE</t>
  </si>
  <si>
    <t>Value must belong to the LimitConditon enumeration.</t>
  </si>
  <si>
    <t>ERRMSG_LIMIT_CONDITON</t>
  </si>
  <si>
    <t>This is the last message written on the console.</t>
  </si>
  <si>
    <t>{0} EOJ{2}Running time = {1}{2}Press ENTER to exit the program.</t>
  </si>
  <si>
    <t>EOJ_MSG_TPL</t>
  </si>
  <si>
    <t>individdual properties</t>
  </si>
  <si>
    <t>DEFAULT_EXCEPTION_COLORS_PROPERTIES</t>
  </si>
  <si>
    <t>This message describes one of two methods that queries the DLL configuration file in which the default error message colors are stored.</t>
  </si>
  <si>
    <t>the GetDefaultMessageColors method</t>
  </si>
  <si>
    <t>DEFAULT_EXCEPTION_COLORS_METHOD_2</t>
  </si>
  <si>
    <t>the GetDefaultErrorMessageColors method</t>
  </si>
  <si>
    <t>DEFAULT_EXCEPTION_COLORS_METHOD_1</t>
  </si>
  <si>
    <t>This message describes the colors of a type of exception report.</t>
  </si>
  <si>
    <t>The default colors of a {0} exception, as seen through{4}{1}, are {2} text on a {3} background.{4}</t>
  </si>
  <si>
    <t>DEFAULT_EXCEPTION_COLORS_MESSAGE</t>
  </si>
  <si>
    <t>This message is used to report the conrfigured colors for a category of messages.</t>
  </si>
  <si>
    <t>{2}This text should appear as {0} letters on a {1} background.{2}</t>
  </si>
  <si>
    <t>COLOR_MESSAGE_TEXT</t>
  </si>
  <si>
    <t>Use this command line argument to engage  the redirection detector comparisons.</t>
  </si>
  <si>
    <t>RedirectionStateTests</t>
  </si>
  <si>
    <t>CMDARG_REDIRECTION_STATE_TESTS</t>
  </si>
  <si>
    <t>Use this command line argument to engage the redirection detection routine testsrs.</t>
  </si>
  <si>
    <t>RedirectionDetection</t>
  </si>
  <si>
    <t>CMDARG_REDIRECTION_DETECTION</t>
  </si>
  <si>
    <t>Select this one-off task to generate the configuration file for the exception message formatters.</t>
  </si>
  <si>
    <t>GenerateExceptionMessageFormatTable</t>
  </si>
  <si>
    <t>CMDARG_GENERATE_EXCEPTION_MESSAGE_FORMAT_TABLE</t>
  </si>
  <si>
    <t>Select this one-off task to process a list of exception types that is baked into the routine that implements it.</t>
  </si>
  <si>
    <t>EnumExcpetionGUIDs</t>
  </si>
  <si>
    <t>CMDARG_ENUMERATE_EXCEPTION_GUIDS</t>
  </si>
  <si>
    <t>The ChopChop test method uses this as its output format.</t>
  </si>
  <si>
    <t>Chop Test {0}: Input String Length  = {1}, Value = {2}{5}             Output String Length = {3}, Value = {4}{5}</t>
  </si>
  <si>
    <t>CHOP_TEST_REPORT</t>
  </si>
  <si>
    <t>Since it isn't allowed to use ConsoleAppAids2, this assembly must provide its own logo banner.</t>
  </si>
  <si>
    <t>{0}, version {1} BOJ{4}{2} ({3} UTC){4}</t>
  </si>
  <si>
    <t>BOJ_MSG_TPL</t>
  </si>
  <si>
    <t>.\Test_Data</t>
  </si>
  <si>
    <t>Amended Value</t>
  </si>
  <si>
    <t>Access Method to Use</t>
  </si>
  <si>
    <r>
      <rPr>
        <sz val="11"/>
        <color rgb="FF92D050"/>
        <rFont val="Consolas"/>
        <family val="3"/>
      </rPr>
      <t>Program</t>
    </r>
    <r>
      <rPr>
        <sz val="11"/>
        <color theme="1"/>
        <rFont val="Consolas"/>
        <family val="2"/>
      </rPr>
      <t>.AbsoluteDataDirectoryName</t>
    </r>
  </si>
  <si>
    <r>
      <rPr>
        <sz val="11"/>
        <color rgb="FF92D050"/>
        <rFont val="Consolas"/>
        <family val="3"/>
      </rPr>
      <t>Program</t>
    </r>
    <r>
      <rPr>
        <sz val="11"/>
        <color theme="1"/>
        <rFont val="Consolas"/>
        <family val="2"/>
      </rPr>
      <t>.AbsolutePathStringFromSettings</t>
    </r>
  </si>
  <si>
    <t>The only direct reference is in the designated access method.</t>
  </si>
  <si>
    <t>The only reference is the initializer of private instance string _strTestDataFileName, in class MaxStringLengthTester, is already implemented correctly.</t>
  </si>
  <si>
    <t xml:space="preserve">Since these tests were implemented entirely in the main module of WizardWrx.SharedUtl4.TestStatn, this property is as yet unreferenced. It will come along with the code that I import from the </t>
  </si>
  <si>
    <t>Since these tests were implemented entirely in the main module of WizardWrx.SharedUtl4.TestStatn, this property is as yet unreferenced. It will come along with the code that I import from WizardWrx.SharedUtl4.TestStand.</t>
  </si>
  <si>
    <t>xsd_exe_Inventory_ENIGMA</t>
  </si>
  <si>
    <t>New Special_Characters</t>
  </si>
  <si>
    <t>Directories on Path (ENIGMA)</t>
  </si>
  <si>
    <t>SharedUtl4 TestStand Settings</t>
  </si>
  <si>
    <t>SharedUtl2 TestStand Strings</t>
  </si>
  <si>
    <t>Directories_on_Path_Details</t>
  </si>
  <si>
    <t>='Directories on Path (ENIGMA)'!$H$6:$J$40</t>
  </si>
  <si>
    <t>Directories_on_Path_Labels</t>
  </si>
  <si>
    <t>='Directories on Path (ENIGMA)'!$H$4:$J$4</t>
  </si>
  <si>
    <t>TestStandNamespaceName</t>
  </si>
  <si>
    <t>='DLLServices2TestStand Classes'!$C$3</t>
  </si>
  <si>
    <t>Inseterd between DOUBLE_QUOTE and EQUAls_SIGN.</t>
  </si>
  <si>
    <t>Inserted between BRACE_RIGHT and DLM_FORMAT_ITEM_BEGIN.</t>
  </si>
  <si>
    <t>Target</t>
  </si>
  <si>
    <t>#</t>
  </si>
  <si>
    <t>Inserted between FULL_STOP and HYPHEN.</t>
  </si>
  <si>
    <t>Inserted between NUL_CHAR and PERCENT_SIGN.</t>
  </si>
  <si>
    <t>Inserted between ASTERISK and AT_CHAR.</t>
  </si>
  <si>
    <t>Inserted between AT_CHAR and BRACE_LEFT.</t>
  </si>
  <si>
    <t>AppDomainDetails.cs</t>
  </si>
  <si>
    <t>CmdLneArgsTests.cs</t>
  </si>
  <si>
    <t>DigestTestCases.cs</t>
  </si>
  <si>
    <t>FileNameTricks_Exerciser.cs</t>
  </si>
  <si>
    <t>AppDomainDetails</t>
  </si>
  <si>
    <t>Module File Name</t>
  </si>
  <si>
    <t>Module Class Name</t>
  </si>
  <si>
    <t>program.cs</t>
  </si>
  <si>
    <t>AppDomainDetails.DisplayDefaultAppDomainProperties ( );</t>
  </si>
  <si>
    <t>AppDomainDetails.DisplayProcessProperties ( s_smTheApp.AppStartupTimeUtc );</t>
  </si>
  <si>
    <t>Statement</t>
  </si>
  <si>
    <t>CmdLneArgsTests</t>
  </si>
  <si>
    <t>This static class exposes one public (interal) method, Go, which is unreferenced.</t>
  </si>
  <si>
    <t>DigestTestCases</t>
  </si>
  <si>
    <t>DigestTestCases tcList = new DigestTestCases ( );</t>
  </si>
  <si>
    <t>FileNameTricks_Exerciser</t>
  </si>
  <si>
    <t>FileNameTricks_Exerciser.Drill ( );</t>
  </si>
  <si>
    <t>Line 708 is the last of the main routine.</t>
  </si>
  <si>
    <t>Notes</t>
  </si>
  <si>
    <t>FormatStringParsing_Drills</t>
  </si>
  <si>
    <t>ASCII_Table_Gen</t>
  </si>
  <si>
    <t>TestFormatItemBuilders</t>
  </si>
  <si>
    <t>Visible Methods</t>
  </si>
  <si>
    <t>TestFormatItemCounters</t>
  </si>
  <si>
    <t>Since the three visible methods are static void, I marked the class as static, too.</t>
  </si>
  <si>
    <t>MaxStringLength_Tester</t>
  </si>
  <si>
    <t>Go</t>
  </si>
  <si>
    <t>MergeNewItemsIntoArray_Tester</t>
  </si>
  <si>
    <t>The default constructor is private, and an instance must be constructed and its Go method called.</t>
  </si>
  <si>
    <t>NewClassTests_20140914</t>
  </si>
  <si>
    <t>Numerous</t>
  </si>
  <si>
    <t>This class came into being three years ago; all of its methods are integrated into main.</t>
  </si>
  <si>
    <t>This module is essentially in maintenance mode.</t>
  </si>
  <si>
    <t>Program</t>
  </si>
  <si>
    <t>This is the module that defines the entry point.</t>
  </si>
  <si>
    <t>This module exposes several static utility methods.</t>
  </si>
  <si>
    <t>TestItemSortByString</t>
  </si>
  <si>
    <t>None</t>
  </si>
  <si>
    <t>This class exists solely to permit pairs of strings to be sorted based on the value of one of each pair.</t>
  </si>
  <si>
    <t>TestItemSortByString [ ] atiMasterList = LoadList ( astrMasterFile );</t>
  </si>
  <si>
    <t>TestItemSortByString [ ] atiNewItems = LoadList ( astrNewItems );</t>
  </si>
  <si>
    <t>TestItemSortByString [ ] atiMergedList = WizardWrx.ListHelpers.MergeNewItemsIntoArray ( atiMasterList , atiNewItems );</t>
  </si>
  <si>
    <t>foreach ( TestItemSortByString tiCurrentItem in atiMergedList )</t>
  </si>
  <si>
    <t>private static TestItemSortByString [ ] LoadList ( string [ ] pastrInputList )</t>
  </si>
  <si>
    <t>LoadList</t>
  </si>
  <si>
    <t>TestItemSortByString [ ] ratiItems = new TestItemSortByString [ lngLastItem ];</t>
  </si>
  <si>
    <t>ratiItems [ lngCurrentItem + ArrayInfo.INDEX_FROM_ORDINAL ] = new TestItemSortByString ( lngKey , astrFields [ VALUE_FIELD ] );</t>
  </si>
  <si>
    <t>This statement is part of the implementation of the Go method.</t>
  </si>
  <si>
    <t>This is the signatrue of a private method.</t>
  </si>
  <si>
    <t>These statements are part of the implementation of the private LoadList method.</t>
  </si>
  <si>
    <t>MaxStringLength_Tests, a new private static method in static class ImportsFromSharedUtl4 is called by its static void DoTheTests method.</t>
  </si>
  <si>
    <t>MergeNewItemsIntoArray_Tests, a new private static method in static class ImportsFromSharedUtl4 is called by its static void DoTheTests method.</t>
  </si>
  <si>
    <t>Message</t>
  </si>
  <si>
    <t>Category</t>
  </si>
  <si>
    <t>Event</t>
  </si>
  <si>
    <t>Time</t>
  </si>
  <si>
    <t>Machine</t>
  </si>
  <si>
    <t>Event Source</t>
  </si>
  <si>
    <t>Event Log</t>
  </si>
  <si>
    <t>Sequence</t>
  </si>
  <si>
    <t>WizardWrx</t>
  </si>
  <si>
    <t>ERROR</t>
  </si>
  <si>
    <t>ENIGMA</t>
  </si>
  <si>
    <t xml:space="preserve">An System.Exception exception was caught in routine DeduplicateExceptionLogs:                 Message          = Double Trouble: Up to version 6.2, this message would have displayed twice when neither standard stream is redirected.  Exception Method = Void DeduplicateExceptionLogs()  Exception Source = DLLServices2TestStand    Stack Trace Begin:     at DLLServices2TestStand.Program.DeduplicateExceptionLogs() in c:\Users\DAVE\Documents\Visual Studio 2013\Projects\WizardWrx_Libs\Wizardwrx\DLLServices2TestStand\Program.cs:line 742  End of Stack Trace    There are no further exceptions to report.    </t>
  </si>
  <si>
    <t xml:space="preserve">An System.IO.DirectoryNotFoundException exception was caught in routine WinIOError:                 Message          = Could not find a part of the path 'C:\Users\DAVE\Documents\Visual Studio 2013\Projects\WizardWrx_Libs\Wizardwrx\_NOTES\Test_Data\$$DATADIRNAME$$'.  Exception Method = Void WinIOError(Int32, System.String)  Exception Source = mscorlib    Stack Trace Begin:     at System.IO.__Error.WinIOError(Int32 errorCode, String maybeFullPath)     at System.IO.Directory.InternalGetFileDirectoryNames(String path, String userPathOriginal, String searchPattern, Boolean includeFiles, Boolean includeDirs, SearchOption searchOption)     at System.IO.Directory.GetFiles(String path, String searchPattern, SearchOption searchOption)     at DLLServices2TestStand.ImportsFromSharedUtl4.MergeNewItemsIntoArray_Tests() in c:\Users\DAVE\Documents\Visual Studio 2013\Projects\WizardWrx_Libs\Wizardwrx\DLLServices2TestStand\ImportsFromSharedUtl4.cs:line 230     at DLLServices2TestStand.ImportsFromSharedUtl4.DoTheTests(String[] pastrProgramArgs) in c:\Users\DAVE\Documents\Visual Studio 2013\Projects\WizardWrx_Libs\Wizardwrx\DLLServices2TestStand\ImportsFromSharedUtl4.cs:line 88  End of Stack Trace    There are no further exceptions to report.    </t>
  </si>
  <si>
    <t xml:space="preserve">An System.ArgumentException exception was caught in routine IntegerToHexStr:                 Message          = The type of the first argument, pintegralValue, is invalid.                 Argument value = 3.15159                 Argument type  = System.Double                                  Limitations of the underlying formatting engine                 restrict this method to integral types.                   Exception Method = System.String IntegerToHexStr[T](T, Int32, HexFormatDecoration)  Exception Source = WizardWrx.Common    Stack Trace Begin:     at WizardWrx.NumericFormats.IntegerToHexStr[T](T pintegralValue, Int32 pintTotalDigits, HexFormatDecoration penmHexDecoration) in c:\Users\DAVE\Documents\Visual Studio 2013\Projects\WizardWrx_Libs\Wizardwrx\Common\NumericFormats.cs:line 1209     at DLLServices2TestStand.NewClassTests_20140914.IntegerToHexStrExercises() in c:\Users\DAVE\Documents\Visual Studio 2013\Projects\WizardWrx_Libs\Wizardwrx\DLLServices2TestStand\NewClassTests_20140914.cs:line 547  End of Stack Trace    There are no further exceptions to report.    </t>
  </si>
  <si>
    <t xml:space="preserve">An System.Exception exception was caught in routine Main:                 Message          = Test Exception Message Number 2   Exception Method = Void Main(System.String[])  Exception Source = DLLServices2TestStand    Stack Trace Begin:     at DLLServices2TestStand.Program.Main(String[] pastrArgs) in c:\Users\DAVE\Documents\Visual Studio 2013\Projects\WizardWrx_Libs\Wizardwrx\DLLServices2TestStand\Program.cs:line 531  End of Stack Trace    There are no further exceptions to report.    </t>
  </si>
  <si>
    <t xml:space="preserve">An System.Exception exception was caught in routine Main:                 Message          = Test Exception Message Number 1   Exception Method = Void Main(System.String[])  Exception Source = DLLServices2TestStand    Stack Trace Begin:     at DLLServices2TestStand.Program.Main(String[] pastrArgs) in c:\Users\DAVE\Documents\Visual Studio 2013\Projects\WizardWrx_Libs\Wizardwrx\DLLServices2TestStand\Program.cs:line 506  End of Stack Trace    There are no further exceptions to report.    </t>
  </si>
  <si>
    <t xml:space="preserve">An System.ComponentModel.InvalidEnumArgumentException exception was caught in routine GetAssemblyProductAndVersion:                 Message          = The value of argument 'penmAssemblyVersionRequest' (0) is invalid for Enum type 'AssemblyVersionRequest'.                 Parameter name: penmAssemblyVersionRequest  Exception Method = System.String GetAssemblyProductAndVersion(AssemblyVersionRequest)  Exception Source = WizardWrx.DLLConfigurationManager    Stack Trace Begin:     at WizardWrx.DLLConfigurationManager.StateManager.GetAssemblyProductAndVersion(AssemblyVersionRequest penmAssemblyVersionRequest) in c:\Users\DAVE\Documents\Visual Studio 2013\Projects\WizardWrx_Libs\Wizardwrx\DLLConfigurationManager\StateManager.cs:line 653     at DLLServices2TestStand.Program.Main(String[] pastrArgs) in c:\Users\DAVE\Documents\Visual Studio 2013\Projects\WizardWrx_Libs\Wizardwrx\DLLServices2TestStand\Program.cs:line 429  End of Stack Trace    There are no further exceptions to report.    </t>
  </si>
  <si>
    <t>INFORMATION</t>
  </si>
  <si>
    <t xml:space="preserve">PESubsystemInfo constructor: Assembly FullName, per Domain Manager = ** UNDEFINED **                               Assembly FullName, per EmtryAssembly  = DLLServices2TestStand, Version=7.0.889.42864, Culture=neutral, PublicKeyToken=null  </t>
  </si>
  <si>
    <t xml:space="preserve">An System.IO.FileNotFoundException exception was caught in routine WinIOError:                 Message          = Could not find file 'C:\Users\DAVE\Documents\Visual Studio 2013\Projects\WizardWrx_Libs\Wizardwrx\_NOTES\Test_DataMaxStringLength.TXT'.  Exception Method = Void WinIOError(Int32, System.String)  Exception Source = mscorlib    Stack Trace Begin:     at System.IO.__Error.WinIOError(Int32 errorCode, String maybeFullPath)     at System.IO.FileStream.Init(String path, FileMode mode, FileAccess access, Int32 rights, Boolean useRights, FileShare share, Int32 bufferSize, FileOptions options, SECURITY_ATTRIBUTES secAttrs, String msgPath, Boolean bFromProxy)     at System.IO.FileStream..ctor(String path, FileMode mode, FileAccess access, FileShare share, Int32 bufferSize, FileOptions options, String msgPath, Boolean bFromProxy)     at System.IO.FileStream..ctor(String path, FileMode mode, FileAccess access, FileShare share, Int32 bufferSize, FileOptions options)     at System.IO.StreamReader..ctor(String path, Encoding encoding, Boolean detectEncodingFromByteOrderMarks, Int32 bufferSize)     at System.IO.StreamReader..ctor(String path, Encoding encoding)     at System.IO.File.ReadAllLines(String path, Encoding encoding)     at DLLServices2TestStand.MaxStringLength_Tester.UseInputFromFile() in c:\Users\DAVE\Documents\Visual Studio 2013\Projects\WizardWrx_Libs\Wizardwrx\DLLServices2TestStand\MaxStringLength_Tester.cs:line 192     at DLLServices2TestStand.MaxStringLength_Tester.Go() in c:\Users\DAVE\Documents\Visual Studio 2013\Projects\WizardWrx_Libs\Wizardwrx\DLLServices2TestStand\MaxStringLength_Tester.cs:line 148     at DLLServices2TestStand.ImportsFromSharedUtl4.MaxStringLength_Test_Case(MaxStringLength_Tester pTestKit, Int32&amp; pintTestNumber) in c:\Users\DAVE\Documents\Visual Studio 2013\Projects\WizardWrx_Libs\Wizardwrx\DLLServices2TestStand\ImportsFromSharedUtl4.cs:line 578     at DLLServices2TestStand.ImportsFromSharedUtl4.MaxStringLength_Tests() in c:\Users\DAVE\Documents\Visual Studio 2013\Projects\WizardWrx_Libs\Wizardwrx\DLLServices2TestStand\ImportsFromSharedUtl4.cs:line 191     at DLLServices2TestStand.ImportsFromSharedUtl4.DoTheTests(String[] pastrProgramArgs) in c:\Users\DAVE\Documents\Visual Studio 2013\Projects\WizardWrx_Libs\Wizardwrx\DLLServices2TestStand\ImportsFromSharedUtl4.cs:line 85  End of Stack Trace    There are no further exceptions to report.    </t>
  </si>
  <si>
    <t xml:space="preserve">PESubsystemInfo constructor: Assembly FullName, per Domain Manager = ** UNDEFINED **                               Assembly FullName, per EmtryAssembly  = DLLServices2TestStand, Version=7.0.888.41784, Culture=neutral, PublicKeyToken=null  </t>
  </si>
  <si>
    <t xml:space="preserve">An System.IO.DirectoryNotFoundException exception was caught in routine WinIOError:                 Message          = Could not find a part of the path 'C:\Users\DAVE\Documents\Visual Studio 2013\Projects\WizardWrx_Libs\Wizardwrx\_NOTES\$$DATADIRNAME$$\DependentAssemblyInfoReport.TXT'.  Exception Method = Void WinIOError(Int32, System.String)  Exception Source = mscorlib    Stack Trace Begin:     at System.IO.__Error.WinIOError(Int32 errorCode, String maybeFullPath)     at System.IO.FileStream.Init(String path, FileMode mode, FileAccess access, Int32 rights, Boolean useRights, FileShare share, Int32 bufferSize, FileOptions options, SECURITY_ATTRIBUTES secAttrs, String msgPath, Boolean bFromProxy)     at System.IO.FileStream..ctor(String path, FileMode mode, FileAccess access, FileShare share, Int32 bufferSize, FileOptions options, String msgPath, Boolean bFromProxy)     at System.IO.FileStream..ctor(String path, FileMode mode, FileAccess access, FileShare share, Int32 bufferSize, FileOptions options)     at System.IO.StreamWriter..ctor(String path, Boolean append, Encoding encoding, Int32 bufferSize)     at DLLServices2TestStand.Program.EnumerateDependentAssemblies() in c:\Users\DAVE\Documents\Visual Studio 2013\Projects\WizardWrx_Libs\Wizardwrx\DLLServices2TestStand\Program.cs:line 889     at DLLServices2TestStand.Program.Main(String[] pastrArgs) in c:\Users\DAVE\Documents\Visual Studio 2013\Projects\WizardWrx_Libs\Wizardwrx\DLLServices2TestStand\Program.cs:line 481  End of Stack Trace    There are no further exceptions to report.    </t>
  </si>
  <si>
    <t xml:space="preserve">PESubsystemInfo constructor: Assembly FullName, per Domain Manager = ** UNDEFINED **                               Assembly FullName, per EmtryAssembly  = DLLServices2TestStand, Version=7.0.887.41332, Culture=neutral, PublicKeyToken=null  </t>
  </si>
  <si>
    <t>Office Software Protection Platform Service</t>
  </si>
  <si>
    <t>UNKNOWN TYPE</t>
  </si>
  <si>
    <t xml:space="preserve">The Software Protection service has stopped.    </t>
  </si>
  <si>
    <t xml:space="preserve">The Software Protection service has completed licensing status check.  Application Id=59a52881-a989-479d-af46-f275c6370663  Licensing Status= 1: 46c84aad-65c7-482d-b82a-1edc52e6989a, 1, 1 [(0 [0x00000000, 1, 0], [(?)(?)( 1 0x00000000 3 0 msft:rm/algorithm/hwid/4.0 0x00000000 0)(?)(?)(?)])(1 )(2 )]    </t>
  </si>
  <si>
    <t xml:space="preserve">The Software Protection service has completed licensing status check.  Application Id=59a52881-a989-479d-af46-f275c6370663  Licensing Status= 1: 0993043d-664f-4b2e-a7f1-fd92091fa81f, 1, 1 [(0 [0x00000000, 1, 0], [(?)(?)( 1 0x00000000 3 0 msft:rm/algorithm/hwid/4.0 0x00000000 0)(?)(?)(?)])(1 )(2 )]    </t>
  </si>
  <si>
    <t xml:space="preserve">The Software Protection service has completed licensing status check.  Application Id=59a52881-a989-479d-af46-f275c6370663  Licensing Status= 1: 0993043d-664f-4b2e-a7f1-fd92091fa81f, 1, 1 [(0 [0x00000000, 1, 0], [(?)(?)( 1 0x00000000 3 0 msft:rm/algorithm/hwid/4.0 0x00000000 0)(?)(?)(?)])(1 )(2 )] 2: 0b172e55-95ae-4c78-8c58-81aa98ab7f94, 1, 0 [(0 [0xC004F014, 0, 0], [(?)(?)(?)(?)(?)(?)])(1 )(2 )] 3: 0ec894e8-a5a9-48de-9463-061c4801ee8f, 1, 0 [(0 [0xC004F014, 0, 0], [(?)(?)(?)(?)(?)(?)])(1 )(2 )] 4: 1359dce0-0dc8-4171-8c43-ba8b9f2e5d1d, 1, 0 [(0 [0xC004F014, 0, 0], [(?)(?)(?)(?)(?)(?)])(1 )(2 )] 5: 15a9d881-3184-45e0-b407-466a68a691b1, 1, 0 [(0 [0xC004F014, 0, 0], [(?)(?)(?)(?)(?)(?)])(1 )(2 )] 6: 28fe27a7-2e11-4c05-8dd0-e1f1c08dc3ae, 1, 0 [(0 [0xC004F014, 0, 0], [(?)(?)(?)(?)(?)(?)])(1 )(2 )] 7: 3513c04b-9085-43a9-8f9a-639993c19e80, 1, 0 [(0 [0xC004F014, 0, 0], [(?)(?)(?)(?)(?)(?)])(1 )(2 )] 8: 40becf98-1d17-43ef-989f-1d92396a2741, 1, 0 [(0 [0xC004F014, 0, 0], [(?)(?)(?)(?)(?)(?)])(1 )(2 )] 9: 42cbf3f6-4d5e-49c6-991a-0d99b8429a6d, 1, 0 [(0 [0xC004F014, 0, 0], [(?)(?)(?)(?)(?)(?)])(1 )(2 )] 10: 46c84aad-65c7-482d-b82a-1edc52e6989a, 1, 1 [(0 [0x00000000, 1, 0], [(?)(?)( 1 0x00000000 3 0 msft:rm/algorithm/hwid/4.0 0x00000000 0)(?)(?)(?)])(1 )(2 )] 11: 4cc91c85-44a8-4834-b15d-ffea4616e4e4, 1, 0 [(0 [0xC004F014, 0, 0], [(?)(?)(?)(?)(?)(?)])(1 )(2 )] 12: 66cad568-c2dc-459d-93ec-2f3cb967ee34, 1, 0 [(0 [0xC004F014, 0, 0], [(?)(?)(?)(?)(?)(?)])(1 )(2 )] 13: 673ea9ea-9bc0-463f-93e5-f77655e46630, 1, 0 [(0 [0xC004F014, 0, 0], [(?)(?)(?)(?)(?)(?)])(1 )(2 )] 14: 71af7e84-93e6-4363-9b69-699e04e74071, 1, 0 [(0 [0xC004F014, 0, 0], [(?)(?)(?)(?)(?)(?)])(1 )(2 )] 15: 75bb133b-f5dd-423c-8321-3bd0b50322a5, 1, 0 [(0 [0xC004F014, 0, 0], [(?)(?)(?)(?)(?)(?)])(1 )(2 )] 16: 7616c283-5c5b-4054-b52c-902f03e4dcdf, 1, 0 [(0 [0xC004F014, 0, 0], [(?)(?)(?)(?)(?)(?)])(1 )(2 )] 17: 8c5edb5d-9aa0-47a7-9416-d61c7419a60a, 1, 0 [(0 [0xC004F014, 0, 0], [(?)(?)(?)(?)(?)(?)])(1 )(2 )] 18: 8c5fa740-5dca-43f9-be1b-d0281bcf9779, 1, 0 [(0 [0xC004F014, 0, 0], [(?)(?)(?)(?)(?)(?)])(1 )(2 )] 19: a27df0c4-ae71-4ddd-bbeb-6d6222fe3a17, 1, 0 [(0 [0xC004F014, 0, 0], [(?)(?)(?)(?)(?)(?)])(1 )(2 )] 20: ba24d057-8b5f-462e-87fe-485038c68954, 1, 0 [(0 [0xC004F014, 0, 0], [(?)(?)(?)(?)(?)(?)])(1 )(2 )] 21: bb42dd2b-070c-4f5b-947a-55f56a16d4f3, 1, 0 [(0 [0xC004F014, 0, 0], [(?)(?)(?)(?)(?)(?)])(1 )(2 )] 22: c1ceda8b-c578-4d5d-a4aa-23626be4e234, 1, 0 [(0 [0xC004F014, 0, 0], [(?)(?)(?)(?)(?)(?)])(1 )(2 )] 23: d0a97e12-08a1-4a45-add5-1155b204e766, 1, 0 [(0 [0xC004F014, 0, 0], [(?)(?)(?)(?)(?)(?)])(1 )(2 )]    </t>
  </si>
  <si>
    <t>Outlook</t>
  </si>
  <si>
    <t xml:space="preserve">The store C:\Users\DAVE\Documents\Outlook Files\archive2.pst has detected a catalog checkpoint.  </t>
  </si>
  <si>
    <t xml:space="preserve">The store C:\Users\DAVE\AppData\Local\Microsoft\Outlook\dagray@p6lists.com - Office365.ost has detected a catalog checkpoint.  </t>
  </si>
  <si>
    <t xml:space="preserve">Reconciliation completed for the following store: C:\Users\DAVE\Documents\Outlook Files\archive2.pst. Stats: Added: 0, Deleted: 0, Modified: 0, Compared: 25729, Version: 14.0.7180.5000.  </t>
  </si>
  <si>
    <t xml:space="preserve">Reconciliation completed for the following store: C:\Users\DAVE\AppData\Local\Microsoft\Outlook\dagray@p6lists.com - Office365.ost. Stats: Added: 0, Deleted: 0, Modified: 4, Compared: 59784, Version: 14.0.7180.5000.  </t>
  </si>
  <si>
    <t xml:space="preserve">Starting reconciliation for the store C:\Users\DAVE\Documents\Outlook Files\archive2.pst for the following reason: Automatic Reconciliation.  </t>
  </si>
  <si>
    <t xml:space="preserve">Starting reconciliation for the store C:\Users\DAVE\AppData\Local\Microsoft\Outlook\dagray@p6lists.com - Office365.ost for the following reason: Automatic Reconciliation.  </t>
  </si>
  <si>
    <t xml:space="preserve">An System.IO.FileNotFoundException exception was caught in routine WinIOError:                 Message          = Could not find file 'C:\Users\DAVE\Documents\Visual Studio 2013\Projects\WizardWrx_Libs\Wizardwrx\_NOTES\MaxStringLength.TXT'.  Exception Method = Void WinIOError(Int32, System.String)  Exception Source = mscorlib    Stack Trace Begin:     at System.IO.__Error.WinIOError(Int32 errorCode, String maybeFullPath)     at System.IO.FileStream.Init(String path, FileMode mode, FileAccess access, Int32 rights, Boolean useRights, FileShare share, Int32 bufferSize, FileOptions options, SECURITY_ATTRIBUTES secAttrs, String msgPath, Boolean bFromProxy)     at System.IO.FileStream..ctor(String path, FileMode mode, FileAccess access, FileShare share, Int32 bufferSize, FileOptions options, String msgPath, Boolean bFromProxy)     at System.IO.FileStream..ctor(String path, FileMode mode, FileAccess access, FileShare share, Int32 bufferSize, FileOptions options)     at System.IO.StreamReader..ctor(String path, Encoding encoding, Boolean detectEncodingFromByteOrderMarks, Int32 bufferSize)     at System.IO.StreamReader..ctor(String path, Encoding encoding)     at System.IO.File.ReadAllLines(String path, Encoding encoding)     at DLLServices2TestStand.MaxStringLength_Tester.UseInputFromFile() in c:\Users\DAVE\Documents\Visual Studio 2013\Projects\WizardWrx_Libs\Wizardwrx\DLLServices2TestStand\MaxStringLength_Tester.cs:line 192     at DLLServices2TestStand.MaxStringLength_Tester.Go() in c:\Users\DAVE\Documents\Visual Studio 2013\Projects\WizardWrx_Libs\Wizardwrx\DLLServices2TestStand\MaxStringLength_Tester.cs:line 148     at DLLServices2TestStand.ImportsFromSharedUtl4.MaxStringLength_Test_Case(MaxStringLength_Tester pTestKit, Int32&amp; pintTestNumber) in c:\Users\DAVE\Documents\Visual Studio 2013\Projects\WizardWrx_Libs\Wizardwrx\DLLServices2TestStand\ImportsFromSharedUtl4.cs:line 578     at DLLServices2TestStand.ImportsFromSharedUtl4.MaxStringLength_Tests() in c:\Users\DAVE\Documents\Visual Studio 2013\Projects\WizardWrx_Libs\Wizardwrx\DLLServices2TestStand\ImportsFromSharedUtl4.cs:line 191     at DLLServices2TestStand.ImportsFromSharedUtl4.DoTheTests(String[] pastrProgramArgs) in c:\Users\DAVE\Documents\Visual Studio 2013\Projects\WizardWrx_Libs\Wizardwrx\DLLServices2TestStand\ImportsFromSharedUtl4.cs:line 85  End of Stack Trace    There are no further exceptions to report.    </t>
  </si>
  <si>
    <t xml:space="preserve">PESubsystemInfo constructor: Assembly FullName, per Domain Manager = ** UNDEFINED **                               Assembly FullName, per EmtryAssembly  = DLLServices2TestStand, Version=7.0.883.3471, Culture=neutral, PublicKeyToken=null  </t>
  </si>
  <si>
    <t xml:space="preserve">The Software Protection service has started.  15.0.169.500  </t>
  </si>
  <si>
    <t xml:space="preserve">Initialization status for service objects.  C:\Program Files\Common Files\Microsoft Shared\OfficeSoftwareProtectionPlatform\OSPPOBJS.DLL, msft:rm/algorithm/phone/1.0, 0x00000000, 0x00000000 C:\Program Files\Common Files\Microsoft Shared\OfficeSoftwareProtectionPlatform\OSPPOBJS.DLL, msft:rm/algorithm/pkey/detect, 0x00000000, 0x00000000 C:\Program Files\Common Files\Microsoft Shared\OfficeSoftwareProtectionPlatform\OSPPOBJS.DLL, msft:spp/TaskScheduler/1.0, 0x00000000, 0x00000000 C:\Program Files\Common Files\Microsoft Shared\OfficeSoftwareProtectionPlatform\OSPPOBJS.DLL, msft:spp/statecollector/pkey, 0x00000000, 0x00000000 C:\Program Files\Common Files\Microsoft Shared\OfficeSoftwareProtectionPlatform\OSPPOBJS.DLL, msft:spp/volume/services/kms/licenserenewal/1.0, 0x00000000, 0x00000000   </t>
  </si>
  <si>
    <t xml:space="preserve">Outlook loaded the following add-in(s):   Name: OneNote Notes about Outlook Items Description: Adds Send to OneNote and Notes about this Item buttons to the command bar ProgID: OneNote.OutlookAddin GUID: {B8DD1F2D-BED0-4298-B0D5-9B08F8FAD6CB} Load Behavior: 03 HKLM: 1 Location: C:\Program Files (x86)\Microsoft Office\Office14\ONBttnOL.dll Boot Time (Milliseconds): 47  Name: Microsoft Office Configuration Analyzer Tool Add-in Description: Microsoft Office Configuration Analyzer Tool (OffCAT) Add-in ProgID: OffCATv2_Addin.Connect GUID: {DAE467D6-5C66-404A-BD99-4AC8261A733A} Load Behavior: 03 HKLM: 0 Location: mscoree.dll Boot Time (Milliseconds): 4773   </t>
  </si>
  <si>
    <t xml:space="preserve">The Software Protection service is starting.    </t>
  </si>
  <si>
    <t>Windows Error Reporting</t>
  </si>
  <si>
    <t xml:space="preserve">Fault bucket 3445223910, type 29  Event Name: WindowsUpdateFailure3  Response: Not available  Cab Id: 0    Problem signature:  P1: 7.6.7601.23806  P2: 80070643  P3: F45EAEE4-7468-414C-A3F9-4B4B1F4F267A  P4: Install  P5: 200  P6: 0  P7: 80070650  P8: Microsoft Security Essentials (  P9: {7971F918-A847-4430-9279-4A52D1EFE18D}  P10: 0    Attached files:    These files may be available here:  C:\ProgramData\Microsoft\Windows\WER\ReportArchive\NonCritical_7.6.7601.23806_354aaa88e059442dbef30a1896354f6d49812de_0706056d    Analysis symbol:   Rechecking for solution: 0  Report Id: 7fa30091-8bd5-11e7-8e47-446d579f3509  Report Status: 0  </t>
  </si>
  <si>
    <t xml:space="preserve">Fault bucket , type 0  Event Name: WindowsUpdateFailure3  Response: Not available  Cab Id: 0    Problem signature:  P1: 7.6.7601.23806  P2: 80070643  P3: F45EAEE4-7468-414C-A3F9-4B4B1F4F267A  P4: Install  P5: 200  P6: 0  P7: 80070650  P8: Microsoft Security Essentials (  P9: {7971F918-A847-4430-9279-4A52D1EFE18D}  P10: 0    Attached files:    These files may be available here:  C:\ProgramData\Microsoft\Windows\WER\ReportQueue\NonCritical_7.6.7601.23806_354aaa88e059442dbef30a1896354f6d49812de_cab_1775ff07    Analysis symbol:   Rechecking for solution: 0  Report Id: 7fa30091-8bd5-11e7-8e47-446d579f3509  Report Status: 4  </t>
  </si>
  <si>
    <t xml:space="preserve">Fault bucket , type 0  Event Name: WindowsUpdateFailure3  Response: Not available  Cab Id: 0    Problem signature:  P1: 7.6.7601.23806  P2: 80070643  P3: F45EAEE4-7468-414C-A3F9-4B4B1F4F267A  P4: Install  P5: 200  P6: 0  P7: 80070650  P8: Microsoft Security Essentials (  P9: {7971F918-A847-4430-9279-4A52D1EFE18D}  P10: 0    Attached files:    These files may be available here:      Analysis symbol:   Rechecking for solution: 0  Report Id: 7fa30091-8bd5-11e7-8e47-446d579f3509  Report Status: 0  </t>
  </si>
  <si>
    <t>VSS</t>
  </si>
  <si>
    <t xml:space="preserve">The VSS service is shutting down due to idle timeout.    </t>
  </si>
  <si>
    <t>Inserted between LINEFEED and NULL_CHAR.</t>
  </si>
  <si>
    <t>CHECK_MARK_CHAR</t>
  </si>
  <si>
    <t>Inserted between BRACKET_RIGHT and COLON.</t>
  </si>
  <si>
    <t>LAST_ASCII_CHAR</t>
  </si>
  <si>
    <t>Inserted between HYPHEN and LINEFEED.</t>
  </si>
  <si>
    <t>NONBREAKING_SPACE_CHAR</t>
  </si>
  <si>
    <t>Windows Event Log IMPORT</t>
  </si>
  <si>
    <t>SharedUtl4 Test Classes</t>
  </si>
  <si>
    <t>Application Event Log 20170829</t>
  </si>
  <si>
    <t>OutputDirectoryName</t>
  </si>
  <si>
    <t>Prefix to Trim</t>
  </si>
  <si>
    <t>Prefix Length</t>
  </si>
  <si>
    <t>GUID</t>
  </si>
  <si>
    <t>TypeHandle</t>
  </si>
  <si>
    <t>GUIDBytes</t>
  </si>
  <si>
    <t>ByteCount</t>
  </si>
  <si>
    <t>IsExceptionType</t>
  </si>
  <si>
    <t>IsImplemented</t>
  </si>
  <si>
    <t>Index</t>
  </si>
  <si>
    <t>Ord. Hex</t>
  </si>
  <si>
    <t>Fully Qualified Exception Type</t>
  </si>
  <si>
    <t>EnumerationName</t>
  </si>
  <si>
    <t>System.Exception</t>
  </si>
  <si>
    <t>Exception</t>
  </si>
  <si>
    <t>\r\n</t>
  </si>
  <si>
    <t>a1c0a095-df97-3441-bfc1-c9f194e494db</t>
  </si>
  <si>
    <t>6DCA0EDC</t>
  </si>
  <si>
    <t>95A0C0A197DF4134BFC1C9F194E494DB</t>
  </si>
  <si>
    <t>System.ArgumentException</t>
  </si>
  <si>
    <t>ArgumentException</t>
  </si>
  <si>
    <t xml:space="preserve">\r\nParameter name: </t>
  </si>
  <si>
    <t>3fdceec6-b14b-37e2-bb69-abc7ca0da22f</t>
  </si>
  <si>
    <t>6DC875B4</t>
  </si>
  <si>
    <t>C6EEDC3F4BB1E237BB69ABC7CA0DA22F</t>
  </si>
  <si>
    <t>System.ArgumentOutOfRangeException</t>
  </si>
  <si>
    <t>ArgumentOutOfRangeException</t>
  </si>
  <si>
    <t>74bdd0b9-38d7-3fda-a67e-d404ee684f24</t>
  </si>
  <si>
    <t>6E2BBE20</t>
  </si>
  <si>
    <t>B9D0BD74D738DA3FA67ED404EE684F24</t>
  </si>
  <si>
    <t>System.ArgumentNullException</t>
  </si>
  <si>
    <t>ArgumentNullException</t>
  </si>
  <si>
    <t>3bd1f243-9bc4-305d-9b1c-0d10c80329fc</t>
  </si>
  <si>
    <t>6DC78E9C</t>
  </si>
  <si>
    <t>43F2D13BC49B5D309B1C0D10C80329FC</t>
  </si>
  <si>
    <t>System.ObjectDisposedException</t>
  </si>
  <si>
    <t>ObjectDisposedException</t>
  </si>
  <si>
    <t xml:space="preserve">\r\nObject name: </t>
  </si>
  <si>
    <t>f17baaf6-d35c-3c6e-acd3-d0d49a5022c4</t>
  </si>
  <si>
    <t>6DC9940C</t>
  </si>
  <si>
    <t>F6AA7BF15CD36E3CACD3D0D49A5022C4</t>
  </si>
  <si>
    <t>System.IO.IOException</t>
  </si>
  <si>
    <t>IOException</t>
  </si>
  <si>
    <t>a164c0bf-67ae-3c7e-bc05-bfe24a8cdb62</t>
  </si>
  <si>
    <t>6DC92F60</t>
  </si>
  <si>
    <t>BFC064A1AE677E3CBC05BFE24A8CDB62</t>
  </si>
  <si>
    <t>System.FormatException</t>
  </si>
  <si>
    <t>FormatException</t>
  </si>
  <si>
    <t>964aa3bd-4b12-3e23-9d7f-99342afae812</t>
  </si>
  <si>
    <t>6DC840F0</t>
  </si>
  <si>
    <t>BDA34A96124B233E9D7F99342AFAE812</t>
  </si>
  <si>
    <t>System.IO.FileNotFoundException</t>
  </si>
  <si>
    <t>FileNotFoundException</t>
  </si>
  <si>
    <t>48c6e96f-a2f3-33e7-ba7f-c8f74866760b</t>
  </si>
  <si>
    <t>6DC87658</t>
  </si>
  <si>
    <t>6FE9C648F3A2E733BA7FC8F74866760B</t>
  </si>
  <si>
    <t>System.IO.DirectoryNotFoundException</t>
  </si>
  <si>
    <t>DirectoryNotFoundException</t>
  </si>
  <si>
    <t>8833bc41-dc6b-34b9-a799-682d2554f02f</t>
  </si>
  <si>
    <t>6DC7EF10</t>
  </si>
  <si>
    <t>41BC33886BDCB934A799682D2554F02F</t>
  </si>
  <si>
    <t>System.IO.DriveNotFoundException</t>
  </si>
  <si>
    <t>DriveNotFoundException</t>
  </si>
  <si>
    <t>a8f9f740-70c9-30a7-937c-59785a9bb5a4</t>
  </si>
  <si>
    <t>6E2CD4DC</t>
  </si>
  <si>
    <t>40F7F9A8C970A730937C59785A9BB5A4</t>
  </si>
  <si>
    <t>System.IO.EndOfStreamException</t>
  </si>
  <si>
    <t>EndOfStreamException</t>
  </si>
  <si>
    <t>58d052bc-a3df-3508-ac95-ff297bdc9f0c</t>
  </si>
  <si>
    <t>6E2CD574</t>
  </si>
  <si>
    <t>BC52D058DFA30835AC95FF297BDC9F0C</t>
  </si>
  <si>
    <t>System.IO.InternalBufferOverflowException</t>
  </si>
  <si>
    <t>InternalBufferOverflowException</t>
  </si>
  <si>
    <t>db65ddb4-f5ea-3428-bf23-33b871b0792a</t>
  </si>
  <si>
    <t>6D6A92D4</t>
  </si>
  <si>
    <t>B4DD65DBEAF52834BF2333B871B0792A</t>
  </si>
  <si>
    <t>System.IO.InvalidDataException</t>
  </si>
  <si>
    <t>InvalidDataException</t>
  </si>
  <si>
    <t>1cdfe7d7-4ac8-327a-87ab-d2c30cfbb508</t>
  </si>
  <si>
    <t>6D69AD18</t>
  </si>
  <si>
    <t>D7E7DF1CC84A7A3287ABD2C30CFBB508</t>
  </si>
  <si>
    <t>System.IO.PathTooLongException</t>
  </si>
  <si>
    <t>PathTooLongException</t>
  </si>
  <si>
    <t>c016a313-9606-36d3-a823-33ebf5006189</t>
  </si>
  <si>
    <t>6DC8F338</t>
  </si>
  <si>
    <t>13A316C00696D336A82333EBF5006189</t>
  </si>
  <si>
    <t>System.InvalidCastException</t>
  </si>
  <si>
    <t>InvalidCastException</t>
  </si>
  <si>
    <t>7f6bcbe5-eb30-370b-9f1b-92a6265afedd</t>
  </si>
  <si>
    <t>6E2C09E0</t>
  </si>
  <si>
    <t>E5CB6B7F30EB0B379F1B92A6265AFEDD</t>
  </si>
  <si>
    <t>System.InvalidOperationException</t>
  </si>
  <si>
    <t>InvalidOperationException</t>
  </si>
  <si>
    <t>9546306b-1b68-33af-80db-3a9206501515</t>
  </si>
  <si>
    <t>6DC88E44</t>
  </si>
  <si>
    <t>6B304695681BAF3380DB3A9206501515</t>
  </si>
  <si>
    <t>System.NullReferenceException</t>
  </si>
  <si>
    <t>NullReferenceException</t>
  </si>
  <si>
    <t>7f71db2d-1ea0-3cae-8087-26095f5215e6</t>
  </si>
  <si>
    <t>6DC9031C</t>
  </si>
  <si>
    <t>2DDB717FA01EAE3C808726095F5215E6</t>
  </si>
  <si>
    <t>System.OutOfMemoryException</t>
  </si>
  <si>
    <t>OutOfMemoryException</t>
  </si>
  <si>
    <t>ccf306ae-33bd-3003-9cce-daf5befef611</t>
  </si>
  <si>
    <t>6DCA0F6C</t>
  </si>
  <si>
    <t>AE06F3CCBD3303309CCEDAF5BEFEF611</t>
  </si>
  <si>
    <t>System.OverflowException</t>
  </si>
  <si>
    <t>OverflowException</t>
  </si>
  <si>
    <t>4286fa72-a2fa-3245-8751-d4206070a191</t>
  </si>
  <si>
    <t>6E2C0FDC</t>
  </si>
  <si>
    <t>72FA8642FAA245328751D4206070A191</t>
  </si>
  <si>
    <t>System.PlatformNotSupportedException</t>
  </si>
  <si>
    <t>PlatformNotSupportedException</t>
  </si>
  <si>
    <t>a36738b5-fa8f-3316-a929-68099a32b43b</t>
  </si>
  <si>
    <t>6E2C106C</t>
  </si>
  <si>
    <t>B53867A38FFA1633A92968099A32B43B</t>
  </si>
  <si>
    <t>System.RankException</t>
  </si>
  <si>
    <t>RankException</t>
  </si>
  <si>
    <t>c9f61cbd-287f-3d24-9feb-2c3f347cf570</t>
  </si>
  <si>
    <t>6E2C10FC</t>
  </si>
  <si>
    <t>BD1CF6C97F28243D9FEB2C3F347CF570</t>
  </si>
  <si>
    <t>System.StackOverflowException</t>
  </si>
  <si>
    <t>StackOverflowException</t>
  </si>
  <si>
    <t>9c125a6f-eae2-3fc1-97a1-c0dceab0b5df</t>
  </si>
  <si>
    <t>6DCA0FFC</t>
  </si>
  <si>
    <t>6F5A129CE2EAC13F97A1C0DCEAB0B5DF</t>
  </si>
  <si>
    <t>System.TimeoutException</t>
  </si>
  <si>
    <t>TimeoutException</t>
  </si>
  <si>
    <t>eaa78d4a-20a3-3fde-ab72-d3d55e3aefe6</t>
  </si>
  <si>
    <t>6DC861E0</t>
  </si>
  <si>
    <t>4A8DA7EAA320DE3FAB72D3D55E3AEFE6</t>
  </si>
  <si>
    <t>System.TypeInitializationException</t>
  </si>
  <si>
    <t>TypeInitializationException</t>
  </si>
  <si>
    <t>811fb5f2-9bfe-3557-83de-1279f0b3eb55</t>
  </si>
  <si>
    <t>6E2C12D8</t>
  </si>
  <si>
    <t>F2B51F81FE9B573583DE1279F0B3EB55</t>
  </si>
  <si>
    <t>System.TypeLoadException</t>
  </si>
  <si>
    <t>TypeLoadException</t>
  </si>
  <si>
    <t>112bc2e7-9ef9-3648-af9e-45c0d4b89929</t>
  </si>
  <si>
    <t>6E2BD0FC</t>
  </si>
  <si>
    <t>E7C22B11F99E4836AF9E45C0D4B89929</t>
  </si>
  <si>
    <t>System.TypeUnloadedException</t>
  </si>
  <si>
    <t>TypeUnloadedException</t>
  </si>
  <si>
    <t>d6d2034d-5f67-30d7-9cc5-452f2c46694f</t>
  </si>
  <si>
    <t>6E2BCC84</t>
  </si>
  <si>
    <t>4D03D2D6675FD7309CC5452F2C46694F</t>
  </si>
  <si>
    <t>System.UnauthorizedAccessException</t>
  </si>
  <si>
    <t>UnauthorizedAccessException</t>
  </si>
  <si>
    <t>75215200-a2fe-30f6-a34b-8f1a1830358e</t>
  </si>
  <si>
    <t>6DC81304</t>
  </si>
  <si>
    <t>00522175FEA2F630A34B8F1A1830358E</t>
  </si>
  <si>
    <t>System.UriFormatException</t>
  </si>
  <si>
    <t>UriFormatException</t>
  </si>
  <si>
    <t>6e166c25-c510-3721-b814-17d72aadc821</t>
  </si>
  <si>
    <t>6D22B53C</t>
  </si>
  <si>
    <t>256C166E10C52137B81417D72AADC821</t>
  </si>
  <si>
    <t>System.Text.DecoderFallbackException</t>
  </si>
  <si>
    <t>DecoderFallbackException</t>
  </si>
  <si>
    <t>84fc747a-1940-3d85-8819-ea53fc73db1b</t>
  </si>
  <si>
    <t>6E2CA284</t>
  </si>
  <si>
    <t>7A74FC844019853D8819EA53FC73DB1B</t>
  </si>
  <si>
    <t>System.Text.EncoderFallbackException</t>
  </si>
  <si>
    <t>EncoderFallbackException</t>
  </si>
  <si>
    <t>8078da75-f43f-341d-a00e-20d6d736415e</t>
  </si>
  <si>
    <t>6E2CA44C</t>
  </si>
  <si>
    <t>75DA78803FF41D34A00E20D6D736415E</t>
  </si>
  <si>
    <t>System.Security.SecurityException</t>
  </si>
  <si>
    <t>SecurityException</t>
  </si>
  <si>
    <t>eef05c76-5c98-3685-a69c-6e1a26a7f846</t>
  </si>
  <si>
    <t>6DC89FEC</t>
  </si>
  <si>
    <t>765CF0EE985C8536A69C6E1A26A7F846</t>
  </si>
  <si>
    <t>System.Security.VerificationException</t>
  </si>
  <si>
    <t>VerificationException</t>
  </si>
  <si>
    <t>ebaa029c-01c0-32b6-aae6-fe21adfc3e5d</t>
  </si>
  <si>
    <t>6E2CF5E4</t>
  </si>
  <si>
    <t>9C02AAEBC001B632AAE6FE21ADFC3E5D</t>
  </si>
  <si>
    <t>System.Security.XmlSyntaxException</t>
  </si>
  <si>
    <t>XmlSyntaxException</t>
  </si>
  <si>
    <t>e38da416-8050-3786-8201-46f187c15213</t>
  </si>
  <si>
    <t>6E2CE634</t>
  </si>
  <si>
    <t>16A48DE350808637820146F187C15213</t>
  </si>
  <si>
    <t>System.Xml.XmlException</t>
  </si>
  <si>
    <t>XmlException</t>
  </si>
  <si>
    <t>542042d1-f457-38a7-86fa-d16b43ffea86</t>
  </si>
  <si>
    <t>69F3E89C</t>
  </si>
  <si>
    <t>D142205457F4A73886FAD16B43FFEA86</t>
  </si>
  <si>
    <t>System.Configuration.SettingsPropertyIsReadOnlyException</t>
  </si>
  <si>
    <t>SettingsPropertyIsReadOnlyException</t>
  </si>
  <si>
    <t>151d467d-e0ab-3dc7-8d7c-b44e6eeafe68</t>
  </si>
  <si>
    <t>6D6A8F68</t>
  </si>
  <si>
    <t>7D461D15ABE0C73D8D7CB44E6EEAFE68</t>
  </si>
  <si>
    <t>System.Configuration.SettingsPropertyNotFoundException</t>
  </si>
  <si>
    <t>SettingsPropertyNotFoundException</t>
  </si>
  <si>
    <t>8ae5ead1-0a82-3edd-845d-a11891faea86</t>
  </si>
  <si>
    <t>6D6A8FF8</t>
  </si>
  <si>
    <t>D1EAE58A820ADD3E845DA11891FAEA86</t>
  </si>
  <si>
    <t>System.Configuration.SettingsPropertyWrongTypeException</t>
  </si>
  <si>
    <t>SettingsPropertyWrongTypeException</t>
  </si>
  <si>
    <t>a743160a-76c2-3343-97ec-1422564882fa</t>
  </si>
  <si>
    <t>6D6A9088</t>
  </si>
  <si>
    <t>0A1643A7C276433397EC1422564882FA</t>
  </si>
  <si>
    <t>System.Reflection.AmbiguousMatchException</t>
  </si>
  <si>
    <t>AmbiguousMatchException</t>
  </si>
  <si>
    <t>2846ae5e-a9fa-36cf-b2d1-6e95596dbde7</t>
  </si>
  <si>
    <t>6E2C7D1C</t>
  </si>
  <si>
    <t>5EAE4628FAA9CF36B2D16E95596DBDE7</t>
  </si>
  <si>
    <t>System.Reflection.CustomAttributeFormatException</t>
  </si>
  <si>
    <t>CustomAttributeFormatException</t>
  </si>
  <si>
    <t>d5cb383d-99f4-3c7e-a9c3-85b53661448f</t>
  </si>
  <si>
    <t>6E2C7FA0</t>
  </si>
  <si>
    <t>3D38CBD5F4997E3CA9C385B53661448F</t>
  </si>
  <si>
    <t>System.Reflection.InvalidFilterCriteriaException</t>
  </si>
  <si>
    <t>InvalidFilterCriteriaException</t>
  </si>
  <si>
    <t>7b938a6f-77bf-351c-a712-69483c91115d</t>
  </si>
  <si>
    <t>6E2BBF4C</t>
  </si>
  <si>
    <t>6F8A937BBF771C35A71269483C91115D</t>
  </si>
  <si>
    <t>System.Reflection.TargetParameterCountException</t>
  </si>
  <si>
    <t>TargetParameterCountException</t>
  </si>
  <si>
    <t>da317be2-1a0d-37b3-83f2-a0f32787fc67</t>
  </si>
  <si>
    <t>6E2C847C</t>
  </si>
  <si>
    <t>E27B31DA0D1AB33783F2A0F32787FC67</t>
  </si>
  <si>
    <t>Choice</t>
  </si>
  <si>
    <t>Encoder Name</t>
  </si>
  <si>
    <t>EncoderName</t>
  </si>
  <si>
    <t>Encoder Description</t>
  </si>
  <si>
    <t>Encoder GUID</t>
  </si>
  <si>
    <t>Encoder GUID Bytes</t>
  </si>
  <si>
    <t>System.Text.ASCIIEncoding</t>
  </si>
  <si>
    <t>ASCIIEncoding</t>
  </si>
  <si>
    <t>9e28ef95-9c6f-3a00-b525-36a76178cc9c</t>
  </si>
  <si>
    <t>6DC87834</t>
  </si>
  <si>
    <t>95EF289E6F9C003AB52536A76178CC9C</t>
  </si>
  <si>
    <t>ASCII</t>
  </si>
  <si>
    <t>System.Text.UnicodeEncoding</t>
  </si>
  <si>
    <t>UnicodeEncoding</t>
  </si>
  <si>
    <t>a0f5f5dc-337b-38d7-b1a3-fb1b95666bbf</t>
  </si>
  <si>
    <t>6DC9AE94</t>
  </si>
  <si>
    <t>DCF5F5A07B33D738B1A3FB1B95666BBF</t>
  </si>
  <si>
    <t>Unicode</t>
  </si>
  <si>
    <t>System.Text.UTF7Encoding</t>
  </si>
  <si>
    <t>UTF7Encoding</t>
  </si>
  <si>
    <t>3c9dca8b-4410-3143-b801-559553eb6725</t>
  </si>
  <si>
    <t>6E2CAC60</t>
  </si>
  <si>
    <t>8BCA9D3C10444331B801559553EB6725</t>
  </si>
  <si>
    <t>UTF-7</t>
  </si>
  <si>
    <t>System.Text.UTF8Encoding</t>
  </si>
  <si>
    <t>UTF8Encoding</t>
  </si>
  <si>
    <t>8c40d44a-4ede-3760-9b61-50255056d3c7</t>
  </si>
  <si>
    <t>6DCA3DEC</t>
  </si>
  <si>
    <t>4AD4408CDE4E60379B6150255056D3C7</t>
  </si>
  <si>
    <t>UTF-8</t>
  </si>
  <si>
    <t>System.Text.UTF32Encoding</t>
  </si>
  <si>
    <t>UTF32Encoding</t>
  </si>
  <si>
    <t>ae62c05d-0a02-30e7-9b51-e9d4dd157207</t>
  </si>
  <si>
    <t>6E2CAF10</t>
  </si>
  <si>
    <t>5DC062AE020AE7309B51E9D4DD157207</t>
  </si>
  <si>
    <t>UTF-32</t>
  </si>
  <si>
    <t>Member name</t>
  </si>
  <si>
    <t>KeysEnumLab DisplayKeys</t>
  </si>
  <si>
    <t>A</t>
  </si>
  <si>
    <t>The A key.</t>
  </si>
  <si>
    <t>Add</t>
  </si>
  <si>
    <t>The add key.</t>
  </si>
  <si>
    <t>Alt</t>
  </si>
  <si>
    <t>The ALT modifier key.</t>
  </si>
  <si>
    <t>Apps</t>
  </si>
  <si>
    <t>The application key (Microsoft Natural Keyboard).</t>
  </si>
  <si>
    <t>Attn</t>
  </si>
  <si>
    <t>The ATTN key.</t>
  </si>
  <si>
    <t>B</t>
  </si>
  <si>
    <t>The B key.</t>
  </si>
  <si>
    <t>Back</t>
  </si>
  <si>
    <t>The BACKSPACE key.</t>
  </si>
  <si>
    <t>BrowserBack</t>
  </si>
  <si>
    <t>The browser back key (Windows 2000 or later).</t>
  </si>
  <si>
    <t>BrowserFavorites</t>
  </si>
  <si>
    <t>The browser favorites key (Windows 2000 or later).</t>
  </si>
  <si>
    <t>BrowserForward</t>
  </si>
  <si>
    <t>The browser forward key (Windows 2000 or later).</t>
  </si>
  <si>
    <t>BrowserHome</t>
  </si>
  <si>
    <t>The browser home key (Windows 2000 or later).</t>
  </si>
  <si>
    <t>BrowserRefresh</t>
  </si>
  <si>
    <t>The browser refresh key (Windows 2000 or later).</t>
  </si>
  <si>
    <t>BrowserSearch</t>
  </si>
  <si>
    <t>The browser search key (Windows 2000 or later).</t>
  </si>
  <si>
    <t>BrowserStop</t>
  </si>
  <si>
    <t>The browser stop key (Windows 2000 or later).</t>
  </si>
  <si>
    <t>C</t>
  </si>
  <si>
    <t>The C key.</t>
  </si>
  <si>
    <t>Cancel</t>
  </si>
  <si>
    <t>The CANCEL key.</t>
  </si>
  <si>
    <t>Capital</t>
  </si>
  <si>
    <t>The CAPS LOCK key.</t>
  </si>
  <si>
    <t>CapsLock</t>
  </si>
  <si>
    <t>Clear</t>
  </si>
  <si>
    <t>The CLEAR key.</t>
  </si>
  <si>
    <t>Control</t>
  </si>
  <si>
    <t>The CTRL modifier key.</t>
  </si>
  <si>
    <t>ControlKey</t>
  </si>
  <si>
    <t>The CTRL key.</t>
  </si>
  <si>
    <t>Crsel</t>
  </si>
  <si>
    <t>The CRSEL key.</t>
  </si>
  <si>
    <t>D</t>
  </si>
  <si>
    <t>The D key.</t>
  </si>
  <si>
    <t>D0</t>
  </si>
  <si>
    <t>The 0 key.</t>
  </si>
  <si>
    <t>D1</t>
  </si>
  <si>
    <t>The 1 key.</t>
  </si>
  <si>
    <t>D2</t>
  </si>
  <si>
    <t>The 2 key.</t>
  </si>
  <si>
    <t>D3</t>
  </si>
  <si>
    <t>The 3 key.</t>
  </si>
  <si>
    <t>D4</t>
  </si>
  <si>
    <t>The 4 key.</t>
  </si>
  <si>
    <t>D5</t>
  </si>
  <si>
    <t>The 5 key.</t>
  </si>
  <si>
    <t>D6</t>
  </si>
  <si>
    <t>The 6 key.</t>
  </si>
  <si>
    <t>D7</t>
  </si>
  <si>
    <t>The 7 key.</t>
  </si>
  <si>
    <t>D8</t>
  </si>
  <si>
    <t>The 8 key.</t>
  </si>
  <si>
    <t>D9</t>
  </si>
  <si>
    <t>The 9 key.</t>
  </si>
  <si>
    <t>Decimal</t>
  </si>
  <si>
    <t>The decimal key.</t>
  </si>
  <si>
    <t>Delete</t>
  </si>
  <si>
    <t>The DEL key.</t>
  </si>
  <si>
    <t>Divide</t>
  </si>
  <si>
    <t>The divide key.</t>
  </si>
  <si>
    <t>Down</t>
  </si>
  <si>
    <t>The DOWN ARROW key.</t>
  </si>
  <si>
    <t>E</t>
  </si>
  <si>
    <t>The E key.</t>
  </si>
  <si>
    <t>End</t>
  </si>
  <si>
    <t>The END key.</t>
  </si>
  <si>
    <t>Enter</t>
  </si>
  <si>
    <t>The ENTER key.</t>
  </si>
  <si>
    <t>EraseEof</t>
  </si>
  <si>
    <t>The ERASE EOF key.</t>
  </si>
  <si>
    <t>Escape</t>
  </si>
  <si>
    <t>The ESC key.</t>
  </si>
  <si>
    <t>Execute</t>
  </si>
  <si>
    <t>The EXECUTE key.</t>
  </si>
  <si>
    <t>Exsel</t>
  </si>
  <si>
    <t>The EXSEL key.</t>
  </si>
  <si>
    <t>F</t>
  </si>
  <si>
    <t>The F key.</t>
  </si>
  <si>
    <t>F1</t>
  </si>
  <si>
    <t>The F1 key.</t>
  </si>
  <si>
    <t>F10</t>
  </si>
  <si>
    <t>The F10 key.</t>
  </si>
  <si>
    <t>F11</t>
  </si>
  <si>
    <t>The F11 key.</t>
  </si>
  <si>
    <t>F12</t>
  </si>
  <si>
    <t>The F12 key.</t>
  </si>
  <si>
    <t>F13</t>
  </si>
  <si>
    <t>The F13 key.</t>
  </si>
  <si>
    <t>F14</t>
  </si>
  <si>
    <t>The F14 key.</t>
  </si>
  <si>
    <t>F15</t>
  </si>
  <si>
    <t>The F15 key.</t>
  </si>
  <si>
    <t>F16</t>
  </si>
  <si>
    <t>The F16 key.</t>
  </si>
  <si>
    <t>F17</t>
  </si>
  <si>
    <t>The F17 key.</t>
  </si>
  <si>
    <t>F18</t>
  </si>
  <si>
    <t>The F18 key.</t>
  </si>
  <si>
    <t>F19</t>
  </si>
  <si>
    <t>The F19 key.</t>
  </si>
  <si>
    <t>F2</t>
  </si>
  <si>
    <t>The F2 key.</t>
  </si>
  <si>
    <t>F20</t>
  </si>
  <si>
    <t>The F20 key.</t>
  </si>
  <si>
    <t>F21</t>
  </si>
  <si>
    <t>The F21 key.</t>
  </si>
  <si>
    <t>F22</t>
  </si>
  <si>
    <t>The F22 key.</t>
  </si>
  <si>
    <t>F23</t>
  </si>
  <si>
    <t>The F23 key.</t>
  </si>
  <si>
    <t>F24</t>
  </si>
  <si>
    <t>The F24 key.</t>
  </si>
  <si>
    <t>F3</t>
  </si>
  <si>
    <t>The F3 key.</t>
  </si>
  <si>
    <t>F4</t>
  </si>
  <si>
    <t>The F4 key.</t>
  </si>
  <si>
    <t>F5</t>
  </si>
  <si>
    <t>The F5 key.</t>
  </si>
  <si>
    <t>F6</t>
  </si>
  <si>
    <t>The F6 key.</t>
  </si>
  <si>
    <t>F7</t>
  </si>
  <si>
    <t>The F7 key.</t>
  </si>
  <si>
    <t>F8</t>
  </si>
  <si>
    <t>The F8 key.</t>
  </si>
  <si>
    <t>F9</t>
  </si>
  <si>
    <t>The F9 key.</t>
  </si>
  <si>
    <t>FinalMode</t>
  </si>
  <si>
    <t>The IME final mode key.</t>
  </si>
  <si>
    <t>G</t>
  </si>
  <si>
    <t>The G key.</t>
  </si>
  <si>
    <t>H</t>
  </si>
  <si>
    <t>The H key.</t>
  </si>
  <si>
    <t>HanguelMode</t>
  </si>
  <si>
    <r>
      <t>The IME Hanguel mode key. (maintained for compatibility; use </t>
    </r>
    <r>
      <rPr>
        <b/>
        <sz val="10"/>
        <color rgb="FF2A2A2A"/>
        <rFont val="Consolas"/>
        <family val="3"/>
      </rPr>
      <t>HangulMode</t>
    </r>
    <r>
      <rPr>
        <sz val="10"/>
        <color rgb="FF2A2A2A"/>
        <rFont val="Consolas"/>
        <family val="3"/>
      </rPr>
      <t>)</t>
    </r>
  </si>
  <si>
    <t>HangulMode</t>
  </si>
  <si>
    <t>The IME Hangul mode key.</t>
  </si>
  <si>
    <t>HanjaMode</t>
  </si>
  <si>
    <t>The IME Hanja mode key.</t>
  </si>
  <si>
    <t>Help</t>
  </si>
  <si>
    <t>The HELP key.</t>
  </si>
  <si>
    <t>Home</t>
  </si>
  <si>
    <t>The HOME key.</t>
  </si>
  <si>
    <t>I</t>
  </si>
  <si>
    <t>The I key.</t>
  </si>
  <si>
    <t>IMEAccept</t>
  </si>
  <si>
    <t>The IME accept key, replaces IMEAceept.</t>
  </si>
  <si>
    <t>IMEAceept</t>
  </si>
  <si>
    <t>The IME accept key. Obsolete, use IMEAccept instead.</t>
  </si>
  <si>
    <t>IMEConvert</t>
  </si>
  <si>
    <t>The IME convert key.</t>
  </si>
  <si>
    <t>IMEModeChange</t>
  </si>
  <si>
    <t>The IME mode change key.</t>
  </si>
  <si>
    <t>IMENonconvert</t>
  </si>
  <si>
    <t>The IME nonconvert key.</t>
  </si>
  <si>
    <t>Insert</t>
  </si>
  <si>
    <t>The INS key.</t>
  </si>
  <si>
    <t>J</t>
  </si>
  <si>
    <t>The J key.</t>
  </si>
  <si>
    <t>JunjaMode</t>
  </si>
  <si>
    <t>The IME Junja mode key.</t>
  </si>
  <si>
    <t>K</t>
  </si>
  <si>
    <t>The K key.</t>
  </si>
  <si>
    <t>KanaMode</t>
  </si>
  <si>
    <t>The IME Kana mode key.</t>
  </si>
  <si>
    <t>KanjiMode</t>
  </si>
  <si>
    <t>The IME Kanji mode key.</t>
  </si>
  <si>
    <t>KeyCode</t>
  </si>
  <si>
    <t>The bitmask to extract a key code from a key value.</t>
  </si>
  <si>
    <t>L</t>
  </si>
  <si>
    <t>The L key.</t>
  </si>
  <si>
    <t>LaunchApplication1</t>
  </si>
  <si>
    <t>The start application one key (Windows 2000 or later).</t>
  </si>
  <si>
    <t>LaunchApplication2</t>
  </si>
  <si>
    <t>The start application two key (Windows 2000 or later).</t>
  </si>
  <si>
    <t>LaunchMail</t>
  </si>
  <si>
    <t>The launch mail key (Windows 2000 or later).</t>
  </si>
  <si>
    <t>LButton</t>
  </si>
  <si>
    <t>The left mouse button.</t>
  </si>
  <si>
    <t>LControlKey</t>
  </si>
  <si>
    <t>The left CTRL key.</t>
  </si>
  <si>
    <t>Left</t>
  </si>
  <si>
    <t>The LEFT ARROW key.</t>
  </si>
  <si>
    <t>LineFeed</t>
  </si>
  <si>
    <t>The LINEFEED key.</t>
  </si>
  <si>
    <t>LMenu</t>
  </si>
  <si>
    <t>The left ALT key.</t>
  </si>
  <si>
    <t>LShiftKey</t>
  </si>
  <si>
    <t>The left SHIFT key.</t>
  </si>
  <si>
    <t>LWin</t>
  </si>
  <si>
    <t>The left Windows logo key (Microsoft Natural Keyboard).</t>
  </si>
  <si>
    <t>M</t>
  </si>
  <si>
    <t>The M key.</t>
  </si>
  <si>
    <t>MButton</t>
  </si>
  <si>
    <t>The middle mouse button (three-button mouse).</t>
  </si>
  <si>
    <t>MediaNextTrack</t>
  </si>
  <si>
    <t>The media next track key (Windows 2000 or later).</t>
  </si>
  <si>
    <t>MediaPlayPause</t>
  </si>
  <si>
    <t>The media play pause key (Windows 2000 or later).</t>
  </si>
  <si>
    <t>MediaPreviousTrack</t>
  </si>
  <si>
    <t>The media previous track key (Windows 2000 or later).</t>
  </si>
  <si>
    <t>MediaStop</t>
  </si>
  <si>
    <t>The media Stop key (Windows 2000 or later).</t>
  </si>
  <si>
    <t>Menu</t>
  </si>
  <si>
    <t>The ALT key.</t>
  </si>
  <si>
    <t>Modifiers</t>
  </si>
  <si>
    <t>The bitmask to extract modifiers from a key value.</t>
  </si>
  <si>
    <t>Multiply</t>
  </si>
  <si>
    <t>The multiply key.</t>
  </si>
  <si>
    <t>N</t>
  </si>
  <si>
    <t>The N key.</t>
  </si>
  <si>
    <t>Next</t>
  </si>
  <si>
    <t>The PAGE DOWN key.</t>
  </si>
  <si>
    <t>NoName</t>
  </si>
  <si>
    <t>A constant reserved for future use.</t>
  </si>
  <si>
    <t>No key pressed.</t>
  </si>
  <si>
    <t>NumLock</t>
  </si>
  <si>
    <t>The NUM LOCK key.</t>
  </si>
  <si>
    <t>NumPad0</t>
  </si>
  <si>
    <t>The 0 key on the numeric keypad.</t>
  </si>
  <si>
    <t>NumPad1</t>
  </si>
  <si>
    <t>The 1 key on the numeric keypad.</t>
  </si>
  <si>
    <t>NumPad2</t>
  </si>
  <si>
    <t>The 2 key on the numeric keypad.</t>
  </si>
  <si>
    <t>NumPad3</t>
  </si>
  <si>
    <t>The 3 key on the numeric keypad.</t>
  </si>
  <si>
    <t>NumPad4</t>
  </si>
  <si>
    <t>The 4 key on the numeric keypad.</t>
  </si>
  <si>
    <t>NumPad5</t>
  </si>
  <si>
    <t>The 5 key on the numeric keypad.</t>
  </si>
  <si>
    <t>NumPad6</t>
  </si>
  <si>
    <t>The 6 key on the numeric keypad.</t>
  </si>
  <si>
    <t>NumPad7</t>
  </si>
  <si>
    <t>The 7 key on the numeric keypad.</t>
  </si>
  <si>
    <t>NumPad8</t>
  </si>
  <si>
    <t>The 8 key on the numeric keypad.</t>
  </si>
  <si>
    <t>NumPad9</t>
  </si>
  <si>
    <t>The 9 key on the numeric keypad.</t>
  </si>
  <si>
    <t>O</t>
  </si>
  <si>
    <t>The O key.</t>
  </si>
  <si>
    <t>Oem1</t>
  </si>
  <si>
    <t>The OEM 1 key.</t>
  </si>
  <si>
    <t>Oem102</t>
  </si>
  <si>
    <t>The OEM 102 key.</t>
  </si>
  <si>
    <t>Oem2</t>
  </si>
  <si>
    <t>The OEM 2 key.</t>
  </si>
  <si>
    <t>Oem3</t>
  </si>
  <si>
    <t>The OEM 3 key.</t>
  </si>
  <si>
    <t>Oem4</t>
  </si>
  <si>
    <t>The OEM 4 key.</t>
  </si>
  <si>
    <t>Oem5</t>
  </si>
  <si>
    <t>The OEM 5 key.</t>
  </si>
  <si>
    <t>Oem6</t>
  </si>
  <si>
    <t>The OEM 6 key.</t>
  </si>
  <si>
    <t>Oem7</t>
  </si>
  <si>
    <t>The OEM 7 key.</t>
  </si>
  <si>
    <t>Oem8</t>
  </si>
  <si>
    <t>The OEM 8 key.</t>
  </si>
  <si>
    <t>OemBackslash</t>
  </si>
  <si>
    <t>The OEM angle bracket or backslash key on the RT 102 key keyboard (Windows 2000 or later).</t>
  </si>
  <si>
    <t>OemClear</t>
  </si>
  <si>
    <t>OemCloseBrackets</t>
  </si>
  <si>
    <t>The OEM close bracket key on a US standard keyboard (Windows 2000 or later).</t>
  </si>
  <si>
    <t>Oemcomma</t>
  </si>
  <si>
    <t>The OEM comma key on any country/region keyboard (Windows 2000 or later).</t>
  </si>
  <si>
    <t>OemMinus</t>
  </si>
  <si>
    <t>The OEM minus key on any country/region keyboard (Windows 2000 or later).</t>
  </si>
  <si>
    <t>OemOpenBrackets</t>
  </si>
  <si>
    <t>The OEM open bracket key on a US standard keyboard (Windows 2000 or later).</t>
  </si>
  <si>
    <t>OemPeriod</t>
  </si>
  <si>
    <t>The OEM period key on any country/region keyboard (Windows 2000 or later).</t>
  </si>
  <si>
    <t>OemPipe</t>
  </si>
  <si>
    <t>The OEM pipe key on a US standard keyboard (Windows 2000 or later).</t>
  </si>
  <si>
    <t>Oemplus</t>
  </si>
  <si>
    <t>The OEM plus key on any country/region keyboard (Windows 2000 or later).</t>
  </si>
  <si>
    <t>OemQuestion</t>
  </si>
  <si>
    <t>The OEM question mark key on a US standard keyboard (Windows 2000 or later).</t>
  </si>
  <si>
    <t>OemQuotes</t>
  </si>
  <si>
    <t>The OEM singled/double quote key on a US standard keyboard (Windows 2000 or later).</t>
  </si>
  <si>
    <t>OemSemicolon</t>
  </si>
  <si>
    <t>The OEM Semicolon key on a US standard keyboard (Windows 2000 or later).</t>
  </si>
  <si>
    <t>Oemtilde</t>
  </si>
  <si>
    <t>The OEM tilde key on a US standard keyboard (Windows 2000 or later).</t>
  </si>
  <si>
    <t>P</t>
  </si>
  <si>
    <t>The P key.</t>
  </si>
  <si>
    <t>Pa1</t>
  </si>
  <si>
    <t>The PA1 key.</t>
  </si>
  <si>
    <t>Packet</t>
  </si>
  <si>
    <t>Used to pass Unicode characters as if they were keystrokes. The Packet key value is the low word of a 32-bit virtual-key value used for non-keyboard input methods.</t>
  </si>
  <si>
    <t>PageDown</t>
  </si>
  <si>
    <t>PageUp</t>
  </si>
  <si>
    <t>The PAGE UP key.</t>
  </si>
  <si>
    <t>Pause</t>
  </si>
  <si>
    <t>The PAUSE key.</t>
  </si>
  <si>
    <t>Play</t>
  </si>
  <si>
    <t>The PLAY key.</t>
  </si>
  <si>
    <t>Print</t>
  </si>
  <si>
    <t>The PRINT key.</t>
  </si>
  <si>
    <t>PrintScreen</t>
  </si>
  <si>
    <t>The PRINT SCREEN key.</t>
  </si>
  <si>
    <t>Prior</t>
  </si>
  <si>
    <t>ProcessKey</t>
  </si>
  <si>
    <t>The PROCESS KEY key.</t>
  </si>
  <si>
    <t>Q</t>
  </si>
  <si>
    <t>The Q key.</t>
  </si>
  <si>
    <t>R</t>
  </si>
  <si>
    <t>The R key.</t>
  </si>
  <si>
    <t>RButton</t>
  </si>
  <si>
    <t>The right mouse button.</t>
  </si>
  <si>
    <t>RControlKey</t>
  </si>
  <si>
    <t>The right CTRL key.</t>
  </si>
  <si>
    <t>Return</t>
  </si>
  <si>
    <t>The RETURN key.</t>
  </si>
  <si>
    <t>Right</t>
  </si>
  <si>
    <t>The RIGHT ARROW key.</t>
  </si>
  <si>
    <t>RMenu</t>
  </si>
  <si>
    <t>The right ALT key.</t>
  </si>
  <si>
    <t>RShiftKey</t>
  </si>
  <si>
    <t>The right SHIFT key.</t>
  </si>
  <si>
    <t>RWin</t>
  </si>
  <si>
    <t>The right Windows logo key (Microsoft Natural Keyboard).</t>
  </si>
  <si>
    <t>S</t>
  </si>
  <si>
    <t>The S key.</t>
  </si>
  <si>
    <t>Scroll</t>
  </si>
  <si>
    <t>The SCROLL LOCK key.</t>
  </si>
  <si>
    <t>Select</t>
  </si>
  <si>
    <t>The SELECT key.</t>
  </si>
  <si>
    <t>SelectMedia</t>
  </si>
  <si>
    <t>The select media key (Windows 2000 or later).</t>
  </si>
  <si>
    <t>Separator</t>
  </si>
  <si>
    <t>The separator key.</t>
  </si>
  <si>
    <t>Shift</t>
  </si>
  <si>
    <t>The SHIFT modifier key.</t>
  </si>
  <si>
    <t>ShiftKey</t>
  </si>
  <si>
    <t>The SHIFT key.</t>
  </si>
  <si>
    <t>Sleep</t>
  </si>
  <si>
    <t>The computer sleep key.</t>
  </si>
  <si>
    <t>Snapshot</t>
  </si>
  <si>
    <t>Space</t>
  </si>
  <si>
    <t>The SPACEBAR key.</t>
  </si>
  <si>
    <t>Subtract</t>
  </si>
  <si>
    <t>The subtract key.</t>
  </si>
  <si>
    <t>T</t>
  </si>
  <si>
    <t>The T key.</t>
  </si>
  <si>
    <t>Tab</t>
  </si>
  <si>
    <t>The TAB key.</t>
  </si>
  <si>
    <t>U</t>
  </si>
  <si>
    <t>The U key.</t>
  </si>
  <si>
    <t>Up</t>
  </si>
  <si>
    <t>The UP ARROW key.</t>
  </si>
  <si>
    <t>V</t>
  </si>
  <si>
    <t>The V key.</t>
  </si>
  <si>
    <t>VolumeDown</t>
  </si>
  <si>
    <t>The volume down key (Windows 2000 or later).</t>
  </si>
  <si>
    <t>VolumeMute</t>
  </si>
  <si>
    <t>The volume mute key (Windows 2000 or later).</t>
  </si>
  <si>
    <t>VolumeUp</t>
  </si>
  <si>
    <t>The volume up key (Windows 2000 or later).</t>
  </si>
  <si>
    <t>W</t>
  </si>
  <si>
    <t>The W key.</t>
  </si>
  <si>
    <t>X</t>
  </si>
  <si>
    <t>The X key.</t>
  </si>
  <si>
    <t>XButton1</t>
  </si>
  <si>
    <t>The first x mouse button (five-button mouse).</t>
  </si>
  <si>
    <t>XButton2</t>
  </si>
  <si>
    <t>The second x mouse button (five-button mouse).</t>
  </si>
  <si>
    <t>Y</t>
  </si>
  <si>
    <t>The Y key.</t>
  </si>
  <si>
    <t>Z</t>
  </si>
  <si>
    <t>The Z key.</t>
  </si>
  <si>
    <t>Zoom</t>
  </si>
  <si>
    <t>The ZOOM key.</t>
  </si>
  <si>
    <t>Longest</t>
  </si>
  <si>
    <t>PESubsystemID</t>
  </si>
  <si>
    <t>DLLServices2 String Resource Symbolic Name</t>
  </si>
  <si>
    <t>Literal from DLLService2 String Resources</t>
  </si>
  <si>
    <t>IMAGE_SUBSYSTEM_UNKNOWN</t>
  </si>
  <si>
    <t>Unknown subsystem.</t>
  </si>
  <si>
    <t>IMAGE_SUBSYSTEM_NATIVE</t>
  </si>
  <si>
    <t>Image doesn't require a subsystem.</t>
  </si>
  <si>
    <t>IMAGE_SUBSYSTEM_WINDOWS_GUI</t>
  </si>
  <si>
    <t>Image runs in the Windows GUI subsystem.</t>
  </si>
  <si>
    <t>IMAGE_SUBSYSTEM_WINDOWS_CUI</t>
  </si>
  <si>
    <t>Image runs in the Windows character subsystem.</t>
  </si>
  <si>
    <t>IMAGE_SUBSYSTEM_OS2_CUI</t>
  </si>
  <si>
    <t>Image runs in the OS/2 character subsystem.</t>
  </si>
  <si>
    <t>IMAGE_SUBSYSTEM_POSIX_CUI</t>
  </si>
  <si>
    <t>Image runs in the Posix character subsystem</t>
  </si>
  <si>
    <t>IMAGE_SUBSYSTEM_NATIVE_WINDOWS</t>
  </si>
  <si>
    <t>Image is a native Win9x driver.</t>
  </si>
  <si>
    <t>IMAGE_SUBSYSTEM_WINDOWS_CE_GUI</t>
  </si>
  <si>
    <t>Image runs in the Windows CE subsystem.</t>
  </si>
  <si>
    <t>IMAGE_SUBSYSTEM_EFI_APPLICATION</t>
  </si>
  <si>
    <t>Image is an EFI Application.</t>
  </si>
  <si>
    <t>IMAGE_SUBSYSTEM_EFI_BOOT_SERVICE_DRIVER</t>
  </si>
  <si>
    <t>Image is a EFI Boot Service Driver.</t>
  </si>
  <si>
    <t>IMAGE_SUBSYSTEM_EFI_RUNTIME_DRIVER</t>
  </si>
  <si>
    <t>Image is a EFI Runtime Driver.</t>
  </si>
  <si>
    <t>IMAGE_SUBSYSTEM_EFI_ROM</t>
  </si>
  <si>
    <t>Image runs from a EFI ROM.</t>
  </si>
  <si>
    <t>IMAGE_SUBSYSTEM_XBOX</t>
  </si>
  <si>
    <t>Image runs on XBOX.</t>
  </si>
  <si>
    <t>IMAGE_SUBSYSTEM_UNDEFINED_VALUE</t>
  </si>
  <si>
    <t>The specified Image subsystem ID, {0} is undefined.</t>
  </si>
  <si>
    <t>Escape Sequence</t>
  </si>
  <si>
    <t>Decimal Value</t>
  </si>
  <si>
    <t>Hex Value (ASCII)</t>
  </si>
  <si>
    <t>Character represented</t>
  </si>
  <si>
    <t>\a</t>
  </si>
  <si>
    <t>Alarm (Beep, Bell)</t>
  </si>
  <si>
    <t>\b</t>
  </si>
  <si>
    <t>Backspace</t>
  </si>
  <si>
    <t>\f</t>
  </si>
  <si>
    <t>0C</t>
  </si>
  <si>
    <t>Formfeed</t>
  </si>
  <si>
    <t>\n</t>
  </si>
  <si>
    <t>0A</t>
  </si>
  <si>
    <t>Newline (Line Feed); see notes below</t>
  </si>
  <si>
    <t>\r</t>
  </si>
  <si>
    <t>0D</t>
  </si>
  <si>
    <t>Carriage Return</t>
  </si>
  <si>
    <t>\t</t>
  </si>
  <si>
    <t>Horizontal Tab</t>
  </si>
  <si>
    <t>\v</t>
  </si>
  <si>
    <t>0B</t>
  </si>
  <si>
    <t>Vertical Tab</t>
  </si>
  <si>
    <t>\\</t>
  </si>
  <si>
    <t>5C</t>
  </si>
  <si>
    <t>Backslash</t>
  </si>
  <si>
    <t>\'</t>
  </si>
  <si>
    <t>Single quotation mark</t>
  </si>
  <si>
    <t>\"</t>
  </si>
  <si>
    <t>Double quotation mark</t>
  </si>
  <si>
    <t>\?</t>
  </si>
  <si>
    <t>3F</t>
  </si>
  <si>
    <t>Question mark</t>
  </si>
  <si>
    <t>\nnn</t>
  </si>
  <si>
    <t>any</t>
  </si>
  <si>
    <t>The character whose numerical value is given by nnn interpreted as an octal number</t>
  </si>
  <si>
    <t>\xhh</t>
  </si>
  <si>
    <t>The character whose numerical value is given by hh interpreted as a hexadecimal number</t>
  </si>
  <si>
    <t>Object Name</t>
  </si>
  <si>
    <t>Member Name</t>
  </si>
  <si>
    <t>Member Value</t>
  </si>
  <si>
    <t>Member Type</t>
  </si>
  <si>
    <t>Anatomical Note</t>
  </si>
  <si>
    <t>guidExceptionTypeName</t>
  </si>
  <si>
    <t>{3802e485-5013-3dde-8720-59a445f4776b}</t>
  </si>
  <si>
    <t>System.Guid</t>
  </si>
  <si>
    <t>_a</t>
  </si>
  <si>
    <t>0x3802e485</t>
  </si>
  <si>
    <t>Entire contents of 1st group</t>
  </si>
  <si>
    <t>_b</t>
  </si>
  <si>
    <t>0x5013</t>
  </si>
  <si>
    <t>short</t>
  </si>
  <si>
    <t>Entire contents of 2nd group</t>
  </si>
  <si>
    <t>_c</t>
  </si>
  <si>
    <t>0x3dde</t>
  </si>
  <si>
    <t>Entire contents of 3rd group</t>
  </si>
  <si>
    <t>_d</t>
  </si>
  <si>
    <t>0x87</t>
  </si>
  <si>
    <t>byte</t>
  </si>
  <si>
    <t>First byte in penultimate group</t>
  </si>
  <si>
    <t>_e</t>
  </si>
  <si>
    <t>0x20</t>
  </si>
  <si>
    <t>Last byte in penultimate group</t>
  </si>
  <si>
    <t>_f</t>
  </si>
  <si>
    <t>0x59</t>
  </si>
  <si>
    <t>First byte in last group</t>
  </si>
  <si>
    <t>_g</t>
  </si>
  <si>
    <t>0xa4</t>
  </si>
  <si>
    <t>_h</t>
  </si>
  <si>
    <t>0x45</t>
  </si>
  <si>
    <t>_i</t>
  </si>
  <si>
    <t>0xf4</t>
  </si>
  <si>
    <t>_j</t>
  </si>
  <si>
    <t>0x77</t>
  </si>
  <si>
    <t>_k</t>
  </si>
  <si>
    <t>0x6b</t>
  </si>
  <si>
    <t>Last byte in last group</t>
  </si>
  <si>
    <t>OutputOptions</t>
  </si>
  <si>
    <t>ErrorExitOptions</t>
  </si>
  <si>
    <t>Hexadecimal</t>
  </si>
  <si>
    <t>Bit(s)</t>
  </si>
  <si>
    <t>Highest Bit</t>
  </si>
  <si>
    <t>Undefined</t>
  </si>
  <si>
    <t>Succeeded</t>
  </si>
  <si>
    <t>Stack</t>
  </si>
  <si>
    <t>EventLog</t>
  </si>
  <si>
    <t>RecordedInEventLog</t>
  </si>
  <si>
    <t>StandardOutput</t>
  </si>
  <si>
    <t>RecordedInStandardOutput</t>
  </si>
  <si>
    <t>StandardError</t>
  </si>
  <si>
    <t>RecordedInStandardError</t>
  </si>
  <si>
    <t>Reserved1</t>
  </si>
  <si>
    <t>Reserved2</t>
  </si>
  <si>
    <t>ActiveProperties</t>
  </si>
  <si>
    <t>ActivePropsToEventLog</t>
  </si>
  <si>
    <t>ActivePropsToStdErr</t>
  </si>
  <si>
    <t>ActivePropsToStdOut</t>
  </si>
  <si>
    <t>ActivePropsEverywhere</t>
  </si>
  <si>
    <t>AllProperties</t>
  </si>
  <si>
    <t>4, 5, 6</t>
  </si>
  <si>
    <t>AllFlags</t>
  </si>
  <si>
    <t>Anatomy of a System.GUID</t>
  </si>
  <si>
    <t>Commoon .NET Exception Types</t>
  </si>
  <si>
    <t>Escape Characters in C</t>
  </si>
  <si>
    <t>OutputOptions Bit Masks</t>
  </si>
  <si>
    <t>PESubsystemID Mappings</t>
  </si>
  <si>
    <t>Windows Forms Keys</t>
  </si>
  <si>
    <t>=Index!$A$1:$A$37</t>
  </si>
  <si>
    <t>Destiations</t>
  </si>
  <si>
    <t>GUIDBytes_1</t>
  </si>
  <si>
    <t>='Commoon .NET Exception Types'!$N$4</t>
  </si>
  <si>
    <t>Inclusions</t>
  </si>
  <si>
    <t>SupportedEncoders</t>
  </si>
  <si>
    <t>='Commoon .NET Exception Types'!$T$44:$V$49</t>
  </si>
  <si>
    <t>AllDestinations</t>
  </si>
  <si>
    <t>Individual Flags</t>
  </si>
  <si>
    <t>Useful Bit Combinations</t>
  </si>
  <si>
    <t>DiscardNewlines</t>
  </si>
  <si>
    <t>NBSpaceForNewlines</t>
  </si>
  <si>
    <t>0, 1, 2, 3</t>
  </si>
  <si>
    <t>0, 1, 2, 5</t>
  </si>
  <si>
    <t>0, 1, 2, 4</t>
  </si>
  <si>
    <t>0, 1, 2, 3, 4, 5, 6, 7</t>
  </si>
  <si>
    <t>NoFlags</t>
  </si>
  <si>
    <t>0, 1, 2, 6, 7</t>
  </si>
  <si>
    <t>0, 1, 2, 6, 7, 3, 4, 5</t>
  </si>
  <si>
    <t>='OutputOptions Bit Masks'!$D$14</t>
  </si>
  <si>
    <t>='OutputOptions Bit Masks'!$D$18</t>
  </si>
  <si>
    <t>='OutputOptions Bit Masks'!$D$15</t>
  </si>
  <si>
    <t>='OutputOptions Bit Masks'!$D$16</t>
  </si>
  <si>
    <t>='OutputOptions Bit Masks'!$D$17</t>
  </si>
  <si>
    <t>='OutputOptions Bit Masks'!$D$20</t>
  </si>
  <si>
    <t>='OutputOptions Bit Masks'!$D$8</t>
  </si>
  <si>
    <t>='OutputOptions Bit Masks'!$D$19</t>
  </si>
  <si>
    <t>='OutputOptions Bit Masks'!$D$5</t>
  </si>
  <si>
    <t>OutputOptions_ActiveProperties</t>
  </si>
  <si>
    <t>OutputOptions_ActivePropsEverywhere</t>
  </si>
  <si>
    <t>OutputOptions_ActivePropsToEventLog</t>
  </si>
  <si>
    <t>OutputOptions_ActivePropsToStdErr</t>
  </si>
  <si>
    <t>OutputOptions_ActivePropsToStdOut</t>
  </si>
  <si>
    <t>OutputOptions_AllDestinations</t>
  </si>
  <si>
    <t>OutputOptions_AllFlags</t>
  </si>
  <si>
    <t>='OutputOptions Bit Masks'!$D$21</t>
  </si>
  <si>
    <t>OutputOptions_AllProperties</t>
  </si>
  <si>
    <t>OutputOptions_Bit_Masks_Details</t>
  </si>
  <si>
    <t>='OutputOptions Bit Masks'!$A$2:$L$21</t>
  </si>
  <si>
    <t>OutputOptions_Bit_Masks_Labels</t>
  </si>
  <si>
    <t>='OutputOptions Bit Masks'!$A$1:$L$1</t>
  </si>
  <si>
    <t>OutputOptions_DiscardNewlines</t>
  </si>
  <si>
    <t>='OutputOptions Bit Masks'!$D$11</t>
  </si>
  <si>
    <t>OutputOptions_EventLog</t>
  </si>
  <si>
    <t>OutputOptions_Method</t>
  </si>
  <si>
    <t>OutputOptions_NBSpaceForNewlines</t>
  </si>
  <si>
    <t>='OutputOptions Bit Masks'!$D$12</t>
  </si>
  <si>
    <t>OutputOptions_NoFlags</t>
  </si>
  <si>
    <t>='OutputOptions Bit Masks'!$D$4</t>
  </si>
  <si>
    <t>OutputOptions_Source</t>
  </si>
  <si>
    <t>='OutputOptions Bit Masks'!$D$6</t>
  </si>
  <si>
    <t>OutputOptions_Stack</t>
  </si>
  <si>
    <t>='OutputOptions Bit Masks'!$D$7</t>
  </si>
  <si>
    <t>OutputOptions_StandardError</t>
  </si>
  <si>
    <t>='OutputOptions Bit Masks'!$D$10</t>
  </si>
  <si>
    <t>OutputOptions_StandardOutput</t>
  </si>
  <si>
    <t>='OutputOptions Bit Masks'!$D$9</t>
  </si>
  <si>
    <t>2017/08/08 19:54:26 (2017/08/09 00:54:26 UTC)</t>
  </si>
  <si>
    <t>2017/04/07 08:05:49 (2017/04/07 13:05:49 UTC)</t>
  </si>
  <si>
    <t>2.0.50727.8762 (QFE.050727-8700)</t>
  </si>
  <si>
    <t>WizardWrx.ASCIIInfo, Version=7.0.76.3375, Culture=neutral, PublicKeyToken=null</t>
  </si>
  <si>
    <t>WizardWrx.ASCIIInfo</t>
  </si>
  <si>
    <t>WizardWrx.ASCIIInfo.dll</t>
  </si>
  <si>
    <t>d3cb0fc8-06d9-4786-9bab-b1eb170b4756</t>
  </si>
  <si>
    <t>C:\Users\DAVE\Documents\Visual Studio 2013\Projects\WizardWrx_Libs\Wizardwrx\DLLServices2TestStand\bin\Debug</t>
  </si>
  <si>
    <t>Table of ASCII character attributes</t>
  </si>
  <si>
    <t>ASCIIInfo</t>
  </si>
  <si>
    <t>2017/09/02 02:53:01 (2017/09/02 07:53:01 UTC)</t>
  </si>
  <si>
    <t>2017/09/02 02:52:30 (2017/09/02 07:52:30 UTC)</t>
  </si>
  <si>
    <t>Copyright © 2014-2017, David A. Gray</t>
  </si>
  <si>
    <t>7.0.76.3375</t>
  </si>
  <si>
    <t>WizardWrx.AssemblyUtils, Version=7.0.101.40729, Culture=neutral, PublicKeyToken=null</t>
  </si>
  <si>
    <t>2017/09/07 23:37:40 (2017/09/08 04:37:40 UTC)</t>
  </si>
  <si>
    <t>7.0.101.40729</t>
  </si>
  <si>
    <t>WizardWrx.Common, Version=7.0.97.3123, Culture=neutral, PublicKeyToken=null</t>
  </si>
  <si>
    <t>2017/09/04 02:44:06 (2017/09/04 07:44:06 UTC)</t>
  </si>
  <si>
    <t>7.0.97.3123</t>
  </si>
  <si>
    <t>WizardWrx.ConsoleStreams, Version=7.0.178.40731, Culture=neutral, PublicKeyToken=null</t>
  </si>
  <si>
    <t>2017/09/07 23:37:44 (2017/09/08 04:37:44 UTC)</t>
  </si>
  <si>
    <t>7.0.178.40731</t>
  </si>
  <si>
    <t>WizardWrx.Core, Version=7.0.138.40727, Culture=neutral, PublicKeyToken=null</t>
  </si>
  <si>
    <t>2017/09/07 23:37:34 (2017/09/08 04:37:34 UTC)</t>
  </si>
  <si>
    <t>7.0.138.40727</t>
  </si>
  <si>
    <t>WizardWrx.DLLConfigurationManager, Version=7.0.194.29377, Culture=neutral, PublicKeyToken=null</t>
  </si>
  <si>
    <t>2017/09/10 17:19:16 (2017/09/10 22:19:16 UTC)</t>
  </si>
  <si>
    <t>7.0.194.29377</t>
  </si>
  <si>
    <t>WizardWrx.EmbeddedTextFile, Version=7.0.77.40736, Culture=neutral, PublicKeyToken=null</t>
  </si>
  <si>
    <t>2017/09/07 23:37:52 (2017/09/08 04:37:52 UTC)</t>
  </si>
  <si>
    <t>7.0.77.40736</t>
  </si>
  <si>
    <t>WizardWrx.FormatStringEngine, Version=7.0.149.3125, Culture=neutral, PublicKeyToken=null</t>
  </si>
  <si>
    <t>WizardWrx.FormatStringEngine</t>
  </si>
  <si>
    <t>WizardWrx.FormatStringEngine.dll</t>
  </si>
  <si>
    <t>f7e968d4-764a-454c-bebc-3831c0fa88fc</t>
  </si>
  <si>
    <t>WizardWrx Format String Parsing Engine</t>
  </si>
  <si>
    <t>2017/09/04 02:44:11 (2017/09/04 07:44:11 UTC)</t>
  </si>
  <si>
    <t>Format String Parsing Engine</t>
  </si>
  <si>
    <t>7.0.149.3125</t>
  </si>
  <si>
    <t>Ovewrload</t>
  </si>
  <si>
    <t>The index is a standard zero based array subscript which corresponds to the position of an item in a list of objects.</t>
  </si>
  <si>
    <t>uint puintItemIndex</t>
  </si>
  <si>
    <t>int pintMaximumWidth</t>
  </si>
  <si>
    <t>Alignment penmAlignment</t>
  </si>
  <si>
    <t>string pstrFormatString</t>
  </si>
  <si>
    <t>int pintItemIndex</t>
  </si>
  <si>
    <t>uint puintMaximumWidth</t>
  </si>
  <si>
    <t>The maximum width is a positive integer that specifies the desired width of the item.</t>
  </si>
  <si>
    <t>Specify Left or Right. Center alignment is unsupported, although it could be achieved with custom code.</t>
  </si>
  <si>
    <t>Specify a Standard Numeric, Date, or Text format string or a custom string composed around a standard string.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</si>
</sst>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hh:mm:ss"/>
  </numFmts>
  <fonts count="45" x14ac:knownFonts="1">
    <font>
      <sz val="11"/>
      <color theme="1"/>
      <name val="Consolas"/>
      <family val="2"/>
    </font>
    <font>
      <b/>
      <sz val="14"/>
      <color theme="1"/>
      <name val="Tahoma"/>
      <family val="2"/>
    </font>
    <font>
      <sz val="11"/>
      <color theme="1"/>
      <name val="Tahoma"/>
      <family val="2"/>
    </font>
    <font>
      <u/>
      <sz val="11"/>
      <color theme="10"/>
      <name val="Consolas"/>
      <family val="2"/>
    </font>
    <font>
      <sz val="11"/>
      <color theme="10"/>
      <name val="Consolas"/>
      <family val="2"/>
    </font>
    <font>
      <sz val="8"/>
      <color theme="1"/>
      <name val="Consolas"/>
      <family val="2"/>
    </font>
    <font>
      <b/>
      <sz val="8"/>
      <color theme="1"/>
      <name val="Consolas"/>
      <family val="2"/>
    </font>
    <font>
      <b/>
      <sz val="14"/>
      <color rgb="FFFFC000"/>
      <name val="Tahoma"/>
      <family val="2"/>
    </font>
    <font>
      <b/>
      <sz val="11"/>
      <color rgb="FF0000FF"/>
      <name val="Tahoma"/>
      <family val="2"/>
    </font>
    <font>
      <b/>
      <strike/>
      <sz val="11"/>
      <color rgb="FF0000FF"/>
      <name val="Tahoma"/>
      <family val="2"/>
    </font>
    <font>
      <b/>
      <sz val="14"/>
      <color rgb="FF7030A0"/>
      <name val="Tahoma"/>
      <family val="2"/>
    </font>
    <font>
      <sz val="8"/>
      <color indexed="81"/>
      <name val="Tahoma"/>
      <charset val="1"/>
    </font>
    <font>
      <b/>
      <sz val="8"/>
      <color indexed="81"/>
      <name val="Tahoma"/>
      <charset val="1"/>
    </font>
    <font>
      <b/>
      <sz val="12"/>
      <color theme="6" tint="-0.499984740745262"/>
      <name val="Tahoma"/>
      <family val="2"/>
    </font>
    <font>
      <sz val="8"/>
      <color theme="1"/>
      <name val="Tahoma"/>
      <family val="2"/>
    </font>
    <font>
      <b/>
      <sz val="14"/>
      <color theme="9" tint="0.79998168889431442"/>
      <name val="Tahoma"/>
      <family val="2"/>
    </font>
    <font>
      <b/>
      <sz val="14"/>
      <color theme="7" tint="0.79998168889431442"/>
      <name val="Tahoma"/>
      <family val="2"/>
    </font>
    <font>
      <sz val="11"/>
      <color rgb="FF0000FF"/>
      <name val="Tahoma"/>
      <family val="2"/>
    </font>
    <font>
      <b/>
      <sz val="11"/>
      <color theme="1"/>
      <name val="Tahoma"/>
      <family val="2"/>
    </font>
    <font>
      <sz val="11"/>
      <color theme="1"/>
      <name val="Consolas"/>
      <family val="3"/>
    </font>
    <font>
      <b/>
      <sz val="8"/>
      <color theme="1"/>
      <name val="Tahoma"/>
      <family val="2"/>
    </font>
    <font>
      <strike/>
      <sz val="11"/>
      <color theme="1"/>
      <name val="Cambria"/>
      <family val="1"/>
    </font>
    <font>
      <strike/>
      <sz val="8"/>
      <color theme="1"/>
      <name val="Cambria"/>
      <family val="1"/>
    </font>
    <font>
      <b/>
      <strike/>
      <sz val="11"/>
      <color rgb="FF0000FF"/>
      <name val="Cambria"/>
      <family val="1"/>
    </font>
    <font>
      <strike/>
      <sz val="11"/>
      <color rgb="FF0000FF"/>
      <name val="Cambria"/>
      <family val="1"/>
    </font>
    <font>
      <b/>
      <sz val="14"/>
      <color theme="0"/>
      <name val="Tahoma"/>
      <family val="2"/>
    </font>
    <font>
      <b/>
      <sz val="12"/>
      <color indexed="43"/>
      <name val="Tahoma"/>
      <family val="2"/>
    </font>
    <font>
      <u/>
      <sz val="11"/>
      <color theme="10"/>
      <name val="Calibri"/>
      <family val="2"/>
      <scheme val="minor"/>
    </font>
    <font>
      <sz val="11"/>
      <color theme="1"/>
      <name val="Calibri"/>
      <family val="2"/>
      <scheme val="minor"/>
    </font>
    <font>
      <sz val="10"/>
      <name val="Consolas"/>
      <family val="3"/>
    </font>
    <font>
      <b/>
      <sz val="11"/>
      <name val="Tahoma"/>
      <family val="2"/>
    </font>
    <font>
      <b/>
      <sz val="14"/>
      <color rgb="FF002060"/>
      <name val="Tahoma"/>
      <family val="2"/>
    </font>
    <font>
      <sz val="10"/>
      <color theme="1"/>
      <name val="Tahoma"/>
      <family val="2"/>
    </font>
    <font>
      <u/>
      <sz val="10"/>
      <color theme="10"/>
      <name val="Tahoma"/>
      <family val="2"/>
    </font>
    <font>
      <b/>
      <sz val="11"/>
      <color rgb="FF0000CC"/>
      <name val="Consolas"/>
      <family val="3"/>
    </font>
    <font>
      <b/>
      <sz val="14"/>
      <color theme="0" tint="-4.9989318521683403E-2"/>
      <name val="Tahoma"/>
      <family val="2"/>
    </font>
    <font>
      <b/>
      <sz val="14"/>
      <color theme="0" tint="-4.9989318521683403E-2"/>
      <name val="Consolas"/>
      <family val="3"/>
    </font>
    <font>
      <b/>
      <sz val="18"/>
      <color rgb="FFFFFF00"/>
      <name val="Tahoma"/>
      <family val="2"/>
    </font>
    <font>
      <b/>
      <sz val="14"/>
      <color theme="6" tint="0.79998168889431442"/>
      <name val="Tahoma"/>
      <family val="2"/>
    </font>
    <font>
      <sz val="11"/>
      <color rgb="FF92D050"/>
      <name val="Consolas"/>
      <family val="3"/>
    </font>
    <font>
      <b/>
      <sz val="12"/>
      <color theme="1"/>
      <name val="Tahoma"/>
      <family val="2"/>
    </font>
    <font>
      <sz val="10"/>
      <color rgb="FF2A2A2A"/>
      <name val="Consolas"/>
      <family val="3"/>
    </font>
    <font>
      <b/>
      <sz val="10"/>
      <color rgb="FF2A2A2A"/>
      <name val="Consolas"/>
      <family val="3"/>
    </font>
    <font>
      <b/>
      <sz val="14"/>
      <color theme="9" tint="-0.499984740745262"/>
      <name val="Tahoma"/>
      <family val="2"/>
    </font>
    <font>
      <b/>
      <sz val="11"/>
      <color theme="1"/>
      <name val="Consolas"/>
      <family val="2"/>
    </font>
  </fonts>
  <fills count="32">
    <fill>
      <patternFill patternType="none"/>
    </fill>
    <fill>
      <patternFill patternType="gray125"/>
    </fill>
    <fill>
      <patternFill patternType="solid">
        <fgColor theme="5" tint="0.79998168889431442"/>
        <bgColor indexed="64"/>
      </patternFill>
    </fill>
    <fill>
      <patternFill patternType="solid">
        <fgColor rgb="FFFFFF99"/>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0" tint="-0.14996795556505021"/>
        <bgColor indexed="64"/>
      </patternFill>
    </fill>
    <fill>
      <patternFill patternType="solid">
        <fgColor rgb="FFFFFFCC"/>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002060"/>
        <bgColor indexed="64"/>
      </patternFill>
    </fill>
    <fill>
      <patternFill patternType="solid">
        <fgColor theme="9" tint="-0.499984740745262"/>
        <bgColor indexed="64"/>
      </patternFill>
    </fill>
    <fill>
      <patternFill patternType="solid">
        <fgColor theme="7" tint="-0.499984740745262"/>
        <bgColor indexed="64"/>
      </patternFill>
    </fill>
    <fill>
      <patternFill patternType="solid">
        <fgColor theme="1" tint="0.24994659260841701"/>
        <bgColor indexed="64"/>
      </patternFill>
    </fill>
    <fill>
      <patternFill patternType="solid">
        <fgColor indexed="18"/>
        <bgColor indexed="64"/>
      </patternFill>
    </fill>
    <fill>
      <patternFill patternType="solid">
        <fgColor rgb="FFFFFF00"/>
        <bgColor indexed="64"/>
      </patternFill>
    </fill>
    <fill>
      <patternFill patternType="solid">
        <fgColor theme="5"/>
        <bgColor theme="5"/>
      </patternFill>
    </fill>
    <fill>
      <patternFill patternType="solid">
        <fgColor theme="5" tint="0.79998168889431442"/>
        <bgColor theme="5" tint="0.79998168889431442"/>
      </patternFill>
    </fill>
    <fill>
      <patternFill patternType="solid">
        <fgColor theme="0" tint="-0.499984740745262"/>
        <bgColor indexed="64"/>
      </patternFill>
    </fill>
    <fill>
      <patternFill patternType="solid">
        <fgColor theme="0" tint="-4.9989318521683403E-2"/>
        <bgColor indexed="64"/>
      </patternFill>
    </fill>
    <fill>
      <patternFill patternType="solid">
        <fgColor theme="1"/>
        <bgColor indexed="64"/>
      </patternFill>
    </fill>
    <fill>
      <patternFill patternType="solid">
        <fgColor theme="6" tint="-0.499984740745262"/>
        <bgColor indexed="64"/>
      </patternFill>
    </fill>
    <fill>
      <patternFill patternType="solid">
        <fgColor rgb="FF00B050"/>
        <bgColor indexed="64"/>
      </patternFill>
    </fill>
    <fill>
      <patternFill patternType="solid">
        <fgColor theme="2" tint="-0.24994659260841701"/>
        <bgColor indexed="64"/>
      </patternFill>
    </fill>
    <fill>
      <patternFill patternType="solid">
        <fgColor theme="8"/>
        <bgColor theme="8"/>
      </patternFill>
    </fill>
    <fill>
      <patternFill patternType="solid">
        <fgColor theme="7"/>
        <bgColor theme="7"/>
      </patternFill>
    </fill>
    <fill>
      <patternFill patternType="solid">
        <fgColor theme="8" tint="0.79998168889431442"/>
        <bgColor theme="8" tint="0.79998168889431442"/>
      </patternFill>
    </fill>
    <fill>
      <patternFill patternType="solid">
        <fgColor theme="7" tint="0.79998168889431442"/>
        <bgColor theme="7" tint="0.79998168889431442"/>
      </patternFill>
    </fill>
    <fill>
      <patternFill patternType="solid">
        <fgColor rgb="FFEDEDED"/>
        <bgColor indexed="64"/>
      </patternFill>
    </fill>
    <fill>
      <patternFill patternType="solid">
        <fgColor theme="9" tint="0.79998168889431442"/>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8" tint="-0.499984740745262"/>
      </left>
      <right style="thin">
        <color theme="8" tint="-0.499984740745262"/>
      </right>
      <top style="thin">
        <color theme="8" tint="-0.499984740745262"/>
      </top>
      <bottom style="thin">
        <color theme="8" tint="-0.499984740745262"/>
      </bottom>
      <diagonal/>
    </border>
    <border>
      <left style="thin">
        <color rgb="FFFFFF00"/>
      </left>
      <right style="thin">
        <color rgb="FFFFFF00"/>
      </right>
      <top style="thin">
        <color rgb="FFFFFF00"/>
      </top>
      <bottom/>
      <diagonal/>
    </border>
    <border>
      <left style="thin">
        <color rgb="FF7030A0"/>
      </left>
      <right style="thin">
        <color rgb="FF7030A0"/>
      </right>
      <top style="thin">
        <color rgb="FF7030A0"/>
      </top>
      <bottom style="thin">
        <color rgb="FF7030A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6" tint="-0.499984740745262"/>
      </left>
      <right style="thin">
        <color theme="6" tint="-0.499984740745262"/>
      </right>
      <top style="thin">
        <color theme="6" tint="-0.499984740745262"/>
      </top>
      <bottom style="thin">
        <color theme="6" tint="-0.499984740745262"/>
      </bottom>
      <diagonal/>
    </border>
    <border>
      <left style="thin">
        <color rgb="FFFFC000"/>
      </left>
      <right style="thin">
        <color rgb="FFFFC000"/>
      </right>
      <top style="thin">
        <color rgb="FFFFC000"/>
      </top>
      <bottom style="thin">
        <color rgb="FFFFC000"/>
      </bottom>
      <diagonal/>
    </border>
    <border>
      <left style="thin">
        <color rgb="FF002060"/>
      </left>
      <right style="thin">
        <color rgb="FF002060"/>
      </right>
      <top style="thin">
        <color rgb="FFFFC000"/>
      </top>
      <bottom style="thin">
        <color rgb="FF002060"/>
      </bottom>
      <diagonal/>
    </border>
    <border>
      <left style="thin">
        <color rgb="FF002060"/>
      </left>
      <right style="thin">
        <color rgb="FF002060"/>
      </right>
      <top/>
      <bottom style="thin">
        <color rgb="FF002060"/>
      </bottom>
      <diagonal/>
    </border>
    <border>
      <left style="thin">
        <color rgb="FF002060"/>
      </left>
      <right style="thin">
        <color rgb="FF002060"/>
      </right>
      <top style="thin">
        <color rgb="FF002060"/>
      </top>
      <bottom style="thin">
        <color rgb="FF002060"/>
      </bottom>
      <diagonal/>
    </border>
    <border>
      <left style="thin">
        <color theme="9" tint="0.79998168889431442"/>
      </left>
      <right style="thin">
        <color theme="9" tint="0.79998168889431442"/>
      </right>
      <top style="thin">
        <color theme="9" tint="0.79998168889431442"/>
      </top>
      <bottom style="thin">
        <color theme="9" tint="0.79998168889431442"/>
      </bottom>
      <diagonal/>
    </border>
    <border>
      <left style="thin">
        <color theme="9" tint="-0.499984740745262"/>
      </left>
      <right style="thin">
        <color theme="9" tint="-0.499984740745262"/>
      </right>
      <top style="thin">
        <color theme="9" tint="0.79998168889431442"/>
      </top>
      <bottom style="thin">
        <color theme="9" tint="-0.499984740745262"/>
      </bottom>
      <diagonal/>
    </border>
    <border>
      <left style="thin">
        <color theme="9" tint="-0.499984740745262"/>
      </left>
      <right style="thin">
        <color theme="9" tint="-0.499984740745262"/>
      </right>
      <top style="thin">
        <color theme="9" tint="-0.499984740745262"/>
      </top>
      <bottom style="thin">
        <color theme="9" tint="-0.499984740745262"/>
      </bottom>
      <diagonal/>
    </border>
    <border>
      <left style="thin">
        <color theme="9" tint="-0.499984740745262"/>
      </left>
      <right style="thin">
        <color theme="9" tint="-0.499984740745262"/>
      </right>
      <top style="thin">
        <color theme="9" tint="0.79998168889431442"/>
      </top>
      <bottom/>
      <diagonal/>
    </border>
    <border>
      <left style="thin">
        <color theme="9" tint="-0.499984740745262"/>
      </left>
      <right style="thin">
        <color theme="9" tint="-0.499984740745262"/>
      </right>
      <top/>
      <bottom style="thin">
        <color theme="9" tint="-0.499984740745262"/>
      </bottom>
      <diagonal/>
    </border>
    <border>
      <left style="thin">
        <color theme="9" tint="-0.499984740745262"/>
      </left>
      <right style="thin">
        <color theme="9" tint="-0.499984740745262"/>
      </right>
      <top style="thin">
        <color theme="9" tint="-0.499984740745262"/>
      </top>
      <bottom/>
      <diagonal/>
    </border>
    <border>
      <left style="thin">
        <color theme="7" tint="0.79998168889431442"/>
      </left>
      <right style="thin">
        <color theme="7" tint="0.79998168889431442"/>
      </right>
      <top style="thin">
        <color theme="7" tint="0.79998168889431442"/>
      </top>
      <bottom style="thin">
        <color theme="7" tint="0.79998168889431442"/>
      </bottom>
      <diagonal/>
    </border>
    <border>
      <left style="thin">
        <color theme="7" tint="-0.499984740745262"/>
      </left>
      <right style="thin">
        <color theme="7" tint="-0.499984740745262"/>
      </right>
      <top style="thin">
        <color theme="7" tint="0.79998168889431442"/>
      </top>
      <bottom style="thin">
        <color theme="7" tint="-0.499984740745262"/>
      </bottom>
      <diagonal/>
    </border>
    <border>
      <left style="thin">
        <color theme="7" tint="-0.499984740745262"/>
      </left>
      <right style="thin">
        <color theme="7" tint="-0.499984740745262"/>
      </right>
      <top/>
      <bottom style="thin">
        <color theme="7" tint="-0.499984740745262"/>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style="thin">
        <color theme="1" tint="0.24994659260841701"/>
      </left>
      <right style="thin">
        <color theme="1" tint="0.24994659260841701"/>
      </right>
      <top style="thin">
        <color theme="0"/>
      </top>
      <bottom style="thin">
        <color theme="1" tint="0.24994659260841701"/>
      </bottom>
      <diagonal/>
    </border>
    <border>
      <left style="thin">
        <color theme="0"/>
      </left>
      <right style="thin">
        <color theme="0"/>
      </right>
      <top style="thin">
        <color theme="0"/>
      </top>
      <bottom style="thin">
        <color theme="0"/>
      </bottom>
      <diagonal/>
    </border>
    <border>
      <left style="thin">
        <color rgb="FFFFC000"/>
      </left>
      <right style="thin">
        <color rgb="FFFFC000"/>
      </right>
      <top style="thin">
        <color rgb="FFFFC000"/>
      </top>
      <bottom/>
      <diagonal/>
    </border>
    <border>
      <left style="thin">
        <color rgb="FFFFC000"/>
      </left>
      <right style="thin">
        <color rgb="FFFFC000"/>
      </right>
      <top/>
      <bottom style="thin">
        <color rgb="FFFFC000"/>
      </bottom>
      <diagonal/>
    </border>
    <border>
      <left style="thin">
        <color rgb="FF0000FF"/>
      </left>
      <right style="thin">
        <color rgb="FF0000FF"/>
      </right>
      <top style="thin">
        <color rgb="FF0000FF"/>
      </top>
      <bottom style="thin">
        <color rgb="FF0000FF"/>
      </bottom>
      <diagonal/>
    </border>
    <border>
      <left style="thin">
        <color theme="5" tint="0.39997558519241921"/>
      </left>
      <right/>
      <top style="thin">
        <color theme="5" tint="0.39997558519241921"/>
      </top>
      <bottom style="thin">
        <color theme="5" tint="0.39997558519241921"/>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right/>
      <top style="thin">
        <color theme="0" tint="-4.9989318521683403E-2"/>
      </top>
      <bottom style="thin">
        <color theme="0" tint="-4.9989318521683403E-2"/>
      </bottom>
      <diagonal/>
    </border>
    <border>
      <left style="thin">
        <color theme="6" tint="0.79998168889431442"/>
      </left>
      <right style="thin">
        <color theme="6" tint="0.79998168889431442"/>
      </right>
      <top style="thin">
        <color theme="6" tint="0.79998168889431442"/>
      </top>
      <bottom style="thin">
        <color theme="6" tint="0.79998168889431442"/>
      </bottom>
      <diagonal/>
    </border>
    <border>
      <left style="thin">
        <color theme="6" tint="-0.499984740745262"/>
      </left>
      <right style="thin">
        <color theme="6" tint="-0.499984740745262"/>
      </right>
      <top/>
      <bottom style="thin">
        <color theme="6" tint="-0.499984740745262"/>
      </bottom>
      <diagonal/>
    </border>
    <border>
      <left style="thin">
        <color theme="6" tint="-0.499984740745262"/>
      </left>
      <right/>
      <top style="thin">
        <color theme="6" tint="-0.499984740745262"/>
      </top>
      <bottom style="thin">
        <color theme="6" tint="-0.499984740745262"/>
      </bottom>
      <diagonal/>
    </border>
    <border>
      <left/>
      <right/>
      <top style="thin">
        <color theme="6" tint="-0.499984740745262"/>
      </top>
      <bottom style="thin">
        <color theme="6" tint="-0.499984740745262"/>
      </bottom>
      <diagonal/>
    </border>
    <border>
      <left/>
      <right style="thin">
        <color theme="6" tint="-0.499984740745262"/>
      </right>
      <top style="thin">
        <color theme="6" tint="-0.499984740745262"/>
      </top>
      <bottom style="thin">
        <color theme="6" tint="-0.499984740745262"/>
      </bottom>
      <diagonal/>
    </border>
    <border>
      <left style="thin">
        <color rgb="FF00B050"/>
      </left>
      <right style="thin">
        <color rgb="FF00B050"/>
      </right>
      <top style="thin">
        <color rgb="FF00B050"/>
      </top>
      <bottom style="thin">
        <color rgb="FF00B050"/>
      </bottom>
      <diagonal/>
    </border>
    <border>
      <left style="thin">
        <color rgb="FF00B050"/>
      </left>
      <right style="thin">
        <color rgb="FF00B050"/>
      </right>
      <top/>
      <bottom style="thin">
        <color rgb="FF00B050"/>
      </bottom>
      <diagonal/>
    </border>
    <border>
      <left style="thin">
        <color rgb="FF00B050"/>
      </left>
      <right style="thin">
        <color rgb="FF00B050"/>
      </right>
      <top style="thin">
        <color theme="0"/>
      </top>
      <bottom/>
      <diagonal/>
    </border>
    <border>
      <left style="thin">
        <color rgb="FF00B050"/>
      </left>
      <right style="thin">
        <color rgb="FF00B050"/>
      </right>
      <top/>
      <bottom/>
      <diagonal/>
    </border>
    <border>
      <left style="thin">
        <color rgb="FF00B050"/>
      </left>
      <right style="thin">
        <color rgb="FF00B050"/>
      </right>
      <top style="thin">
        <color rgb="FF00B050"/>
      </top>
      <bottom/>
      <diagonal/>
    </border>
    <border>
      <left style="thin">
        <color theme="8" tint="0.39997558519241921"/>
      </left>
      <right/>
      <top style="thin">
        <color theme="8" tint="0.39997558519241921"/>
      </top>
      <bottom/>
      <diagonal/>
    </border>
    <border>
      <left/>
      <right/>
      <top style="thin">
        <color theme="8" tint="0.39997558519241921"/>
      </top>
      <bottom/>
      <diagonal/>
    </border>
    <border>
      <left/>
      <right style="thin">
        <color theme="8" tint="0.39997558519241921"/>
      </right>
      <top style="thin">
        <color theme="8" tint="0.39997558519241921"/>
      </top>
      <bottom/>
      <diagonal/>
    </border>
    <border>
      <left style="thin">
        <color theme="7" tint="0.39997558519241921"/>
      </left>
      <right/>
      <top style="thin">
        <color theme="7" tint="0.39997558519241921"/>
      </top>
      <bottom/>
      <diagonal/>
    </border>
    <border>
      <left/>
      <right/>
      <top style="thin">
        <color theme="7" tint="0.39997558519241921"/>
      </top>
      <bottom/>
      <diagonal/>
    </border>
    <border>
      <left/>
      <right style="thin">
        <color theme="7" tint="0.39997558519241921"/>
      </right>
      <top style="thin">
        <color theme="7" tint="0.39997558519241921"/>
      </top>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
      <left style="thin">
        <color theme="7" tint="0.39997558519241921"/>
      </left>
      <right/>
      <top style="thin">
        <color theme="7" tint="0.39997558519241921"/>
      </top>
      <bottom style="thin">
        <color theme="7" tint="0.39997558519241921"/>
      </bottom>
      <diagonal/>
    </border>
    <border>
      <left/>
      <right/>
      <top style="thin">
        <color theme="7" tint="0.39997558519241921"/>
      </top>
      <bottom style="thin">
        <color theme="7" tint="0.39997558519241921"/>
      </bottom>
      <diagonal/>
    </border>
    <border>
      <left/>
      <right style="thin">
        <color theme="7" tint="0.39997558519241921"/>
      </right>
      <top style="thin">
        <color theme="7" tint="0.39997558519241921"/>
      </top>
      <bottom style="thin">
        <color theme="7" tint="0.39997558519241921"/>
      </bottom>
      <diagonal/>
    </border>
    <border>
      <left style="medium">
        <color rgb="FFBBBBBB"/>
      </left>
      <right style="medium">
        <color rgb="FFBBBBBB"/>
      </right>
      <top style="medium">
        <color rgb="FFBBBBBB"/>
      </top>
      <bottom style="medium">
        <color rgb="FFBBBBBB"/>
      </bottom>
      <diagonal/>
    </border>
    <border>
      <left style="thin">
        <color theme="0"/>
      </left>
      <right style="thin">
        <color theme="0"/>
      </right>
      <top style="thin">
        <color theme="0"/>
      </top>
      <bottom/>
      <diagonal/>
    </border>
    <border>
      <left style="thin">
        <color rgb="FF002060"/>
      </left>
      <right/>
      <top style="thin">
        <color rgb="FF002060"/>
      </top>
      <bottom style="thin">
        <color rgb="FF002060"/>
      </bottom>
      <diagonal/>
    </border>
    <border>
      <left/>
      <right/>
      <top style="thin">
        <color rgb="FF002060"/>
      </top>
      <bottom style="thin">
        <color rgb="FF002060"/>
      </bottom>
      <diagonal/>
    </border>
    <border>
      <left/>
      <right style="thin">
        <color rgb="FF002060"/>
      </right>
      <top style="thin">
        <color rgb="FF002060"/>
      </top>
      <bottom style="thin">
        <color rgb="FF002060"/>
      </bottom>
      <diagonal/>
    </border>
  </borders>
  <cellStyleXfs count="7">
    <xf numFmtId="0" fontId="0" fillId="0" borderId="0"/>
    <xf numFmtId="0" fontId="3" fillId="0" borderId="0" applyNumberFormat="0" applyFill="0" applyBorder="0" applyAlignment="0" applyProtection="0"/>
    <xf numFmtId="0" fontId="26" fillId="16" borderId="1"/>
    <xf numFmtId="0" fontId="27" fillId="0" borderId="0" applyNumberFormat="0" applyFill="0" applyBorder="0" applyAlignment="0" applyProtection="0"/>
    <xf numFmtId="0" fontId="28" fillId="0" borderId="0"/>
    <xf numFmtId="0" fontId="29" fillId="0" borderId="0"/>
    <xf numFmtId="0" fontId="30" fillId="0" borderId="0"/>
  </cellStyleXfs>
  <cellXfs count="319">
    <xf numFmtId="0" fontId="0" fillId="0" borderId="0" xfId="0"/>
    <xf numFmtId="0" fontId="1" fillId="0" borderId="0" xfId="0" applyFont="1" applyBorder="1" applyAlignment="1">
      <alignment vertical="top"/>
    </xf>
    <xf numFmtId="0" fontId="1" fillId="0" borderId="1" xfId="0" applyFont="1" applyBorder="1"/>
    <xf numFmtId="0" fontId="2" fillId="0" borderId="1" xfId="0" applyFont="1" applyBorder="1" applyAlignment="1">
      <alignment vertical="top"/>
    </xf>
    <xf numFmtId="0" fontId="2" fillId="0" borderId="1" xfId="0" applyFont="1" applyBorder="1" applyAlignment="1">
      <alignment vertical="top" wrapText="1"/>
    </xf>
    <xf numFmtId="3" fontId="0" fillId="0" borderId="0" xfId="0" applyNumberFormat="1"/>
    <xf numFmtId="164" fontId="0" fillId="0" borderId="0" xfId="0" applyNumberFormat="1"/>
    <xf numFmtId="49" fontId="0" fillId="0" borderId="0" xfId="0" applyNumberFormat="1"/>
    <xf numFmtId="0" fontId="5" fillId="0" borderId="0" xfId="0" applyFont="1"/>
    <xf numFmtId="0" fontId="7" fillId="5" borderId="5" xfId="0" applyFont="1" applyFill="1" applyBorder="1"/>
    <xf numFmtId="0" fontId="5" fillId="0" borderId="4" xfId="0" applyFont="1" applyBorder="1"/>
    <xf numFmtId="0" fontId="0" fillId="0" borderId="4" xfId="0" applyBorder="1"/>
    <xf numFmtId="49" fontId="0" fillId="0" borderId="4" xfId="0" applyNumberFormat="1" applyBorder="1"/>
    <xf numFmtId="164" fontId="0" fillId="0" borderId="4" xfId="0" applyNumberFormat="1" applyBorder="1"/>
    <xf numFmtId="3" fontId="0" fillId="0" borderId="4" xfId="0" applyNumberFormat="1" applyBorder="1"/>
    <xf numFmtId="0" fontId="0" fillId="0" borderId="4" xfId="0" quotePrefix="1" applyBorder="1"/>
    <xf numFmtId="0" fontId="8" fillId="0" borderId="4" xfId="0" applyFont="1" applyBorder="1"/>
    <xf numFmtId="0" fontId="8" fillId="0" borderId="0" xfId="0" applyFont="1"/>
    <xf numFmtId="0" fontId="9" fillId="6" borderId="4" xfId="0" applyFont="1" applyFill="1" applyBorder="1"/>
    <xf numFmtId="0" fontId="8" fillId="7" borderId="4" xfId="0" applyFont="1" applyFill="1" applyBorder="1"/>
    <xf numFmtId="0" fontId="8" fillId="8" borderId="4" xfId="0" applyFont="1" applyFill="1" applyBorder="1"/>
    <xf numFmtId="0" fontId="8" fillId="6" borderId="4" xfId="0" applyFont="1" applyFill="1" applyBorder="1"/>
    <xf numFmtId="0" fontId="3" fillId="0" borderId="1" xfId="1" applyBorder="1" applyAlignment="1">
      <alignment vertical="top"/>
    </xf>
    <xf numFmtId="0" fontId="10" fillId="9" borderId="6" xfId="0" applyFont="1" applyFill="1" applyBorder="1"/>
    <xf numFmtId="0" fontId="10" fillId="9" borderId="6" xfId="0" applyFont="1" applyFill="1" applyBorder="1" applyAlignment="1">
      <alignment wrapText="1"/>
    </xf>
    <xf numFmtId="0" fontId="0" fillId="0" borderId="0" xfId="0" applyAlignment="1">
      <alignment wrapText="1"/>
    </xf>
    <xf numFmtId="0" fontId="0" fillId="0" borderId="6" xfId="0" applyBorder="1" applyAlignment="1">
      <alignment vertical="top"/>
    </xf>
    <xf numFmtId="0" fontId="2" fillId="0" borderId="6" xfId="0" applyFont="1" applyBorder="1" applyAlignment="1">
      <alignment vertical="top" wrapText="1"/>
    </xf>
    <xf numFmtId="0" fontId="8" fillId="0" borderId="6" xfId="0" applyFont="1" applyBorder="1" applyAlignment="1">
      <alignment vertical="top"/>
    </xf>
    <xf numFmtId="0" fontId="8" fillId="8" borderId="6" xfId="0" applyFont="1" applyFill="1" applyBorder="1" applyAlignment="1">
      <alignment vertical="top"/>
    </xf>
    <xf numFmtId="0" fontId="8" fillId="10" borderId="6" xfId="0" applyFont="1" applyFill="1" applyBorder="1" applyAlignment="1">
      <alignment vertical="top"/>
    </xf>
    <xf numFmtId="0" fontId="8" fillId="11" borderId="6" xfId="0" applyFont="1" applyFill="1" applyBorder="1" applyAlignment="1">
      <alignment vertical="top"/>
    </xf>
    <xf numFmtId="0" fontId="7" fillId="5" borderId="5" xfId="0" applyFont="1" applyFill="1" applyBorder="1" applyAlignment="1">
      <alignment vertical="top"/>
    </xf>
    <xf numFmtId="0" fontId="5" fillId="0" borderId="4" xfId="0" applyFont="1" applyBorder="1" applyAlignment="1">
      <alignment vertical="top"/>
    </xf>
    <xf numFmtId="0" fontId="0" fillId="0" borderId="4" xfId="0" applyBorder="1" applyAlignment="1">
      <alignment vertical="top"/>
    </xf>
    <xf numFmtId="0" fontId="0" fillId="0" borderId="4" xfId="0" quotePrefix="1" applyBorder="1" applyAlignment="1">
      <alignment vertical="top"/>
    </xf>
    <xf numFmtId="164" fontId="0" fillId="0" borderId="4" xfId="0" applyNumberFormat="1" applyBorder="1" applyAlignment="1">
      <alignment vertical="top"/>
    </xf>
    <xf numFmtId="3" fontId="0" fillId="0" borderId="4" xfId="0" applyNumberFormat="1" applyBorder="1" applyAlignment="1">
      <alignment vertical="top"/>
    </xf>
    <xf numFmtId="0" fontId="8" fillId="0" borderId="4" xfId="0" applyFont="1" applyBorder="1" applyAlignment="1">
      <alignment vertical="top"/>
    </xf>
    <xf numFmtId="49" fontId="0" fillId="0" borderId="4" xfId="0" applyNumberFormat="1" applyBorder="1" applyAlignment="1">
      <alignment vertical="top" wrapText="1"/>
    </xf>
    <xf numFmtId="0" fontId="5" fillId="0" borderId="4" xfId="0" applyFont="1" applyBorder="1" applyAlignment="1">
      <alignment vertical="top" wrapText="1"/>
    </xf>
    <xf numFmtId="0" fontId="6" fillId="0" borderId="4" xfId="0" applyFont="1" applyBorder="1" applyAlignment="1">
      <alignment vertical="top"/>
    </xf>
    <xf numFmtId="0" fontId="0" fillId="0" borderId="0" xfId="0" applyBorder="1" applyAlignment="1">
      <alignment vertical="top"/>
    </xf>
    <xf numFmtId="49" fontId="0" fillId="0" borderId="0" xfId="0" applyNumberFormat="1" applyBorder="1" applyAlignment="1">
      <alignment vertical="top" wrapText="1"/>
    </xf>
    <xf numFmtId="0" fontId="0" fillId="0" borderId="0" xfId="0" quotePrefix="1" applyBorder="1" applyAlignment="1">
      <alignment vertical="top"/>
    </xf>
    <xf numFmtId="164" fontId="0" fillId="0" borderId="0" xfId="0" applyNumberFormat="1" applyBorder="1" applyAlignment="1">
      <alignment vertical="top"/>
    </xf>
    <xf numFmtId="3" fontId="0" fillId="0" borderId="0" xfId="0" applyNumberFormat="1" applyBorder="1" applyAlignment="1">
      <alignment vertical="top"/>
    </xf>
    <xf numFmtId="0" fontId="5" fillId="0" borderId="0" xfId="0" applyFont="1" applyBorder="1" applyAlignment="1">
      <alignment vertical="top" wrapText="1"/>
    </xf>
    <xf numFmtId="0" fontId="8" fillId="0" borderId="0" xfId="0" applyFont="1" applyBorder="1" applyAlignment="1">
      <alignment vertical="top"/>
    </xf>
    <xf numFmtId="0" fontId="6" fillId="0" borderId="0" xfId="0" applyFont="1" applyBorder="1" applyAlignment="1">
      <alignment vertical="top"/>
    </xf>
    <xf numFmtId="0" fontId="4" fillId="0" borderId="1" xfId="1" applyFont="1" applyBorder="1" applyAlignment="1">
      <alignment vertical="top"/>
    </xf>
    <xf numFmtId="49" fontId="5" fillId="0" borderId="4" xfId="0" applyNumberFormat="1" applyFont="1" applyBorder="1" applyAlignment="1">
      <alignment vertical="top"/>
    </xf>
    <xf numFmtId="49" fontId="6" fillId="0" borderId="4" xfId="0" applyNumberFormat="1" applyFont="1" applyBorder="1" applyAlignment="1">
      <alignment vertical="top"/>
    </xf>
    <xf numFmtId="49" fontId="6" fillId="0" borderId="0" xfId="0" applyNumberFormat="1" applyFont="1" applyBorder="1" applyAlignment="1">
      <alignment vertical="top"/>
    </xf>
    <xf numFmtId="0" fontId="3" fillId="0" borderId="1" xfId="1" quotePrefix="1" applyBorder="1" applyAlignment="1">
      <alignment horizontal="left" vertical="top"/>
    </xf>
    <xf numFmtId="0" fontId="0" fillId="0" borderId="9" xfId="0" applyBorder="1"/>
    <xf numFmtId="3" fontId="0" fillId="0" borderId="9" xfId="0" applyNumberFormat="1" applyBorder="1"/>
    <xf numFmtId="0" fontId="0" fillId="0" borderId="9" xfId="0" applyBorder="1"/>
    <xf numFmtId="0" fontId="5" fillId="0" borderId="9" xfId="0" applyFont="1" applyBorder="1"/>
    <xf numFmtId="0" fontId="13" fillId="8" borderId="9" xfId="0" applyFont="1" applyFill="1" applyBorder="1"/>
    <xf numFmtId="0" fontId="13" fillId="8" borderId="9" xfId="0" applyFont="1" applyFill="1" applyBorder="1" applyAlignment="1">
      <alignment horizontal="right"/>
    </xf>
    <xf numFmtId="0" fontId="7" fillId="12" borderId="10" xfId="0" applyFont="1" applyFill="1" applyBorder="1" applyAlignment="1">
      <alignment vertical="top"/>
    </xf>
    <xf numFmtId="0" fontId="5" fillId="0" borderId="11" xfId="0" applyFont="1" applyBorder="1" applyAlignment="1">
      <alignment vertical="top"/>
    </xf>
    <xf numFmtId="0" fontId="0" fillId="0" borderId="11" xfId="0" applyBorder="1" applyAlignment="1">
      <alignment vertical="top"/>
    </xf>
    <xf numFmtId="0" fontId="6" fillId="0" borderId="12" xfId="0" applyFont="1" applyBorder="1" applyAlignment="1">
      <alignment vertical="top"/>
    </xf>
    <xf numFmtId="0" fontId="5" fillId="0" borderId="12" xfId="0" applyFont="1" applyBorder="1" applyAlignment="1">
      <alignment vertical="top"/>
    </xf>
    <xf numFmtId="0" fontId="0" fillId="0" borderId="12" xfId="0" applyBorder="1" applyAlignment="1">
      <alignment vertical="top"/>
    </xf>
    <xf numFmtId="0" fontId="0" fillId="0" borderId="11" xfId="0" applyBorder="1" applyAlignment="1">
      <alignment vertical="top" wrapText="1"/>
    </xf>
    <xf numFmtId="0" fontId="0" fillId="0" borderId="12" xfId="0" applyBorder="1" applyAlignment="1">
      <alignment vertical="top" wrapText="1"/>
    </xf>
    <xf numFmtId="0" fontId="0" fillId="0" borderId="13" xfId="0" applyBorder="1" applyAlignment="1">
      <alignment vertical="top"/>
    </xf>
    <xf numFmtId="164" fontId="0" fillId="0" borderId="13" xfId="0" applyNumberFormat="1" applyBorder="1" applyAlignment="1">
      <alignment vertical="top"/>
    </xf>
    <xf numFmtId="3" fontId="0" fillId="0" borderId="13" xfId="0" applyNumberFormat="1" applyBorder="1" applyAlignment="1">
      <alignment vertical="top"/>
    </xf>
    <xf numFmtId="0" fontId="14" fillId="0" borderId="13" xfId="0" applyFont="1" applyBorder="1" applyAlignment="1">
      <alignment vertical="top"/>
    </xf>
    <xf numFmtId="164" fontId="0" fillId="0" borderId="11" xfId="0" applyNumberFormat="1" applyBorder="1" applyAlignment="1">
      <alignment vertical="top"/>
    </xf>
    <xf numFmtId="3" fontId="0" fillId="0" borderId="11" xfId="0" applyNumberFormat="1" applyBorder="1" applyAlignment="1">
      <alignment vertical="top"/>
    </xf>
    <xf numFmtId="0" fontId="14" fillId="0" borderId="11" xfId="0" applyFont="1" applyBorder="1" applyAlignment="1">
      <alignment vertical="top"/>
    </xf>
    <xf numFmtId="0" fontId="7" fillId="12" borderId="10" xfId="0" applyFont="1" applyFill="1" applyBorder="1"/>
    <xf numFmtId="0" fontId="15" fillId="13" borderId="14" xfId="0" applyFont="1" applyFill="1" applyBorder="1" applyAlignment="1">
      <alignment vertical="top"/>
    </xf>
    <xf numFmtId="0" fontId="0" fillId="0" borderId="15" xfId="0" applyBorder="1" applyAlignment="1">
      <alignment vertical="top"/>
    </xf>
    <xf numFmtId="0" fontId="0" fillId="0" borderId="15" xfId="0" applyBorder="1" applyAlignment="1">
      <alignment vertical="top"/>
    </xf>
    <xf numFmtId="3" fontId="0" fillId="0" borderId="15" xfId="0" applyNumberFormat="1" applyBorder="1" applyAlignment="1">
      <alignment vertical="top"/>
    </xf>
    <xf numFmtId="0" fontId="0" fillId="0" borderId="16" xfId="0" applyBorder="1" applyAlignment="1">
      <alignment vertical="top"/>
    </xf>
    <xf numFmtId="0" fontId="0" fillId="0" borderId="16" xfId="0" applyBorder="1" applyAlignment="1">
      <alignment vertical="top"/>
    </xf>
    <xf numFmtId="3" fontId="0" fillId="0" borderId="16" xfId="0" applyNumberFormat="1" applyBorder="1" applyAlignment="1">
      <alignment vertical="top"/>
    </xf>
    <xf numFmtId="3" fontId="8" fillId="0" borderId="15" xfId="0" applyNumberFormat="1" applyFont="1" applyBorder="1" applyAlignment="1">
      <alignment vertical="top"/>
    </xf>
    <xf numFmtId="3" fontId="8" fillId="0" borderId="16" xfId="0" applyNumberFormat="1" applyFont="1" applyBorder="1" applyAlignment="1">
      <alignment vertical="top"/>
    </xf>
    <xf numFmtId="0" fontId="15" fillId="13" borderId="14" xfId="0" applyFont="1" applyFill="1" applyBorder="1" applyAlignment="1">
      <alignment vertical="top" wrapText="1"/>
    </xf>
    <xf numFmtId="3" fontId="8" fillId="0" borderId="16" xfId="0" applyNumberFormat="1" applyFont="1" applyBorder="1" applyAlignment="1">
      <alignment vertical="top" wrapText="1"/>
    </xf>
    <xf numFmtId="49" fontId="3" fillId="0" borderId="0" xfId="1" applyNumberFormat="1"/>
    <xf numFmtId="0" fontId="16" fillId="14" borderId="20" xfId="0" applyFont="1" applyFill="1" applyBorder="1" applyAlignment="1">
      <alignment vertical="top"/>
    </xf>
    <xf numFmtId="0" fontId="2" fillId="0" borderId="21" xfId="0" applyFont="1" applyBorder="1" applyAlignment="1">
      <alignment vertical="top"/>
    </xf>
    <xf numFmtId="0" fontId="14" fillId="0" borderId="21" xfId="0" applyFont="1" applyBorder="1" applyAlignment="1">
      <alignment vertical="top"/>
    </xf>
    <xf numFmtId="0" fontId="0" fillId="0" borderId="21" xfId="0" applyBorder="1" applyAlignment="1">
      <alignment vertical="top"/>
    </xf>
    <xf numFmtId="0" fontId="0" fillId="0" borderId="21" xfId="0" applyBorder="1" applyAlignment="1">
      <alignment vertical="top"/>
    </xf>
    <xf numFmtId="0" fontId="8" fillId="0" borderId="21" xfId="0" applyFont="1" applyBorder="1" applyAlignment="1">
      <alignment vertical="top"/>
    </xf>
    <xf numFmtId="0" fontId="2" fillId="0" borderId="22" xfId="0" applyFont="1" applyBorder="1" applyAlignment="1">
      <alignment vertical="top"/>
    </xf>
    <xf numFmtId="0" fontId="14" fillId="0" borderId="22" xfId="0" applyFont="1" applyBorder="1" applyAlignment="1">
      <alignment vertical="top"/>
    </xf>
    <xf numFmtId="0" fontId="19" fillId="0" borderId="22" xfId="0" applyFont="1" applyBorder="1" applyAlignment="1">
      <alignment vertical="top"/>
    </xf>
    <xf numFmtId="0" fontId="0" fillId="0" borderId="22" xfId="0" applyBorder="1" applyAlignment="1">
      <alignment vertical="top"/>
    </xf>
    <xf numFmtId="0" fontId="0" fillId="0" borderId="22" xfId="0" applyBorder="1" applyAlignment="1">
      <alignment vertical="top"/>
    </xf>
    <xf numFmtId="0" fontId="8" fillId="0" borderId="22" xfId="0" applyFont="1" applyBorder="1" applyAlignment="1">
      <alignment vertical="top"/>
    </xf>
    <xf numFmtId="0" fontId="18" fillId="0" borderId="22" xfId="0" applyFont="1" applyBorder="1" applyAlignment="1">
      <alignment vertical="top"/>
    </xf>
    <xf numFmtId="0" fontId="20" fillId="0" borderId="22" xfId="0" applyFont="1" applyBorder="1" applyAlignment="1">
      <alignment vertical="top"/>
    </xf>
    <xf numFmtId="0" fontId="18" fillId="0" borderId="0" xfId="0" applyFont="1" applyBorder="1" applyAlignment="1">
      <alignment vertical="top"/>
    </xf>
    <xf numFmtId="0" fontId="14" fillId="0" borderId="0" xfId="0" applyFont="1" applyBorder="1" applyAlignment="1">
      <alignment vertical="top"/>
    </xf>
    <xf numFmtId="0" fontId="19" fillId="0" borderId="0" xfId="0" applyFont="1" applyBorder="1" applyAlignment="1">
      <alignment vertical="top"/>
    </xf>
    <xf numFmtId="0" fontId="0" fillId="0" borderId="0" xfId="0" applyBorder="1" applyAlignment="1">
      <alignment vertical="top"/>
    </xf>
    <xf numFmtId="0" fontId="2" fillId="0" borderId="0" xfId="0" applyFont="1" applyBorder="1" applyAlignment="1">
      <alignment vertical="top"/>
    </xf>
    <xf numFmtId="0" fontId="20" fillId="0" borderId="0" xfId="0" applyFont="1" applyBorder="1" applyAlignment="1">
      <alignment vertical="top"/>
    </xf>
    <xf numFmtId="0" fontId="16" fillId="14" borderId="20" xfId="0" applyFont="1" applyFill="1" applyBorder="1" applyAlignment="1">
      <alignment vertical="top" wrapText="1"/>
    </xf>
    <xf numFmtId="0" fontId="17" fillId="0" borderId="21" xfId="0" applyFont="1" applyBorder="1" applyAlignment="1">
      <alignment vertical="top" wrapText="1"/>
    </xf>
    <xf numFmtId="0" fontId="17" fillId="0" borderId="22" xfId="0" applyFont="1" applyBorder="1" applyAlignment="1">
      <alignment vertical="top" wrapText="1"/>
    </xf>
    <xf numFmtId="0" fontId="17" fillId="0" borderId="0" xfId="0" applyFont="1" applyBorder="1" applyAlignment="1">
      <alignment vertical="top" wrapText="1"/>
    </xf>
    <xf numFmtId="0" fontId="21" fillId="0" borderId="22" xfId="0" applyFont="1" applyBorder="1" applyAlignment="1">
      <alignment vertical="top"/>
    </xf>
    <xf numFmtId="0" fontId="22" fillId="0" borderId="22" xfId="0" applyFont="1" applyBorder="1" applyAlignment="1">
      <alignment vertical="top"/>
    </xf>
    <xf numFmtId="0" fontId="21" fillId="0" borderId="22" xfId="0" applyFont="1" applyBorder="1" applyAlignment="1">
      <alignment vertical="top"/>
    </xf>
    <xf numFmtId="0" fontId="23" fillId="0" borderId="22" xfId="0" applyFont="1" applyBorder="1" applyAlignment="1">
      <alignment vertical="top"/>
    </xf>
    <xf numFmtId="0" fontId="24" fillId="0" borderId="22" xfId="0" applyFont="1" applyBorder="1" applyAlignment="1">
      <alignment vertical="top" wrapText="1"/>
    </xf>
    <xf numFmtId="0" fontId="3" fillId="0" borderId="0" xfId="1"/>
    <xf numFmtId="3" fontId="0" fillId="0" borderId="23" xfId="0" applyNumberFormat="1" applyBorder="1" applyAlignment="1">
      <alignment vertical="top"/>
    </xf>
    <xf numFmtId="0" fontId="0" fillId="0" borderId="23" xfId="0" applyBorder="1" applyAlignment="1">
      <alignment vertical="top"/>
    </xf>
    <xf numFmtId="3" fontId="0" fillId="0" borderId="24" xfId="0" applyNumberFormat="1" applyBorder="1" applyAlignment="1">
      <alignment vertical="top"/>
    </xf>
    <xf numFmtId="0" fontId="0" fillId="0" borderId="24" xfId="0" applyBorder="1" applyAlignment="1">
      <alignment vertical="top"/>
    </xf>
    <xf numFmtId="0" fontId="25" fillId="15" borderId="25" xfId="0" applyFont="1" applyFill="1" applyBorder="1"/>
    <xf numFmtId="0" fontId="7" fillId="12" borderId="10" xfId="0" applyFont="1" applyFill="1" applyBorder="1" applyAlignment="1">
      <alignment horizontal="center"/>
    </xf>
    <xf numFmtId="0" fontId="0" fillId="0" borderId="11" xfId="0" applyBorder="1"/>
    <xf numFmtId="0" fontId="0" fillId="0" borderId="13" xfId="0" applyBorder="1"/>
    <xf numFmtId="0" fontId="1" fillId="0" borderId="0" xfId="0" applyFont="1" applyAlignment="1">
      <alignment vertical="top"/>
    </xf>
    <xf numFmtId="0" fontId="0" fillId="0" borderId="0" xfId="0" applyAlignment="1">
      <alignment vertical="top"/>
    </xf>
    <xf numFmtId="0" fontId="1" fillId="0" borderId="0" xfId="0" applyFont="1" applyAlignment="1">
      <alignment vertical="top" wrapText="1"/>
    </xf>
    <xf numFmtId="0" fontId="0" fillId="0" borderId="0" xfId="0" applyAlignment="1">
      <alignment vertical="top" wrapText="1"/>
    </xf>
    <xf numFmtId="0" fontId="0" fillId="0" borderId="28" xfId="0" applyBorder="1" applyAlignment="1">
      <alignment vertical="top"/>
    </xf>
    <xf numFmtId="0" fontId="0" fillId="0" borderId="28" xfId="0" applyBorder="1" applyAlignment="1">
      <alignment vertical="top" wrapText="1"/>
    </xf>
    <xf numFmtId="0" fontId="31" fillId="7" borderId="28" xfId="0" applyFont="1" applyFill="1" applyBorder="1" applyAlignment="1">
      <alignment vertical="top"/>
    </xf>
    <xf numFmtId="0" fontId="31" fillId="7" borderId="28" xfId="0" applyFont="1" applyFill="1" applyBorder="1" applyAlignment="1">
      <alignment vertical="top" wrapText="1"/>
    </xf>
    <xf numFmtId="0" fontId="0" fillId="17" borderId="28" xfId="0" applyFill="1" applyBorder="1" applyAlignment="1">
      <alignment vertical="top"/>
    </xf>
    <xf numFmtId="0" fontId="0" fillId="17" borderId="28" xfId="0" applyFill="1" applyBorder="1" applyAlignment="1">
      <alignment vertical="top" wrapText="1"/>
    </xf>
    <xf numFmtId="0" fontId="0" fillId="19" borderId="29" xfId="0" applyFont="1" applyFill="1" applyBorder="1"/>
    <xf numFmtId="0" fontId="0" fillId="19" borderId="30" xfId="0" applyFont="1" applyFill="1" applyBorder="1"/>
    <xf numFmtId="0" fontId="0" fillId="19" borderId="31" xfId="0" applyFont="1" applyFill="1" applyBorder="1"/>
    <xf numFmtId="0" fontId="25" fillId="18" borderId="32" xfId="0" applyFont="1" applyFill="1" applyBorder="1"/>
    <xf numFmtId="0" fontId="25" fillId="18" borderId="33" xfId="0" applyFont="1" applyFill="1" applyBorder="1"/>
    <xf numFmtId="0" fontId="25" fillId="18" borderId="34" xfId="0" applyFont="1" applyFill="1" applyBorder="1"/>
    <xf numFmtId="0" fontId="0" fillId="19" borderId="32" xfId="0" applyFont="1" applyFill="1" applyBorder="1"/>
    <xf numFmtId="0" fontId="0" fillId="19" borderId="33" xfId="0" applyFont="1" applyFill="1" applyBorder="1"/>
    <xf numFmtId="0" fontId="0" fillId="19" borderId="34" xfId="0" applyFont="1" applyFill="1" applyBorder="1"/>
    <xf numFmtId="0" fontId="0" fillId="0" borderId="32" xfId="0" applyFont="1" applyBorder="1"/>
    <xf numFmtId="0" fontId="0" fillId="0" borderId="33" xfId="0" applyFont="1" applyBorder="1"/>
    <xf numFmtId="0" fontId="0" fillId="0" borderId="34" xfId="0" applyFont="1" applyBorder="1"/>
    <xf numFmtId="3" fontId="0" fillId="0" borderId="28" xfId="0" applyNumberFormat="1" applyBorder="1" applyAlignment="1">
      <alignment vertical="top"/>
    </xf>
    <xf numFmtId="164" fontId="0" fillId="0" borderId="28" xfId="0" applyNumberFormat="1" applyBorder="1" applyAlignment="1">
      <alignment vertical="top"/>
    </xf>
    <xf numFmtId="0" fontId="1" fillId="0" borderId="0" xfId="0" applyFont="1"/>
    <xf numFmtId="164" fontId="0" fillId="0" borderId="28" xfId="0" applyNumberFormat="1" applyBorder="1" applyAlignment="1">
      <alignment horizontal="left" vertical="top"/>
    </xf>
    <xf numFmtId="0" fontId="32" fillId="19" borderId="29" xfId="0" applyFont="1" applyFill="1" applyBorder="1" applyAlignment="1">
      <alignment vertical="top"/>
    </xf>
    <xf numFmtId="0" fontId="33" fillId="19" borderId="31" xfId="1" applyFont="1" applyFill="1" applyBorder="1" applyAlignment="1">
      <alignment vertical="top" wrapText="1"/>
    </xf>
    <xf numFmtId="0" fontId="32" fillId="19" borderId="32" xfId="0" applyFont="1" applyFill="1" applyBorder="1" applyAlignment="1">
      <alignment vertical="top"/>
    </xf>
    <xf numFmtId="0" fontId="33" fillId="19" borderId="34" xfId="1" applyFont="1" applyFill="1" applyBorder="1" applyAlignment="1">
      <alignment vertical="top" wrapText="1"/>
    </xf>
    <xf numFmtId="0" fontId="32" fillId="0" borderId="32" xfId="0" applyFont="1" applyBorder="1" applyAlignment="1">
      <alignment vertical="top"/>
    </xf>
    <xf numFmtId="0" fontId="33" fillId="0" borderId="34" xfId="1" applyFont="1" applyBorder="1" applyAlignment="1">
      <alignment vertical="top" wrapText="1"/>
    </xf>
    <xf numFmtId="0" fontId="32" fillId="0" borderId="32" xfId="0" applyFont="1" applyBorder="1" applyAlignment="1">
      <alignment vertical="top" wrapText="1"/>
    </xf>
    <xf numFmtId="0" fontId="0" fillId="0" borderId="35" xfId="0" applyBorder="1"/>
    <xf numFmtId="0" fontId="0" fillId="0" borderId="36" xfId="0" applyBorder="1"/>
    <xf numFmtId="0" fontId="34" fillId="0" borderId="35" xfId="0" applyFont="1" applyBorder="1"/>
    <xf numFmtId="0" fontId="2" fillId="0" borderId="35" xfId="0" applyFont="1" applyBorder="1"/>
    <xf numFmtId="0" fontId="34" fillId="0" borderId="36" xfId="0" applyFont="1" applyBorder="1"/>
    <xf numFmtId="0" fontId="35" fillId="20" borderId="37" xfId="0" applyFont="1" applyFill="1" applyBorder="1" applyAlignment="1">
      <alignment horizontal="left"/>
    </xf>
    <xf numFmtId="0" fontId="36" fillId="20" borderId="37" xfId="0" applyFont="1" applyFill="1" applyBorder="1" applyAlignment="1">
      <alignment horizontal="left"/>
    </xf>
    <xf numFmtId="0" fontId="35" fillId="20" borderId="37" xfId="0" applyFont="1" applyFill="1" applyBorder="1" applyAlignment="1">
      <alignment horizontal="right"/>
    </xf>
    <xf numFmtId="0" fontId="35" fillId="20" borderId="37" xfId="0" applyFont="1" applyFill="1" applyBorder="1"/>
    <xf numFmtId="0" fontId="37" fillId="20" borderId="37" xfId="0" applyFont="1" applyFill="1" applyBorder="1"/>
    <xf numFmtId="0" fontId="0" fillId="2" borderId="36" xfId="0" applyFill="1" applyBorder="1"/>
    <xf numFmtId="164" fontId="0" fillId="2" borderId="36" xfId="0" applyNumberFormat="1" applyFill="1" applyBorder="1"/>
    <xf numFmtId="3" fontId="0" fillId="2" borderId="36" xfId="0" applyNumberFormat="1" applyFill="1" applyBorder="1"/>
    <xf numFmtId="164" fontId="0" fillId="2" borderId="35" xfId="0" applyNumberFormat="1" applyFill="1" applyBorder="1"/>
    <xf numFmtId="3" fontId="0" fillId="2" borderId="35" xfId="0" applyNumberFormat="1" applyFill="1" applyBorder="1"/>
    <xf numFmtId="0" fontId="0" fillId="21" borderId="36" xfId="0" applyFill="1" applyBorder="1"/>
    <xf numFmtId="164" fontId="0" fillId="21" borderId="36" xfId="0" applyNumberFormat="1" applyFill="1" applyBorder="1"/>
    <xf numFmtId="3" fontId="0" fillId="21" borderId="36" xfId="0" applyNumberFormat="1" applyFill="1" applyBorder="1"/>
    <xf numFmtId="164" fontId="0" fillId="21" borderId="35" xfId="0" applyNumberFormat="1" applyFill="1" applyBorder="1"/>
    <xf numFmtId="3" fontId="0" fillId="21" borderId="35" xfId="0" applyNumberFormat="1" applyFill="1" applyBorder="1"/>
    <xf numFmtId="3" fontId="17" fillId="0" borderId="36" xfId="0" applyNumberFormat="1" applyFont="1" applyBorder="1" applyProtection="1">
      <protection locked="0"/>
    </xf>
    <xf numFmtId="0" fontId="17" fillId="0" borderId="36" xfId="0" applyFont="1" applyBorder="1" applyProtection="1">
      <protection locked="0"/>
    </xf>
    <xf numFmtId="3" fontId="17" fillId="0" borderId="35" xfId="0" applyNumberFormat="1" applyFont="1" applyBorder="1" applyProtection="1">
      <protection locked="0"/>
    </xf>
    <xf numFmtId="0" fontId="17" fillId="0" borderId="35" xfId="0" applyFont="1" applyBorder="1" applyProtection="1">
      <protection locked="0"/>
    </xf>
    <xf numFmtId="0" fontId="0" fillId="0" borderId="1" xfId="0" applyBorder="1"/>
    <xf numFmtId="0" fontId="7" fillId="22" borderId="10" xfId="0" applyFont="1" applyFill="1" applyBorder="1"/>
    <xf numFmtId="0" fontId="0" fillId="0" borderId="16" xfId="0" applyBorder="1"/>
    <xf numFmtId="3" fontId="0" fillId="0" borderId="16" xfId="0" applyNumberFormat="1" applyBorder="1"/>
    <xf numFmtId="164" fontId="0" fillId="0" borderId="16" xfId="0" applyNumberFormat="1" applyBorder="1"/>
    <xf numFmtId="0" fontId="0" fillId="0" borderId="18" xfId="0" applyBorder="1"/>
    <xf numFmtId="3" fontId="0" fillId="0" borderId="18" xfId="0" applyNumberFormat="1" applyBorder="1"/>
    <xf numFmtId="164" fontId="0" fillId="0" borderId="18" xfId="0" applyNumberFormat="1" applyBorder="1"/>
    <xf numFmtId="0" fontId="15" fillId="13" borderId="14" xfId="0" applyFont="1" applyFill="1" applyBorder="1"/>
    <xf numFmtId="0" fontId="15" fillId="13" borderId="14" xfId="0" applyFont="1" applyFill="1" applyBorder="1" applyAlignment="1">
      <alignment horizontal="right"/>
    </xf>
    <xf numFmtId="0" fontId="38" fillId="23" borderId="43" xfId="0" applyFont="1" applyFill="1" applyBorder="1" applyAlignment="1">
      <alignment vertical="top"/>
    </xf>
    <xf numFmtId="0" fontId="14" fillId="0" borderId="44" xfId="0" applyFont="1" applyBorder="1" applyAlignment="1">
      <alignment vertical="top"/>
    </xf>
    <xf numFmtId="0" fontId="5" fillId="0" borderId="44" xfId="0" applyFont="1" applyBorder="1"/>
    <xf numFmtId="49" fontId="0" fillId="0" borderId="0" xfId="0" applyNumberFormat="1" applyAlignment="1">
      <alignment vertical="top"/>
    </xf>
    <xf numFmtId="49" fontId="19" fillId="0" borderId="0" xfId="0" applyNumberFormat="1" applyFont="1" applyAlignment="1">
      <alignment vertical="top"/>
    </xf>
    <xf numFmtId="49" fontId="2" fillId="0" borderId="0" xfId="0" applyNumberFormat="1" applyFont="1" applyAlignment="1">
      <alignment vertical="top" wrapText="1"/>
    </xf>
    <xf numFmtId="0" fontId="2" fillId="0" borderId="1" xfId="0" applyFont="1" applyBorder="1"/>
    <xf numFmtId="0" fontId="7" fillId="22" borderId="0" xfId="0" applyFont="1" applyFill="1" applyBorder="1"/>
    <xf numFmtId="0" fontId="25" fillId="24" borderId="25" xfId="0" applyFont="1" applyFill="1" applyBorder="1"/>
    <xf numFmtId="0" fontId="25" fillId="24" borderId="25" xfId="0" applyFont="1" applyFill="1" applyBorder="1" applyAlignment="1">
      <alignment horizontal="right"/>
    </xf>
    <xf numFmtId="0" fontId="0" fillId="0" borderId="49" xfId="0" applyBorder="1" applyAlignment="1">
      <alignment vertical="top"/>
    </xf>
    <xf numFmtId="0" fontId="0" fillId="0" borderId="48" xfId="0" applyBorder="1" applyAlignment="1">
      <alignment vertical="top"/>
    </xf>
    <xf numFmtId="164" fontId="0" fillId="0" borderId="50" xfId="0" applyNumberFormat="1" applyBorder="1" applyAlignment="1">
      <alignment vertical="top"/>
    </xf>
    <xf numFmtId="164" fontId="0" fillId="0" borderId="49" xfId="0" applyNumberFormat="1" applyBorder="1" applyAlignment="1">
      <alignment vertical="top"/>
    </xf>
    <xf numFmtId="164" fontId="0" fillId="0" borderId="48" xfId="0" applyNumberFormat="1" applyBorder="1" applyAlignment="1">
      <alignment vertical="top"/>
    </xf>
    <xf numFmtId="3" fontId="0" fillId="0" borderId="50" xfId="0" applyNumberFormat="1" applyBorder="1" applyAlignment="1">
      <alignment vertical="top"/>
    </xf>
    <xf numFmtId="3" fontId="0" fillId="0" borderId="49" xfId="0" applyNumberFormat="1" applyBorder="1" applyAlignment="1">
      <alignment vertical="top"/>
    </xf>
    <xf numFmtId="3" fontId="0" fillId="0" borderId="48" xfId="0" applyNumberFormat="1" applyBorder="1" applyAlignment="1">
      <alignment vertical="top"/>
    </xf>
    <xf numFmtId="0" fontId="19" fillId="0" borderId="49" xfId="0" applyFont="1" applyBorder="1" applyAlignment="1">
      <alignment vertical="top"/>
    </xf>
    <xf numFmtId="0" fontId="19" fillId="0" borderId="48" xfId="0" applyFont="1" applyBorder="1" applyAlignment="1">
      <alignment vertical="top"/>
    </xf>
    <xf numFmtId="0" fontId="0" fillId="0" borderId="51" xfId="0" applyBorder="1" applyAlignment="1">
      <alignment vertical="top"/>
    </xf>
    <xf numFmtId="0" fontId="2" fillId="0" borderId="49" xfId="0" applyFont="1" applyBorder="1" applyAlignment="1">
      <alignment vertical="top" wrapText="1"/>
    </xf>
    <xf numFmtId="0" fontId="2" fillId="0" borderId="48" xfId="0" applyFont="1" applyBorder="1" applyAlignment="1">
      <alignment vertical="top" wrapText="1"/>
    </xf>
    <xf numFmtId="0" fontId="2" fillId="0" borderId="48" xfId="0" applyFont="1" applyBorder="1" applyAlignment="1">
      <alignment vertical="top"/>
    </xf>
    <xf numFmtId="49" fontId="0" fillId="0" borderId="1" xfId="0" applyNumberFormat="1" applyBorder="1" applyAlignment="1">
      <alignment vertical="top" wrapText="1"/>
    </xf>
    <xf numFmtId="0" fontId="0" fillId="0" borderId="1" xfId="0" applyBorder="1" applyAlignment="1">
      <alignment vertical="top"/>
    </xf>
    <xf numFmtId="164" fontId="0" fillId="0" borderId="1" xfId="0" applyNumberFormat="1" applyBorder="1" applyAlignment="1">
      <alignment vertical="top"/>
    </xf>
    <xf numFmtId="0" fontId="18" fillId="0" borderId="0" xfId="0" applyFont="1" applyAlignment="1">
      <alignment vertical="top" wrapText="1"/>
    </xf>
    <xf numFmtId="0" fontId="18" fillId="0" borderId="0" xfId="0" applyFont="1" applyAlignment="1">
      <alignment vertical="top"/>
    </xf>
    <xf numFmtId="0" fontId="0" fillId="25" borderId="8" xfId="0" applyFill="1" applyBorder="1"/>
    <xf numFmtId="0" fontId="2" fillId="25" borderId="1" xfId="0" applyFont="1" applyFill="1" applyBorder="1"/>
    <xf numFmtId="0" fontId="0" fillId="25" borderId="1" xfId="0" applyFill="1" applyBorder="1"/>
    <xf numFmtId="0" fontId="25" fillId="26" borderId="53" xfId="0" applyFont="1" applyFill="1" applyBorder="1"/>
    <xf numFmtId="0" fontId="25" fillId="26" borderId="54" xfId="0" applyFont="1" applyFill="1" applyBorder="1"/>
    <xf numFmtId="0" fontId="25" fillId="26" borderId="55" xfId="0" applyFont="1" applyFill="1" applyBorder="1"/>
    <xf numFmtId="0" fontId="25" fillId="26" borderId="0" xfId="0" applyFont="1" applyFill="1" applyBorder="1"/>
    <xf numFmtId="0" fontId="25" fillId="27" borderId="56" xfId="0" applyFont="1" applyFill="1" applyBorder="1"/>
    <xf numFmtId="0" fontId="0" fillId="28" borderId="53" xfId="0" applyFont="1" applyFill="1" applyBorder="1"/>
    <xf numFmtId="0" fontId="0" fillId="28" borderId="54" xfId="0" applyFont="1" applyFill="1" applyBorder="1"/>
    <xf numFmtId="0" fontId="0" fillId="28" borderId="55" xfId="0" applyFont="1" applyFill="1" applyBorder="1"/>
    <xf numFmtId="0" fontId="0" fillId="28" borderId="0" xfId="0" applyFont="1" applyFill="1" applyBorder="1"/>
    <xf numFmtId="0" fontId="0" fillId="0" borderId="53" xfId="0" applyFont="1" applyBorder="1"/>
    <xf numFmtId="0" fontId="0" fillId="0" borderId="54" xfId="0" applyFont="1" applyBorder="1"/>
    <xf numFmtId="0" fontId="0" fillId="0" borderId="55" xfId="0" applyFont="1" applyBorder="1"/>
    <xf numFmtId="0" fontId="0" fillId="0" borderId="0" xfId="0" applyFont="1" applyBorder="1"/>
    <xf numFmtId="0" fontId="25" fillId="27" borderId="57" xfId="0" applyFont="1" applyFill="1" applyBorder="1"/>
    <xf numFmtId="0" fontId="25" fillId="27" borderId="58" xfId="0" applyFont="1" applyFill="1" applyBorder="1"/>
    <xf numFmtId="0" fontId="0" fillId="29" borderId="56" xfId="0" applyFont="1" applyFill="1" applyBorder="1"/>
    <xf numFmtId="0" fontId="0" fillId="29" borderId="57" xfId="0" applyFont="1" applyFill="1" applyBorder="1"/>
    <xf numFmtId="0" fontId="0" fillId="29" borderId="58" xfId="0" applyFont="1" applyFill="1" applyBorder="1"/>
    <xf numFmtId="0" fontId="0" fillId="0" borderId="56" xfId="0" applyFont="1" applyBorder="1"/>
    <xf numFmtId="0" fontId="0" fillId="0" borderId="57" xfId="0" applyFont="1" applyBorder="1"/>
    <xf numFmtId="0" fontId="0" fillId="0" borderId="58" xfId="0" applyFont="1" applyBorder="1"/>
    <xf numFmtId="0" fontId="0" fillId="0" borderId="59" xfId="0" applyFont="1" applyBorder="1"/>
    <xf numFmtId="0" fontId="0" fillId="0" borderId="60" xfId="0" applyFont="1" applyBorder="1"/>
    <xf numFmtId="0" fontId="0" fillId="0" borderId="61" xfId="0" applyFont="1" applyBorder="1"/>
    <xf numFmtId="0" fontId="0" fillId="29" borderId="62" xfId="0" applyFont="1" applyFill="1" applyBorder="1"/>
    <xf numFmtId="0" fontId="0" fillId="29" borderId="63" xfId="0" applyFont="1" applyFill="1" applyBorder="1"/>
    <xf numFmtId="0" fontId="0" fillId="29" borderId="64" xfId="0" applyFont="1" applyFill="1" applyBorder="1"/>
    <xf numFmtId="0" fontId="40" fillId="30" borderId="65" xfId="0" applyFont="1" applyFill="1" applyBorder="1" applyAlignment="1">
      <alignment horizontal="left" vertical="center" wrapText="1"/>
    </xf>
    <xf numFmtId="0" fontId="41" fillId="0" borderId="65" xfId="0" applyFont="1" applyBorder="1" applyAlignment="1">
      <alignment vertical="top" wrapText="1"/>
    </xf>
    <xf numFmtId="0" fontId="41" fillId="0" borderId="65" xfId="0" applyFont="1" applyBorder="1" applyAlignment="1">
      <alignment vertical="center" wrapText="1"/>
    </xf>
    <xf numFmtId="0" fontId="40" fillId="30" borderId="65" xfId="0" applyFont="1" applyFill="1" applyBorder="1" applyAlignment="1">
      <alignment horizontal="right" vertical="center" wrapText="1"/>
    </xf>
    <xf numFmtId="0" fontId="43" fillId="31" borderId="16" xfId="0" applyFont="1" applyFill="1" applyBorder="1" applyAlignment="1">
      <alignment vertical="top"/>
    </xf>
    <xf numFmtId="0" fontId="25" fillId="12" borderId="66" xfId="0" applyFont="1" applyFill="1" applyBorder="1"/>
    <xf numFmtId="0" fontId="0" fillId="0" borderId="13" xfId="0" applyBorder="1" applyAlignment="1">
      <alignment horizontal="left"/>
    </xf>
    <xf numFmtId="0" fontId="2" fillId="0" borderId="13" xfId="0" applyFont="1" applyBorder="1"/>
    <xf numFmtId="0" fontId="0" fillId="0" borderId="13" xfId="0" applyBorder="1" applyAlignment="1">
      <alignment horizontal="left" vertical="top"/>
    </xf>
    <xf numFmtId="0" fontId="43" fillId="31" borderId="16" xfId="0" applyFont="1" applyFill="1" applyBorder="1"/>
    <xf numFmtId="49" fontId="0" fillId="0" borderId="16" xfId="0" applyNumberFormat="1" applyBorder="1"/>
    <xf numFmtId="49" fontId="2" fillId="0" borderId="16" xfId="0" applyNumberFormat="1" applyFont="1" applyBorder="1"/>
    <xf numFmtId="0" fontId="2" fillId="0" borderId="16" xfId="0" applyFont="1" applyBorder="1"/>
    <xf numFmtId="0" fontId="18" fillId="7" borderId="13" xfId="0" applyFont="1" applyFill="1" applyBorder="1"/>
    <xf numFmtId="0" fontId="18" fillId="0" borderId="13" xfId="0" applyFont="1" applyBorder="1"/>
    <xf numFmtId="0" fontId="44" fillId="0" borderId="28" xfId="0" applyFont="1" applyBorder="1" applyAlignment="1">
      <alignment vertical="top"/>
    </xf>
    <xf numFmtId="0" fontId="0" fillId="0" borderId="0" xfId="0" applyBorder="1" applyAlignment="1">
      <alignment vertical="top" wrapText="1"/>
    </xf>
    <xf numFmtId="0" fontId="44" fillId="0" borderId="0" xfId="0" applyFont="1" applyBorder="1" applyAlignment="1">
      <alignment vertical="top"/>
    </xf>
    <xf numFmtId="0" fontId="2" fillId="0" borderId="7" xfId="0" applyFont="1" applyBorder="1" applyAlignment="1">
      <alignment vertical="top" wrapText="1"/>
    </xf>
    <xf numFmtId="0" fontId="2" fillId="0" borderId="8" xfId="0" applyFont="1" applyBorder="1" applyAlignment="1">
      <alignment vertical="top" wrapText="1"/>
    </xf>
    <xf numFmtId="0" fontId="0" fillId="2" borderId="2" xfId="0" applyFill="1" applyBorder="1" applyAlignment="1">
      <alignment vertical="top"/>
    </xf>
    <xf numFmtId="0" fontId="0" fillId="2" borderId="3" xfId="0" applyFill="1" applyBorder="1" applyAlignment="1">
      <alignment vertical="top"/>
    </xf>
    <xf numFmtId="0" fontId="0" fillId="3" borderId="2" xfId="0" applyFill="1" applyBorder="1" applyAlignment="1">
      <alignment vertical="top"/>
    </xf>
    <xf numFmtId="0" fontId="0" fillId="3" borderId="3" xfId="0" applyFill="1" applyBorder="1" applyAlignment="1">
      <alignment vertical="top"/>
    </xf>
    <xf numFmtId="0" fontId="0" fillId="4" borderId="2" xfId="0" applyFill="1" applyBorder="1" applyAlignment="1">
      <alignment vertical="top"/>
    </xf>
    <xf numFmtId="0" fontId="0" fillId="4" borderId="3" xfId="0" applyFill="1" applyBorder="1" applyAlignment="1">
      <alignment vertical="top"/>
    </xf>
    <xf numFmtId="0" fontId="1" fillId="0" borderId="2" xfId="0" applyFont="1" applyBorder="1" applyAlignment="1">
      <alignment vertical="top"/>
    </xf>
    <xf numFmtId="0" fontId="1" fillId="0" borderId="3" xfId="0" applyFont="1" applyBorder="1" applyAlignment="1">
      <alignment vertical="top"/>
    </xf>
    <xf numFmtId="0" fontId="2" fillId="0" borderId="7" xfId="0" applyFont="1" applyBorder="1" applyAlignment="1">
      <alignment vertical="top"/>
    </xf>
    <xf numFmtId="0" fontId="2" fillId="0" borderId="8" xfId="0" applyFont="1" applyBorder="1" applyAlignment="1">
      <alignment vertical="top"/>
    </xf>
    <xf numFmtId="0" fontId="18" fillId="7" borderId="67" xfId="0" applyFont="1" applyFill="1" applyBorder="1" applyAlignment="1">
      <alignment horizontal="center"/>
    </xf>
    <xf numFmtId="0" fontId="18" fillId="7" borderId="68" xfId="0" applyFont="1" applyFill="1" applyBorder="1" applyAlignment="1">
      <alignment horizontal="center"/>
    </xf>
    <xf numFmtId="0" fontId="18" fillId="7" borderId="69" xfId="0" applyFont="1" applyFill="1" applyBorder="1" applyAlignment="1">
      <alignment horizontal="center"/>
    </xf>
    <xf numFmtId="3" fontId="8" fillId="0" borderId="17" xfId="0" applyNumberFormat="1" applyFont="1" applyBorder="1" applyAlignment="1">
      <alignment vertical="top" wrapText="1"/>
    </xf>
    <xf numFmtId="3" fontId="8" fillId="0" borderId="18" xfId="0" applyNumberFormat="1" applyFont="1" applyBorder="1" applyAlignment="1">
      <alignment vertical="top" wrapText="1"/>
    </xf>
    <xf numFmtId="3" fontId="8" fillId="0" borderId="19" xfId="0" applyNumberFormat="1" applyFont="1" applyBorder="1" applyAlignment="1">
      <alignment vertical="top" wrapText="1"/>
    </xf>
    <xf numFmtId="0" fontId="7" fillId="12" borderId="10" xfId="0" applyFont="1" applyFill="1" applyBorder="1" applyAlignment="1">
      <alignment horizontal="center"/>
    </xf>
    <xf numFmtId="0" fontId="7" fillId="12" borderId="26" xfId="0" applyFont="1" applyFill="1" applyBorder="1"/>
    <xf numFmtId="0" fontId="7" fillId="12" borderId="27" xfId="0" applyFont="1" applyFill="1" applyBorder="1"/>
    <xf numFmtId="0" fontId="37" fillId="20" borderId="40" xfId="0" applyFont="1" applyFill="1" applyBorder="1" applyAlignment="1">
      <alignment horizontal="center"/>
    </xf>
    <xf numFmtId="0" fontId="37" fillId="20" borderId="42" xfId="0" applyFont="1" applyFill="1" applyBorder="1" applyAlignment="1">
      <alignment horizontal="center"/>
    </xf>
    <xf numFmtId="0" fontId="37" fillId="20" borderId="41" xfId="0" applyFont="1" applyFill="1" applyBorder="1" applyAlignment="1">
      <alignment horizontal="center"/>
    </xf>
    <xf numFmtId="0" fontId="35" fillId="20" borderId="40" xfId="0" applyFont="1" applyFill="1" applyBorder="1" applyAlignment="1">
      <alignment horizontal="right"/>
    </xf>
    <xf numFmtId="0" fontId="35" fillId="20" borderId="41" xfId="0" applyFont="1" applyFill="1" applyBorder="1" applyAlignment="1">
      <alignment horizontal="right"/>
    </xf>
    <xf numFmtId="0" fontId="35" fillId="20" borderId="40" xfId="0" applyFont="1" applyFill="1" applyBorder="1"/>
    <xf numFmtId="0" fontId="35" fillId="20" borderId="41" xfId="0" applyFont="1" applyFill="1" applyBorder="1"/>
    <xf numFmtId="0" fontId="0" fillId="0" borderId="38" xfId="0" applyBorder="1"/>
    <xf numFmtId="0" fontId="0" fillId="0" borderId="39" xfId="0" applyBorder="1"/>
    <xf numFmtId="0" fontId="0" fillId="0" borderId="45" xfId="0" applyBorder="1"/>
    <xf numFmtId="0" fontId="0" fillId="0" borderId="46" xfId="0" applyBorder="1"/>
    <xf numFmtId="0" fontId="0" fillId="0" borderId="47" xfId="0" applyBorder="1"/>
    <xf numFmtId="0" fontId="2" fillId="0" borderId="52" xfId="0" applyFont="1" applyBorder="1" applyAlignment="1">
      <alignment vertical="top" wrapText="1"/>
    </xf>
    <xf numFmtId="0" fontId="2" fillId="0" borderId="51" xfId="0" applyFont="1" applyBorder="1" applyAlignment="1">
      <alignment vertical="top" wrapText="1"/>
    </xf>
    <xf numFmtId="0" fontId="2" fillId="0" borderId="49" xfId="0" applyFont="1" applyBorder="1" applyAlignment="1">
      <alignment vertical="top" wrapText="1"/>
    </xf>
    <xf numFmtId="0" fontId="0" fillId="0" borderId="52" xfId="0" applyBorder="1" applyAlignment="1">
      <alignment vertical="top"/>
    </xf>
    <xf numFmtId="0" fontId="0" fillId="0" borderId="51" xfId="0" applyBorder="1" applyAlignment="1">
      <alignment vertical="top"/>
    </xf>
    <xf numFmtId="0" fontId="0" fillId="0" borderId="49" xfId="0" applyBorder="1" applyAlignment="1">
      <alignment vertical="top"/>
    </xf>
    <xf numFmtId="164" fontId="0" fillId="0" borderId="52" xfId="0" applyNumberFormat="1" applyBorder="1" applyAlignment="1">
      <alignment vertical="top"/>
    </xf>
    <xf numFmtId="164" fontId="0" fillId="0" borderId="51" xfId="0" applyNumberFormat="1" applyBorder="1" applyAlignment="1">
      <alignment vertical="top"/>
    </xf>
    <xf numFmtId="164" fontId="0" fillId="0" borderId="49" xfId="0" applyNumberFormat="1" applyBorder="1" applyAlignment="1">
      <alignment vertical="top"/>
    </xf>
    <xf numFmtId="3" fontId="0" fillId="0" borderId="52" xfId="0" applyNumberFormat="1" applyBorder="1" applyAlignment="1">
      <alignment vertical="top"/>
    </xf>
    <xf numFmtId="3" fontId="0" fillId="0" borderId="51" xfId="0" applyNumberFormat="1" applyBorder="1" applyAlignment="1">
      <alignment vertical="top"/>
    </xf>
    <xf numFmtId="3" fontId="0" fillId="0" borderId="49" xfId="0" applyNumberFormat="1" applyBorder="1" applyAlignment="1">
      <alignment vertical="top"/>
    </xf>
    <xf numFmtId="0" fontId="0" fillId="0" borderId="50" xfId="0" applyBorder="1" applyAlignment="1">
      <alignment vertical="top"/>
    </xf>
    <xf numFmtId="0" fontId="2" fillId="0" borderId="0" xfId="0" applyFont="1"/>
    <xf numFmtId="0" fontId="1" fillId="0" borderId="0" xfId="0" applyFont="1" applyAlignment="1">
      <alignment horizontal="center" vertical="top"/>
    </xf>
  </cellXfs>
  <cellStyles count="7">
    <cellStyle name="Column_Label" xfId="2"/>
    <cellStyle name="Hyperlink" xfId="1" builtinId="8"/>
    <cellStyle name="Hyperlink 2" xfId="3"/>
    <cellStyle name="Normal" xfId="0" builtinId="0"/>
    <cellStyle name="Normal 2" xfId="4"/>
    <cellStyle name="Normal 3" xfId="5"/>
    <cellStyle name="Row_Label" xfId="6"/>
  </cellStyles>
  <dxfs count="399">
    <dxf>
      <fill>
        <patternFill>
          <bgColor rgb="FFFFFFCC"/>
        </patternFill>
      </fill>
    </dxf>
    <dxf>
      <font>
        <b val="0"/>
        <i val="0"/>
        <color auto="1"/>
      </font>
      <fill>
        <patternFill>
          <bgColor theme="5" tint="0.79998168889431442"/>
        </patternFill>
      </fill>
    </dxf>
    <dxf>
      <fill>
        <patternFill>
          <bgColor rgb="FFFFFFCC"/>
        </patternFill>
      </fill>
    </dxf>
    <dxf>
      <font>
        <b/>
        <i val="0"/>
        <color auto="1"/>
      </font>
      <fill>
        <patternFill>
          <bgColor theme="5" tint="0.79998168889431442"/>
        </patternFill>
      </fill>
    </dxf>
    <dxf>
      <fill>
        <patternFill>
          <bgColor rgb="FFFFFFCC"/>
        </patternFill>
      </fill>
    </dxf>
    <dxf>
      <font>
        <b val="0"/>
        <i val="0"/>
        <color auto="1"/>
      </font>
      <fill>
        <patternFill>
          <bgColor theme="5" tint="0.79998168889431442"/>
        </patternFill>
      </fill>
    </dxf>
    <dxf>
      <font>
        <b/>
        <i val="0"/>
        <color theme="9" tint="0.79998168889431442"/>
      </font>
      <fill>
        <patternFill>
          <bgColor theme="9"/>
        </patternFill>
      </fill>
      <border>
        <left style="thin">
          <color theme="9" tint="0.79998168889431442"/>
        </left>
        <right style="thin">
          <color theme="9" tint="0.79998168889431442"/>
        </right>
        <top style="thin">
          <color theme="9" tint="0.79998168889431442"/>
        </top>
        <bottom style="thin">
          <color theme="9" tint="0.79998168889431442"/>
        </bottom>
        <vertical/>
        <horizontal/>
      </border>
    </dxf>
    <dxf>
      <font>
        <b/>
        <i val="0"/>
        <color theme="9" tint="0.79998168889431442"/>
      </font>
      <fill>
        <patternFill>
          <bgColor theme="9"/>
        </patternFill>
      </fill>
      <border>
        <left style="thin">
          <color theme="9" tint="0.79998168889431442"/>
        </left>
        <right style="thin">
          <color theme="9" tint="0.79998168889431442"/>
        </right>
        <top style="thin">
          <color theme="9" tint="0.79998168889431442"/>
        </top>
        <bottom style="thin">
          <color theme="9" tint="0.79998168889431442"/>
        </bottom>
        <vertical/>
        <horizontal/>
      </border>
    </dxf>
    <dxf>
      <font>
        <b/>
        <i val="0"/>
        <color theme="7" tint="0.79998168889431442"/>
      </font>
      <fill>
        <patternFill>
          <bgColor theme="7" tint="-0.499984740745262"/>
        </patternFill>
      </fill>
      <border>
        <left style="thin">
          <color theme="7" tint="0.79998168889431442"/>
        </left>
        <right style="thin">
          <color theme="7" tint="0.79998168889431442"/>
        </right>
        <top style="thin">
          <color theme="7" tint="0.79998168889431442"/>
        </top>
        <bottom style="thin">
          <color theme="7" tint="0.79998168889431442"/>
        </bottom>
        <vertical/>
        <horizontal/>
      </border>
    </dxf>
    <dxf>
      <font>
        <b/>
        <i val="0"/>
        <color rgb="FFFFFF00"/>
      </font>
      <fill>
        <patternFill>
          <bgColor theme="7" tint="-0.499984740745262"/>
        </patternFill>
      </fill>
      <border>
        <left style="thin">
          <color theme="7" tint="0.79998168889431442"/>
        </left>
        <right style="thin">
          <color theme="7" tint="0.79998168889431442"/>
        </right>
        <top style="thin">
          <color theme="7" tint="0.79998168889431442"/>
        </top>
        <bottom style="thin">
          <color theme="7" tint="0.79998168889431442"/>
        </bottom>
        <vertical/>
        <horizontal/>
      </border>
    </dxf>
    <dxf>
      <font>
        <b/>
        <i val="0"/>
        <color theme="7" tint="0.79998168889431442"/>
      </font>
      <fill>
        <patternFill>
          <bgColor theme="7" tint="-0.499984740745262"/>
        </patternFill>
      </fill>
      <border>
        <left style="thin">
          <color theme="7" tint="0.79998168889431442"/>
        </left>
        <right style="thin">
          <color theme="7" tint="0.79998168889431442"/>
        </right>
        <top style="thin">
          <color theme="7" tint="0.79998168889431442"/>
        </top>
        <bottom style="thin">
          <color theme="7" tint="0.79998168889431442"/>
        </bottom>
        <vertical/>
        <horizontal/>
      </border>
    </dxf>
    <dxf>
      <font>
        <b/>
        <i val="0"/>
        <color rgb="FFFFFF00"/>
      </font>
      <fill>
        <patternFill>
          <bgColor theme="7" tint="-0.499984740745262"/>
        </patternFill>
      </fill>
      <border>
        <left style="thin">
          <color theme="7" tint="0.79998168889431442"/>
        </left>
        <right style="thin">
          <color theme="7" tint="0.79998168889431442"/>
        </right>
        <top style="thin">
          <color theme="7" tint="0.79998168889431442"/>
        </top>
        <bottom style="thin">
          <color theme="7" tint="0.79998168889431442"/>
        </bottom>
        <vertical/>
        <horizontal/>
      </border>
    </dxf>
    <dxf>
      <fill>
        <patternFill>
          <bgColor theme="6" tint="0.79998168889431442"/>
        </patternFill>
      </fill>
    </dxf>
    <dxf>
      <fill>
        <patternFill>
          <bgColor theme="6" tint="0.79998168889431442"/>
        </patternFill>
      </fill>
    </dxf>
    <dxf>
      <font>
        <b/>
        <i val="0"/>
        <color theme="9" tint="0.79998168889431442"/>
      </font>
      <fill>
        <patternFill>
          <bgColor theme="9" tint="-0.499984740745262"/>
        </patternFill>
      </fill>
      <border>
        <left style="thin">
          <color theme="9" tint="0.79998168889431442"/>
        </left>
        <right style="thin">
          <color theme="9" tint="0.79998168889431442"/>
        </right>
        <top style="thin">
          <color theme="9" tint="0.79998168889431442"/>
        </top>
        <bottom style="thin">
          <color theme="9" tint="0.79998168889431442"/>
        </bottom>
        <vertical/>
        <horizontal/>
      </border>
    </dxf>
    <dxf>
      <font>
        <b/>
        <i val="0"/>
        <color theme="9" tint="0.79998168889431442"/>
      </font>
      <fill>
        <patternFill>
          <bgColor theme="9" tint="-0.499984740745262"/>
        </patternFill>
      </fill>
      <border>
        <left style="thin">
          <color theme="9" tint="0.79998168889431442"/>
        </left>
        <right style="thin">
          <color theme="9" tint="0.79998168889431442"/>
        </right>
        <top style="thin">
          <color theme="9" tint="0.79998168889431442"/>
        </top>
        <bottom style="thin">
          <color theme="9" tint="0.79998168889431442"/>
        </bottom>
        <vertical/>
        <horizontal/>
      </border>
    </dxf>
    <dxf>
      <fill>
        <patternFill>
          <bgColor theme="6" tint="0.7999816888943144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strike/>
      </font>
      <fill>
        <patternFill>
          <bgColor theme="0" tint="-0.14996795556505021"/>
        </patternFill>
      </fill>
    </dxf>
    <dxf>
      <fill>
        <patternFill>
          <bgColor rgb="FFFFFFCC"/>
        </patternFill>
      </fill>
    </dxf>
    <dxf>
      <fill>
        <patternFill>
          <bgColor theme="6" tint="0.79998168889431442"/>
        </patternFill>
      </fill>
    </dxf>
    <dxf>
      <font>
        <b/>
        <i val="0"/>
        <color rgb="FFFFFF00"/>
      </font>
      <fill>
        <patternFill>
          <bgColor theme="8" tint="-0.499984740745262"/>
        </patternFill>
      </fill>
    </dxf>
    <dxf>
      <font>
        <b/>
        <i val="0"/>
        <color rgb="FFFFFF00"/>
      </font>
      <fill>
        <patternFill>
          <bgColor theme="8" tint="-0.499984740745262"/>
        </patternFill>
      </fill>
    </dxf>
    <dxf>
      <font>
        <strike/>
      </font>
      <fill>
        <patternFill>
          <bgColor theme="0" tint="-0.14996795556505021"/>
        </patternFill>
      </fill>
    </dxf>
    <dxf>
      <fill>
        <patternFill>
          <bgColor rgb="FFFFFFCC"/>
        </patternFill>
      </fill>
    </dxf>
    <dxf>
      <fill>
        <patternFill>
          <bgColor theme="6" tint="0.7999816888943144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strike/>
      </font>
      <fill>
        <patternFill>
          <bgColor theme="0" tint="-0.14996795556505021"/>
        </patternFill>
      </fill>
    </dxf>
    <dxf>
      <fill>
        <patternFill>
          <bgColor rgb="FFFFFFCC"/>
        </patternFill>
      </fill>
    </dxf>
    <dxf>
      <fill>
        <patternFill>
          <bgColor theme="6" tint="0.7999816888943144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strike/>
      </font>
      <fill>
        <patternFill>
          <bgColor theme="0" tint="-0.14996795556505021"/>
        </patternFill>
      </fill>
    </dxf>
    <dxf>
      <fill>
        <patternFill>
          <bgColor rgb="FFFFFFCC"/>
        </patternFill>
      </fill>
    </dxf>
    <dxf>
      <fill>
        <patternFill>
          <bgColor theme="6" tint="0.7999816888943144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strike/>
      </font>
      <fill>
        <patternFill>
          <bgColor theme="0" tint="-0.14996795556505021"/>
        </patternFill>
      </fill>
    </dxf>
    <dxf>
      <fill>
        <patternFill>
          <bgColor rgb="FFFFFFCC"/>
        </patternFill>
      </fill>
    </dxf>
    <dxf>
      <fill>
        <patternFill>
          <bgColor theme="6" tint="0.79998168889431442"/>
        </patternFill>
      </fill>
    </dxf>
    <dxf>
      <font>
        <b/>
        <i val="0"/>
        <color rgb="FFFFFF00"/>
      </font>
      <fill>
        <patternFill>
          <bgColor theme="8" tint="-0.499984740745262"/>
        </patternFill>
      </fill>
    </dxf>
    <dxf>
      <font>
        <b/>
        <i val="0"/>
        <color rgb="FFFFFF00"/>
      </font>
      <fill>
        <patternFill>
          <bgColor theme="8" tint="-0.499984740745262"/>
        </patternFill>
      </fill>
    </dxf>
    <dxf>
      <font>
        <strike/>
      </font>
      <fill>
        <patternFill>
          <bgColor theme="0" tint="-0.14996795556505021"/>
        </patternFill>
      </fill>
    </dxf>
    <dxf>
      <fill>
        <patternFill>
          <bgColor rgb="FFFFFFCC"/>
        </patternFill>
      </fill>
    </dxf>
    <dxf>
      <fill>
        <patternFill>
          <bgColor theme="6" tint="0.7999816888943144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strike/>
      </font>
      <fill>
        <patternFill>
          <bgColor theme="0" tint="-0.14996795556505021"/>
        </patternFill>
      </fill>
    </dxf>
    <dxf>
      <fill>
        <patternFill>
          <bgColor rgb="FFFFFFCC"/>
        </patternFill>
      </fill>
    </dxf>
    <dxf>
      <fill>
        <patternFill>
          <bgColor theme="6" tint="0.79998168889431442"/>
        </patternFill>
      </fill>
    </dxf>
    <dxf>
      <font>
        <b/>
        <i val="0"/>
        <color rgb="FFFFFF00"/>
      </font>
      <fill>
        <patternFill>
          <bgColor theme="8" tint="-0.499984740745262"/>
        </patternFill>
      </fill>
    </dxf>
    <dxf>
      <font>
        <strike/>
      </font>
      <fill>
        <patternFill>
          <bgColor theme="0" tint="-0.14996795556505021"/>
        </patternFill>
      </fill>
    </dxf>
    <dxf>
      <fill>
        <patternFill>
          <bgColor rgb="FFFFFFCC"/>
        </patternFill>
      </fill>
    </dxf>
    <dxf>
      <fill>
        <patternFill>
          <bgColor theme="6" tint="0.79998168889431442"/>
        </patternFill>
      </fill>
    </dxf>
    <dxf>
      <font>
        <b/>
        <i val="0"/>
        <color rgb="FFFFFF00"/>
      </font>
      <fill>
        <patternFill>
          <bgColor theme="8" tint="-0.499984740745262"/>
        </patternFill>
      </fill>
    </dxf>
    <dxf>
      <font>
        <strike/>
      </font>
      <fill>
        <patternFill>
          <bgColor theme="0" tint="-0.14996795556505021"/>
        </patternFill>
      </fill>
    </dxf>
    <dxf>
      <fill>
        <patternFill>
          <bgColor rgb="FFFFFFCC"/>
        </patternFill>
      </fill>
    </dxf>
    <dxf>
      <fill>
        <patternFill>
          <bgColor theme="6" tint="0.79998168889431442"/>
        </patternFill>
      </fill>
    </dxf>
    <dxf>
      <font>
        <b/>
        <i val="0"/>
        <color rgb="FFFFFF00"/>
      </font>
      <fill>
        <patternFill>
          <bgColor theme="8" tint="-0.499984740745262"/>
        </patternFill>
      </fill>
    </dxf>
    <dxf>
      <font>
        <strike/>
      </font>
      <fill>
        <patternFill>
          <bgColor theme="0" tint="-0.14996795556505021"/>
        </patternFill>
      </fill>
    </dxf>
    <dxf>
      <fill>
        <patternFill>
          <bgColor rgb="FFFFFFCC"/>
        </patternFill>
      </fill>
    </dxf>
    <dxf>
      <fill>
        <patternFill>
          <bgColor theme="6" tint="0.7999816888943144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strike/>
      </font>
      <fill>
        <patternFill>
          <bgColor theme="0" tint="-0.14996795556505021"/>
        </patternFill>
      </fill>
    </dxf>
    <dxf>
      <fill>
        <patternFill>
          <bgColor rgb="FFFFFFCC"/>
        </patternFill>
      </fill>
    </dxf>
    <dxf>
      <fill>
        <patternFill>
          <bgColor theme="6" tint="0.7999816888943144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b/>
        <i val="0"/>
        <color rgb="FFFFFF00"/>
      </font>
      <fill>
        <patternFill>
          <bgColor theme="8" tint="-0.499984740745262"/>
        </patternFill>
      </fill>
    </dxf>
    <dxf>
      <font>
        <strike/>
      </font>
      <fill>
        <patternFill>
          <bgColor theme="0" tint="-0.14996795556505021"/>
        </patternFill>
      </fill>
    </dxf>
    <dxf>
      <fill>
        <patternFill>
          <bgColor rgb="FFFFFFCC"/>
        </patternFill>
      </fill>
    </dxf>
    <dxf>
      <fill>
        <patternFill>
          <bgColor theme="6" tint="0.79998168889431442"/>
        </patternFill>
      </fill>
    </dxf>
    <dxf>
      <font>
        <strike/>
      </font>
      <fill>
        <patternFill>
          <bgColor theme="0" tint="-0.14996795556505021"/>
        </patternFill>
      </fill>
    </dxf>
    <dxf>
      <fill>
        <patternFill>
          <bgColor rgb="FFFFFFCC"/>
        </patternFill>
      </fill>
    </dxf>
    <dxf>
      <fill>
        <patternFill>
          <bgColor theme="6" tint="0.79998168889431442"/>
        </patternFill>
      </fill>
    </dxf>
    <dxf>
      <font>
        <b/>
        <i val="0"/>
        <color rgb="FFFFFF00"/>
      </font>
      <fill>
        <patternFill>
          <bgColor theme="8" tint="-0.499984740745262"/>
        </patternFill>
      </fill>
    </dxf>
    <dxf>
      <font>
        <strike/>
      </font>
      <fill>
        <patternFill>
          <bgColor theme="0" tint="-0.14996795556505021"/>
        </patternFill>
      </fill>
    </dxf>
    <dxf>
      <fill>
        <patternFill>
          <bgColor rgb="FFFFFFCC"/>
        </patternFill>
      </fill>
    </dxf>
    <dxf>
      <fill>
        <patternFill>
          <bgColor theme="6" tint="0.79998168889431442"/>
        </patternFill>
      </fill>
    </dxf>
    <dxf>
      <font>
        <b/>
        <i val="0"/>
        <color rgb="FFFFFF00"/>
      </font>
      <fill>
        <patternFill>
          <bgColor theme="8" tint="-0.499984740745262"/>
        </patternFill>
      </fill>
    </dxf>
    <dxf>
      <font>
        <b/>
        <i val="0"/>
        <color rgb="FFFFFF00"/>
      </font>
      <fill>
        <patternFill>
          <bgColor theme="8" tint="-0.499984740745262"/>
        </patternFill>
      </fill>
    </dxf>
    <dxf>
      <font>
        <strike/>
      </font>
      <fill>
        <patternFill>
          <bgColor theme="0" tint="-0.14996795556505021"/>
        </patternFill>
      </fill>
    </dxf>
    <dxf>
      <fill>
        <patternFill>
          <bgColor rgb="FFFFFFCC"/>
        </patternFill>
      </fill>
    </dxf>
    <dxf>
      <fill>
        <patternFill>
          <bgColor theme="6" tint="0.79998168889431442"/>
        </patternFill>
      </fill>
    </dxf>
    <dxf>
      <font>
        <b/>
        <i val="0"/>
        <color rgb="FFFFFF00"/>
      </font>
      <fill>
        <patternFill>
          <bgColor theme="8" tint="-0.499984740745262"/>
        </patternFill>
      </fill>
    </dxf>
    <dxf>
      <font>
        <strike/>
      </font>
      <fill>
        <patternFill>
          <bgColor theme="0" tint="-0.14996795556505021"/>
        </patternFill>
      </fill>
    </dxf>
    <dxf>
      <fill>
        <patternFill>
          <bgColor rgb="FFFFFFCC"/>
        </patternFill>
      </fill>
    </dxf>
    <dxf>
      <fill>
        <patternFill>
          <bgColor theme="6" tint="0.79998168889431442"/>
        </patternFill>
      </fill>
    </dxf>
    <dxf>
      <font>
        <b/>
        <i val="0"/>
        <color rgb="FFFFFF00"/>
      </font>
      <fill>
        <patternFill>
          <bgColor theme="8" tint="-0.499984740745262"/>
        </patternFill>
      </fill>
    </dxf>
    <dxf>
      <fill>
        <patternFill>
          <bgColor theme="2" tint="-9.9948118533890809E-2"/>
        </patternFill>
      </fill>
    </dxf>
    <dxf>
      <fill>
        <patternFill>
          <bgColor theme="4" tint="0.79998168889431442"/>
        </patternFill>
      </fill>
    </dxf>
    <dxf>
      <fill>
        <patternFill>
          <bgColor theme="6" tint="0.79998168889431442"/>
        </patternFill>
      </fill>
    </dxf>
    <dxf>
      <fill>
        <patternFill>
          <bgColor theme="2" tint="-9.9948118533890809E-2"/>
        </patternFill>
      </fill>
    </dxf>
    <dxf>
      <fill>
        <patternFill>
          <bgColor theme="4" tint="0.79998168889431442"/>
        </patternFill>
      </fill>
    </dxf>
    <dxf>
      <fill>
        <patternFill>
          <bgColor theme="6" tint="0.79998168889431442"/>
        </patternFill>
      </fill>
    </dxf>
    <dxf>
      <fill>
        <patternFill>
          <bgColor theme="2" tint="-9.9948118533890809E-2"/>
        </patternFill>
      </fill>
    </dxf>
    <dxf>
      <fill>
        <patternFill>
          <bgColor theme="4" tint="0.79998168889431442"/>
        </patternFill>
      </fill>
    </dxf>
    <dxf>
      <fill>
        <patternFill>
          <bgColor theme="6" tint="0.79998168889431442"/>
        </patternFill>
      </fill>
    </dxf>
    <dxf>
      <fill>
        <patternFill>
          <bgColor theme="2" tint="-9.9948118533890809E-2"/>
        </patternFill>
      </fill>
    </dxf>
    <dxf>
      <fill>
        <patternFill>
          <bgColor theme="4" tint="0.79998168889431442"/>
        </patternFill>
      </fill>
    </dxf>
    <dxf>
      <fill>
        <patternFill>
          <bgColor theme="6" tint="0.79998168889431442"/>
        </patternFill>
      </fill>
    </dxf>
    <dxf>
      <fill>
        <patternFill>
          <bgColor theme="2" tint="-9.9948118533890809E-2"/>
        </patternFill>
      </fill>
    </dxf>
    <dxf>
      <fill>
        <patternFill>
          <bgColor theme="4" tint="0.79998168889431442"/>
        </patternFill>
      </fill>
    </dxf>
    <dxf>
      <fill>
        <patternFill>
          <bgColor theme="6" tint="0.79998168889431442"/>
        </patternFill>
      </fill>
    </dxf>
    <dxf>
      <fill>
        <patternFill>
          <bgColor theme="2" tint="-9.9948118533890809E-2"/>
        </patternFill>
      </fill>
    </dxf>
    <dxf>
      <fill>
        <patternFill>
          <bgColor theme="4" tint="0.79998168889431442"/>
        </patternFill>
      </fill>
    </dxf>
    <dxf>
      <fill>
        <patternFill>
          <bgColor theme="6" tint="0.79998168889431442"/>
        </patternFill>
      </fill>
    </dxf>
    <dxf>
      <fill>
        <patternFill>
          <bgColor theme="2" tint="-9.9948118533890809E-2"/>
        </patternFill>
      </fill>
    </dxf>
    <dxf>
      <fill>
        <patternFill>
          <bgColor theme="4" tint="0.79998168889431442"/>
        </patternFill>
      </fill>
    </dxf>
    <dxf>
      <fill>
        <patternFill>
          <bgColor theme="6" tint="0.79998168889431442"/>
        </patternFill>
      </fill>
    </dxf>
    <dxf>
      <fill>
        <patternFill>
          <bgColor theme="2" tint="-9.9948118533890809E-2"/>
        </patternFill>
      </fill>
    </dxf>
    <dxf>
      <fill>
        <patternFill>
          <bgColor theme="4" tint="0.79998168889431442"/>
        </patternFill>
      </fill>
    </dxf>
    <dxf>
      <fill>
        <patternFill>
          <bgColor theme="6" tint="0.79998168889431442"/>
        </patternFill>
      </fill>
    </dxf>
    <dxf>
      <fill>
        <patternFill>
          <bgColor theme="2" tint="-9.9948118533890809E-2"/>
        </patternFill>
      </fill>
    </dxf>
    <dxf>
      <fill>
        <patternFill>
          <bgColor theme="4" tint="0.79998168889431442"/>
        </patternFill>
      </fill>
    </dxf>
    <dxf>
      <fill>
        <patternFill>
          <bgColor theme="6" tint="0.79998168889431442"/>
        </patternFill>
      </fill>
    </dxf>
    <dxf>
      <fill>
        <patternFill>
          <bgColor theme="2" tint="-9.9948118533890809E-2"/>
        </patternFill>
      </fill>
    </dxf>
    <dxf>
      <fill>
        <patternFill>
          <bgColor theme="4" tint="0.79998168889431442"/>
        </patternFill>
      </fill>
    </dxf>
    <dxf>
      <fill>
        <patternFill>
          <bgColor theme="6" tint="0.79998168889431442"/>
        </patternFill>
      </fill>
    </dxf>
    <dxf>
      <fill>
        <patternFill>
          <bgColor theme="6" tint="0.79998168889431442"/>
        </patternFill>
      </fill>
    </dxf>
    <dxf>
      <font>
        <b/>
        <i val="0"/>
        <color rgb="FFFFC000"/>
      </font>
      <fill>
        <patternFill>
          <bgColor rgb="FF002060"/>
        </patternFill>
      </fill>
      <border>
        <left style="thin">
          <color rgb="FFFFC000"/>
        </left>
        <right style="thin">
          <color rgb="FFFFC000"/>
        </right>
        <top style="thin">
          <color rgb="FFFFC000"/>
        </top>
        <bottom style="thin">
          <color rgb="FFFFC000"/>
        </bottom>
        <vertical/>
        <horizontal/>
      </border>
    </dxf>
    <dxf>
      <font>
        <b/>
        <i val="0"/>
        <color rgb="FFFFC000"/>
      </font>
      <fill>
        <patternFill>
          <bgColor rgb="FF002060"/>
        </patternFill>
      </fill>
      <border>
        <left style="thin">
          <color rgb="FFFFC000"/>
        </left>
        <right style="thin">
          <color rgb="FFFFC000"/>
        </right>
        <top style="thin">
          <color rgb="FFFFC000"/>
        </top>
        <bottom style="thin">
          <color rgb="FFFFC000"/>
        </bottom>
        <vertical/>
        <horizontal/>
      </border>
    </dxf>
    <dxf>
      <fill>
        <patternFill>
          <bgColor theme="6" tint="0.79998168889431442"/>
        </patternFill>
      </fill>
    </dxf>
    <dxf>
      <fill>
        <patternFill>
          <bgColor theme="6" tint="0.79998168889431442"/>
        </patternFill>
      </fill>
    </dxf>
    <dxf>
      <font>
        <b/>
        <i val="0"/>
        <color rgb="FFFFC000"/>
      </font>
      <fill>
        <patternFill>
          <bgColor rgb="FF002060"/>
        </patternFill>
      </fill>
      <border>
        <left style="thin">
          <color rgb="FFFFC000"/>
        </left>
        <right style="thin">
          <color rgb="FFFFC000"/>
        </right>
        <top style="thin">
          <color rgb="FFFFC000"/>
        </top>
        <bottom style="thin">
          <color rgb="FFFFC000"/>
        </bottom>
        <vertical/>
        <horizontal/>
      </border>
    </dxf>
    <dxf>
      <font>
        <b/>
        <i val="0"/>
        <color rgb="FFFFC000"/>
      </font>
      <fill>
        <patternFill>
          <bgColor rgb="FF002060"/>
        </patternFill>
      </fill>
      <border>
        <left style="thin">
          <color rgb="FFFFC000"/>
        </left>
        <right style="thin">
          <color rgb="FFFFC000"/>
        </right>
        <top style="thin">
          <color rgb="FFFFC000"/>
        </top>
        <bottom style="thin">
          <color rgb="FFFFC000"/>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ont>
        <b/>
        <i val="0"/>
        <color rgb="FFFFFFCC"/>
      </font>
      <fill>
        <patternFill>
          <bgColor rgb="FF0000CC"/>
        </patternFill>
      </fill>
      <border>
        <left style="thin">
          <color rgb="FFFFFFCC"/>
        </left>
        <right style="thin">
          <color rgb="FFFFFFCC"/>
        </right>
        <top style="thin">
          <color rgb="FFFFFFCC"/>
        </top>
        <bottom style="thin">
          <color rgb="FFFFFFCC"/>
        </bottom>
        <vertical/>
        <horizontal/>
      </border>
    </dxf>
    <dxf>
      <fill>
        <patternFill>
          <bgColor rgb="FFFFFFCC"/>
        </patternFill>
      </fill>
    </dxf>
    <dxf>
      <font>
        <b val="0"/>
        <i val="0"/>
        <color auto="1"/>
      </font>
      <fill>
        <patternFill>
          <bgColor theme="5" tint="0.79998168889431442"/>
        </patternFill>
      </fill>
    </dxf>
    <dxf>
      <fill>
        <patternFill>
          <bgColor rgb="FFFFFFCC"/>
        </patternFill>
      </fill>
    </dxf>
    <dxf>
      <font>
        <b/>
        <i val="0"/>
        <color auto="1"/>
      </font>
      <fill>
        <patternFill>
          <bgColor theme="5" tint="0.79998168889431442"/>
        </patternFill>
      </fill>
    </dxf>
    <dxf>
      <fill>
        <patternFill>
          <bgColor rgb="FFFFFFCC"/>
        </patternFill>
      </fill>
    </dxf>
    <dxf>
      <font>
        <b val="0"/>
        <i val="0"/>
        <color auto="1"/>
      </font>
      <fill>
        <patternFill>
          <bgColor theme="5" tint="0.79998168889431442"/>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ont>
        <strike/>
      </font>
      <fill>
        <patternFill>
          <bgColor theme="0" tint="-0.14996795556505021"/>
        </patternFill>
      </fill>
    </dxf>
    <dxf>
      <fill>
        <patternFill>
          <bgColor rgb="FFFFFFCC"/>
        </patternFill>
      </fill>
    </dxf>
    <dxf>
      <fill>
        <patternFill>
          <bgColor theme="6" tint="0.79998168889431442"/>
        </patternFill>
      </fill>
    </dxf>
    <dxf>
      <font>
        <b/>
        <i val="0"/>
        <color rgb="FFFFFF00"/>
      </font>
      <fill>
        <patternFill>
          <bgColor theme="8" tint="-0.499984740745262"/>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fill>
        <patternFill>
          <bgColor theme="5" tint="0.79998168889431442"/>
        </patternFill>
      </fill>
    </dxf>
    <dxf>
      <fill>
        <patternFill>
          <bgColor rgb="FFFFFF99"/>
        </patternFill>
      </fill>
    </dxf>
    <dxf>
      <fill>
        <patternFill>
          <bgColor theme="6" tint="0.59996337778862885"/>
        </patternFill>
      </fill>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numFmt numFmtId="30" formatCode="@"/>
      <alignment horizontal="general" vertical="top" textRotation="0" wrapText="0" indent="0" justifyLastLine="0" shrinkToFit="0" readingOrder="0"/>
    </dxf>
    <dxf>
      <font>
        <strike val="0"/>
        <outline val="0"/>
        <shadow val="0"/>
        <u val="none"/>
        <vertAlign val="baseline"/>
        <sz val="11"/>
        <color theme="1"/>
        <name val="Tahoma"/>
        <scheme val="none"/>
      </font>
      <numFmt numFmtId="30" formatCode="@"/>
      <alignment horizontal="general" vertical="top"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398"/>
      <tableStyleElement type="headerRow" dxfId="397"/>
    </tableStyle>
  </tableStyles>
  <colors>
    <mruColors>
      <color rgb="FF0000FF"/>
      <color rgb="FF0000CC"/>
      <color rgb="FFFFFFCC"/>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onnections" Target="connection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in/Excel_AddIns/P6CXLSLib3.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StringTests True-False Samples"/>
      <sheetName val="Other Samples"/>
      <sheetName val="VER_STRING_NAME_P6C"/>
    </sheetNames>
    <definedNames>
      <definedName name="AddBackslash"/>
      <definedName name="dtmFileDateInfo"/>
      <definedName name="EnvStringGetByName"/>
      <definedName name="FileExists"/>
      <definedName name="GetExtension"/>
      <definedName name="GetFile"/>
      <definedName name="GetFolder"/>
      <definedName name="GetLeafDirectoryName"/>
      <definedName name="GetVersionInfo_WW"/>
      <definedName name="lngFileSize"/>
    </definedNames>
    <sheetDataSet>
      <sheetData sheetId="0"/>
      <sheetData sheetId="1"/>
      <sheetData sheetId="2"/>
    </sheetDataSet>
  </externalBook>
</externalLink>
</file>

<file path=xl/queryTables/queryTable1.xml><?xml version="1.0" encoding="utf-8"?>
<queryTable xmlns="http://schemas.openxmlformats.org/spreadsheetml/2006/main" name="DependentAssemblyInfoReport_20170328_021444" connectionId="3"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DisplayOrder_XREF_20140721_182516" growShrinkType="overwriteClear" fillFormulas="1" connectionId="8"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DisplayOrder_XREF_20140721_182516" growShrinkType="overwriteClear" fillFormulas="1" connectionId="7"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DisplayOrder_XREF_20140721_182516" growShrinkType="overwriteClear" fillFormulas="1" connectionId="6" autoFormatId="16" applyNumberFormats="0" applyBorderFormats="0" applyFontFormats="1" applyPatternFormats="1" applyAlignmentFormats="0" applyWidthHeightFormats="0"/>
</file>

<file path=xl/queryTables/queryTable5.xml><?xml version="1.0" encoding="utf-8"?>
<queryTable xmlns="http://schemas.openxmlformats.org/spreadsheetml/2006/main" name="DisplayOrder_XREF_20140721_182516" growShrinkType="overwriteClear" fillFormulas="1" connectionId="5" autoFormatId="16" applyNumberFormats="0" applyBorderFormats="0" applyFontFormats="1" applyPatternFormats="1" applyAlignmentFormats="0" applyWidthHeightFormats="0"/>
</file>

<file path=xl/queryTables/queryTable6.xml><?xml version="1.0" encoding="utf-8"?>
<queryTable xmlns="http://schemas.openxmlformats.org/spreadsheetml/2006/main" name="DisplayOrder_XREF_20140721_182516" growShrinkType="overwriteClear" fillFormulas="1" connectionId="4" autoFormatId="16" applyNumberFormats="0" applyBorderFormats="0" applyFontFormats="1" applyPatternFormats="1" applyAlignmentFormats="0" applyWidthHeightFormats="0"/>
</file>

<file path=xl/queryTables/queryTable7.xml><?xml version="1.0" encoding="utf-8"?>
<queryTable xmlns="http://schemas.openxmlformats.org/spreadsheetml/2006/main" name="DependentAssemblyInfoReport_20170328_021444" connectionId="2" autoFormatId="16" applyNumberFormats="0" applyBorderFormats="0" applyFontFormats="1" applyPatternFormats="1" applyAlignmentFormats="0" applyWidthHeightFormats="0"/>
</file>

<file path=xl/queryTables/queryTable8.xml><?xml version="1.0" encoding="utf-8"?>
<queryTable xmlns="http://schemas.openxmlformats.org/spreadsheetml/2006/main" name="Application_ZAPHOD42_20140305_004026" connectionId="1" autoFormatId="16" applyNumberFormats="0" applyBorderFormats="0" applyFontFormats="1" applyPatternFormats="1" applyAlignmentFormats="0" applyWidthHeightFormats="0"/>
</file>

<file path=xl/tables/table1.xml><?xml version="1.0" encoding="utf-8"?>
<table xmlns="http://schemas.openxmlformats.org/spreadsheetml/2006/main" id="1" name="Table1" displayName="Table1" ref="A1:U25" totalsRowShown="0">
  <autoFilter ref="A1:U25"/>
  <tableColumns count="21">
    <tableColumn id="1" name="id"/>
    <tableColumn id="2" name="namespace"/>
    <tableColumn id="3" name="name"/>
    <tableColumn id="4" name="ns1:IsDataSet"/>
    <tableColumn id="5" name="maxOccurs"/>
    <tableColumn id="6" name="name2"/>
    <tableColumn id="7" name="name3"/>
    <tableColumn id="8" name="type"/>
    <tableColumn id="9" name="minOccurs"/>
    <tableColumn id="10" name="ns1:Ordinal"/>
    <tableColumn id="11" name="name4"/>
    <tableColumn id="12" name="use"/>
    <tableColumn id="13" name="type5"/>
    <tableColumn id="14" name="ref"/>
    <tableColumn id="15" name="ns1:Ordinal6"/>
    <tableColumn id="16" name="name7"/>
    <tableColumn id="17" name="value"/>
    <tableColumn id="18" name="name8"/>
    <tableColumn id="19" name="ns2:space"/>
    <tableColumn id="20" name="value9"/>
    <tableColumn id="21" name="comment"/>
  </tableColumns>
  <tableStyleInfo name="TableStyleMedium2" showFirstColumn="0" showLastColumn="0" showRowStripes="1" showColumnStripes="0"/>
</table>
</file>

<file path=xl/tables/table2.xml><?xml version="1.0" encoding="utf-8"?>
<table xmlns="http://schemas.openxmlformats.org/spreadsheetml/2006/main" id="2" name="Table13" displayName="Table13" ref="A1:L7" totalsRowShown="0">
  <autoFilter ref="A1:L7"/>
  <tableColumns count="12">
    <tableColumn id="1" name="CurrentProfile"/>
    <tableColumn id="2" name="GeneratedClassNamespace"/>
    <tableColumn id="3" name="GeneratedClassName"/>
    <tableColumn id="4" name="ns1:Profiles"/>
    <tableColumn id="5" name="Name" dataDxfId="396"/>
    <tableColumn id="6" name="Type" dataDxfId="395"/>
    <tableColumn id="7" name="Scope" dataDxfId="394"/>
    <tableColumn id="12" name="Status" dataDxfId="393"/>
    <tableColumn id="11" name="Access Method to Use" dataDxfId="392"/>
    <tableColumn id="8" name="ns1:Value" dataDxfId="391"/>
    <tableColumn id="9" name="Profile" dataDxfId="390"/>
    <tableColumn id="10" name="Amended Value" dataDxfId="389"/>
  </tableColumns>
  <tableStyleInfo name="TableStyleMedium2" showFirstColumn="0" showLastColumn="0" showRowStripes="1" showColumnStripes="0"/>
</table>
</file>

<file path=xl/tables/table3.xml><?xml version="1.0" encoding="utf-8"?>
<table xmlns="http://schemas.openxmlformats.org/spreadsheetml/2006/main" id="3" name="Table14" displayName="Table14" ref="A1:U115" totalsRowShown="0">
  <autoFilter ref="A1:U115"/>
  <tableColumns count="21">
    <tableColumn id="1" name="id"/>
    <tableColumn id="2" name="namespace"/>
    <tableColumn id="3" name="name"/>
    <tableColumn id="4" name="ns1:IsDataSet"/>
    <tableColumn id="5" name="maxOccurs"/>
    <tableColumn id="6" name="name2"/>
    <tableColumn id="7" name="name3"/>
    <tableColumn id="8" name="type"/>
    <tableColumn id="9" name="minOccurs"/>
    <tableColumn id="10" name="ns1:Ordinal"/>
    <tableColumn id="11" name="name4"/>
    <tableColumn id="12" name="use"/>
    <tableColumn id="13" name="type5"/>
    <tableColumn id="14" name="ref"/>
    <tableColumn id="15" name="ns1:Ordinal6"/>
    <tableColumn id="16" name="name7"/>
    <tableColumn id="17" name="value"/>
    <tableColumn id="18" name="name8"/>
    <tableColumn id="19" name="ns2:space"/>
    <tableColumn id="20" name="value9"/>
    <tableColumn id="21" name="com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vmlDrawing" Target="../drawings/vmlDrawing2.vml"/><Relationship Id="rId1" Type="http://schemas.openxmlformats.org/officeDocument/2006/relationships/printerSettings" Target="../printerSettings/printerSettings12.bin"/><Relationship Id="rId4"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2" Type="http://schemas.openxmlformats.org/officeDocument/2006/relationships/queryTable" Target="../queryTables/queryTable3.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2" Type="http://schemas.openxmlformats.org/officeDocument/2006/relationships/queryTable" Target="../queryTables/queryTable4.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queryTable" Target="../queryTables/queryTable5.x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2" Type="http://schemas.openxmlformats.org/officeDocument/2006/relationships/queryTable" Target="../queryTables/queryTable6.x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8" Type="http://schemas.openxmlformats.org/officeDocument/2006/relationships/hyperlink" Target="http://www.w3.org/XML/1998/namespace" TargetMode="External"/><Relationship Id="rId13" Type="http://schemas.openxmlformats.org/officeDocument/2006/relationships/hyperlink" Target="http://www.w3.org/XML/1998/namespace" TargetMode="External"/><Relationship Id="rId3" Type="http://schemas.openxmlformats.org/officeDocument/2006/relationships/hyperlink" Target="http://www.w3.org/XML/1998/namespace" TargetMode="External"/><Relationship Id="rId7" Type="http://schemas.openxmlformats.org/officeDocument/2006/relationships/hyperlink" Target="http://www.w3.org/XML/1998/namespace" TargetMode="External"/><Relationship Id="rId12" Type="http://schemas.openxmlformats.org/officeDocument/2006/relationships/hyperlink" Target="http://www.w3.org/XML/1998/namespace" TargetMode="External"/><Relationship Id="rId2" Type="http://schemas.openxmlformats.org/officeDocument/2006/relationships/hyperlink" Target="http://www.w3.org/XML/1998/namespace" TargetMode="External"/><Relationship Id="rId16" Type="http://schemas.openxmlformats.org/officeDocument/2006/relationships/table" Target="../tables/table1.xml"/><Relationship Id="rId1" Type="http://schemas.openxmlformats.org/officeDocument/2006/relationships/hyperlink" Target="http://www.w3.org/XML/1998/namespace" TargetMode="External"/><Relationship Id="rId6" Type="http://schemas.openxmlformats.org/officeDocument/2006/relationships/hyperlink" Target="http://www.w3.org/XML/1998/namespace" TargetMode="External"/><Relationship Id="rId11" Type="http://schemas.openxmlformats.org/officeDocument/2006/relationships/hyperlink" Target="http://www.w3.org/XML/1998/namespace" TargetMode="External"/><Relationship Id="rId5" Type="http://schemas.openxmlformats.org/officeDocument/2006/relationships/hyperlink" Target="http://www.w3.org/XML/1998/namespace" TargetMode="External"/><Relationship Id="rId15" Type="http://schemas.openxmlformats.org/officeDocument/2006/relationships/hyperlink" Target="http://www.w3.org/XML/1998/namespace" TargetMode="External"/><Relationship Id="rId10" Type="http://schemas.openxmlformats.org/officeDocument/2006/relationships/hyperlink" Target="http://www.w3.org/XML/1998/namespace" TargetMode="External"/><Relationship Id="rId4" Type="http://schemas.openxmlformats.org/officeDocument/2006/relationships/hyperlink" Target="http://www.w3.org/XML/1998/namespace" TargetMode="External"/><Relationship Id="rId9" Type="http://schemas.openxmlformats.org/officeDocument/2006/relationships/hyperlink" Target="http://www.w3.org/XML/1998/namespace" TargetMode="External"/><Relationship Id="rId14" Type="http://schemas.openxmlformats.org/officeDocument/2006/relationships/hyperlink" Target="http://www.w3.org/XML/1998/namespace" TargetMode="Externa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3" Type="http://schemas.openxmlformats.org/officeDocument/2006/relationships/hyperlink" Target="https://p6lists-my.sharepoint.com/personal/dagray_p6lists_com/_layouts/15/guestaccess.aspx?docid=1ffbd52f2d72d413f8bbd4c41615b8400&amp;authkey=ARDl6V-pMxl_kA_YEVZya2s" TargetMode="External"/><Relationship Id="rId2" Type="http://schemas.openxmlformats.org/officeDocument/2006/relationships/hyperlink" Target="https://p6lists-my.sharepoint.com/personal/dagray_p6lists_com/_layouts/15/guestaccess.aspx?docid=18303c6c52cc146d18708bdf2db3fe1ca&amp;authkey=AQyFfBTjajwrfPnTxDysESs" TargetMode="External"/><Relationship Id="rId1" Type="http://schemas.openxmlformats.org/officeDocument/2006/relationships/hyperlink" Target="https://p6lists-my.sharepoint.com/personal/dagray_p6lists_com/_layouts/15/guestaccess.aspx?docid=1e7f21069fe2a4883a0896c5afe4353fe&amp;authkey=AWr_gTMC8r8FoBb2pmQDnHQ" TargetMode="External"/><Relationship Id="rId5" Type="http://schemas.openxmlformats.org/officeDocument/2006/relationships/printerSettings" Target="../printerSettings/printerSettings21.bin"/><Relationship Id="rId4" Type="http://schemas.openxmlformats.org/officeDocument/2006/relationships/hyperlink" Target="https://stackoverflow.com/questions/45290171/the-regularexpressionmatching-task-could-not-be-loaded-from-the-assembly-regex"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7.bin"/></Relationships>
</file>

<file path=xl/worksheets/_rels/sheet36.xml.rels><?xml version="1.0" encoding="UTF-8" standalone="yes"?>
<Relationships xmlns="http://schemas.openxmlformats.org/package/2006/relationships"><Relationship Id="rId8" Type="http://schemas.openxmlformats.org/officeDocument/2006/relationships/hyperlink" Target="http://www.w3.org/XML/1998/namespace" TargetMode="External"/><Relationship Id="rId13" Type="http://schemas.openxmlformats.org/officeDocument/2006/relationships/hyperlink" Target="http://www.w3.org/XML/1998/namespace" TargetMode="External"/><Relationship Id="rId3" Type="http://schemas.openxmlformats.org/officeDocument/2006/relationships/hyperlink" Target="http://www.w3.org/XML/1998/namespace" TargetMode="External"/><Relationship Id="rId7" Type="http://schemas.openxmlformats.org/officeDocument/2006/relationships/hyperlink" Target="http://www.w3.org/XML/1998/namespace" TargetMode="External"/><Relationship Id="rId12" Type="http://schemas.openxmlformats.org/officeDocument/2006/relationships/hyperlink" Target="http://www.w3.org/XML/1998/namespace" TargetMode="External"/><Relationship Id="rId17" Type="http://schemas.openxmlformats.org/officeDocument/2006/relationships/table" Target="../tables/table3.xml"/><Relationship Id="rId2" Type="http://schemas.openxmlformats.org/officeDocument/2006/relationships/hyperlink" Target="http://www.w3.org/XML/1998/namespace" TargetMode="External"/><Relationship Id="rId16" Type="http://schemas.openxmlformats.org/officeDocument/2006/relationships/printerSettings" Target="../printerSettings/printerSettings28.bin"/><Relationship Id="rId1" Type="http://schemas.openxmlformats.org/officeDocument/2006/relationships/hyperlink" Target="http://www.w3.org/XML/1998/namespace" TargetMode="External"/><Relationship Id="rId6" Type="http://schemas.openxmlformats.org/officeDocument/2006/relationships/hyperlink" Target="http://www.w3.org/XML/1998/namespace" TargetMode="External"/><Relationship Id="rId11" Type="http://schemas.openxmlformats.org/officeDocument/2006/relationships/hyperlink" Target="http://www.w3.org/XML/1998/namespace" TargetMode="External"/><Relationship Id="rId5" Type="http://schemas.openxmlformats.org/officeDocument/2006/relationships/hyperlink" Target="http://www.w3.org/XML/1998/namespace" TargetMode="External"/><Relationship Id="rId15" Type="http://schemas.openxmlformats.org/officeDocument/2006/relationships/hyperlink" Target="http://www.w3.org/XML/1998/namespace" TargetMode="External"/><Relationship Id="rId10" Type="http://schemas.openxmlformats.org/officeDocument/2006/relationships/hyperlink" Target="http://www.w3.org/XML/1998/namespace" TargetMode="External"/><Relationship Id="rId4" Type="http://schemas.openxmlformats.org/officeDocument/2006/relationships/hyperlink" Target="http://www.w3.org/XML/1998/namespace" TargetMode="External"/><Relationship Id="rId9" Type="http://schemas.openxmlformats.org/officeDocument/2006/relationships/hyperlink" Target="http://www.w3.org/XML/1998/namespace" TargetMode="External"/><Relationship Id="rId14" Type="http://schemas.openxmlformats.org/officeDocument/2006/relationships/hyperlink" Target="http://www.w3.org/XML/1998/namespace" TargetMode="Externa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9.xml.rels><?xml version="1.0" encoding="UTF-8" standalone="yes"?>
<Relationships xmlns="http://schemas.openxmlformats.org/package/2006/relationships"><Relationship Id="rId2" Type="http://schemas.openxmlformats.org/officeDocument/2006/relationships/queryTable" Target="../queryTables/queryTable7.xml"/><Relationship Id="rId1" Type="http://schemas.openxmlformats.org/officeDocument/2006/relationships/printerSettings" Target="../printerSettings/printerSettings31.bin"/></Relationships>
</file>

<file path=xl/worksheets/_rels/sheet40.xml.rels><?xml version="1.0" encoding="UTF-8" standalone="yes"?>
<Relationships xmlns="http://schemas.openxmlformats.org/package/2006/relationships"><Relationship Id="rId2" Type="http://schemas.openxmlformats.org/officeDocument/2006/relationships/queryTable" Target="../queryTables/queryTable8.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A37"/>
  <sheetViews>
    <sheetView topLeftCell="A9" workbookViewId="0">
      <selection activeCell="A15" sqref="A15"/>
    </sheetView>
  </sheetViews>
  <sheetFormatPr defaultRowHeight="15" x14ac:dyDescent="0.25"/>
  <cols>
    <col min="1" max="1" width="32.5" bestFit="1" customWidth="1"/>
  </cols>
  <sheetData>
    <row r="1" spans="1:1" x14ac:dyDescent="0.25">
      <c r="A1" s="118" t="s">
        <v>1004</v>
      </c>
    </row>
    <row r="2" spans="1:1" x14ac:dyDescent="0.25">
      <c r="A2" s="118" t="s">
        <v>971</v>
      </c>
    </row>
    <row r="3" spans="1:1" x14ac:dyDescent="0.25">
      <c r="A3" s="118" t="s">
        <v>2249</v>
      </c>
    </row>
    <row r="4" spans="1:1" x14ac:dyDescent="0.25">
      <c r="A4" s="118" t="s">
        <v>1475</v>
      </c>
    </row>
    <row r="5" spans="1:1" x14ac:dyDescent="0.25">
      <c r="A5" s="118" t="s">
        <v>951</v>
      </c>
    </row>
    <row r="6" spans="1:1" x14ac:dyDescent="0.25">
      <c r="A6" s="118" t="s">
        <v>665</v>
      </c>
    </row>
    <row r="7" spans="1:1" x14ac:dyDescent="0.25">
      <c r="A7" s="118" t="s">
        <v>600</v>
      </c>
    </row>
    <row r="8" spans="1:1" x14ac:dyDescent="0.25">
      <c r="A8" s="118" t="s">
        <v>598</v>
      </c>
    </row>
    <row r="9" spans="1:1" x14ac:dyDescent="0.25">
      <c r="A9" s="118" t="s">
        <v>2250</v>
      </c>
    </row>
    <row r="10" spans="1:1" x14ac:dyDescent="0.25">
      <c r="A10" s="118" t="s">
        <v>605</v>
      </c>
    </row>
    <row r="11" spans="1:1" x14ac:dyDescent="0.25">
      <c r="A11" s="118" t="s">
        <v>603</v>
      </c>
    </row>
    <row r="12" spans="1:1" x14ac:dyDescent="0.25">
      <c r="A12" s="118" t="s">
        <v>243</v>
      </c>
    </row>
    <row r="13" spans="1:1" x14ac:dyDescent="0.25">
      <c r="A13" s="118" t="s">
        <v>823</v>
      </c>
    </row>
    <row r="14" spans="1:1" x14ac:dyDescent="0.25">
      <c r="A14" s="118" t="s">
        <v>952</v>
      </c>
    </row>
    <row r="15" spans="1:1" x14ac:dyDescent="0.25">
      <c r="A15" s="118" t="s">
        <v>824</v>
      </c>
    </row>
    <row r="16" spans="1:1" x14ac:dyDescent="0.25">
      <c r="A16" s="118" t="s">
        <v>1350</v>
      </c>
    </row>
    <row r="17" spans="1:1" x14ac:dyDescent="0.25">
      <c r="A17" s="118" t="s">
        <v>999</v>
      </c>
    </row>
    <row r="18" spans="1:1" x14ac:dyDescent="0.25">
      <c r="A18" s="118" t="s">
        <v>386</v>
      </c>
    </row>
    <row r="19" spans="1:1" x14ac:dyDescent="0.25">
      <c r="A19" s="118" t="s">
        <v>387</v>
      </c>
    </row>
    <row r="20" spans="1:1" x14ac:dyDescent="0.25">
      <c r="A20" s="118" t="s">
        <v>2251</v>
      </c>
    </row>
    <row r="21" spans="1:1" x14ac:dyDescent="0.25">
      <c r="A21" s="118" t="s">
        <v>602</v>
      </c>
    </row>
    <row r="22" spans="1:1" x14ac:dyDescent="0.25">
      <c r="A22" s="118" t="s">
        <v>867</v>
      </c>
    </row>
    <row r="23" spans="1:1" x14ac:dyDescent="0.25">
      <c r="A23" s="118" t="s">
        <v>866</v>
      </c>
    </row>
    <row r="24" spans="1:1" x14ac:dyDescent="0.25">
      <c r="A24" s="118" t="s">
        <v>1349</v>
      </c>
    </row>
    <row r="25" spans="1:1" x14ac:dyDescent="0.25">
      <c r="A25" s="118" t="s">
        <v>2252</v>
      </c>
    </row>
    <row r="26" spans="1:1" x14ac:dyDescent="0.25">
      <c r="A26" s="118" t="s">
        <v>2253</v>
      </c>
    </row>
    <row r="27" spans="1:1" x14ac:dyDescent="0.25">
      <c r="A27" s="118" t="s">
        <v>173</v>
      </c>
    </row>
    <row r="28" spans="1:1" x14ac:dyDescent="0.25">
      <c r="A28" s="118" t="s">
        <v>1352</v>
      </c>
    </row>
    <row r="29" spans="1:1" x14ac:dyDescent="0.25">
      <c r="A29" s="118" t="s">
        <v>1474</v>
      </c>
    </row>
    <row r="30" spans="1:1" x14ac:dyDescent="0.25">
      <c r="A30" s="118" t="s">
        <v>1351</v>
      </c>
    </row>
    <row r="31" spans="1:1" x14ac:dyDescent="0.25">
      <c r="A31" s="118" t="s">
        <v>604</v>
      </c>
    </row>
    <row r="32" spans="1:1" x14ac:dyDescent="0.25">
      <c r="A32" s="118" t="s">
        <v>599</v>
      </c>
    </row>
    <row r="33" spans="1:1" x14ac:dyDescent="0.25">
      <c r="A33" s="118" t="s">
        <v>242</v>
      </c>
    </row>
    <row r="34" spans="1:1" x14ac:dyDescent="0.25">
      <c r="A34" s="118" t="s">
        <v>1473</v>
      </c>
    </row>
    <row r="35" spans="1:1" x14ac:dyDescent="0.25">
      <c r="A35" s="118" t="s">
        <v>2254</v>
      </c>
    </row>
    <row r="36" spans="1:1" x14ac:dyDescent="0.25">
      <c r="A36" s="118" t="s">
        <v>601</v>
      </c>
    </row>
    <row r="37" spans="1:1" x14ac:dyDescent="0.25">
      <c r="A37" s="118" t="s">
        <v>1348</v>
      </c>
    </row>
  </sheetData>
  <sortState caseSensitive="1" ref="A1:A37">
    <sortCondition ref="A1"/>
  </sortState>
  <hyperlinks>
    <hyperlink ref="A1" location="'_Index of Named Ranges'!$A$1" display="_Index of Named Ranges"/>
    <hyperlink ref="A8" location="'Check List'!$A$1" display="Check List"/>
    <hyperlink ref="A3" location="'Anatomy of a System.GUID'!$A$1" display="Anatomy of a System.GUID"/>
    <hyperlink ref="A4" location="'Application Event Log 20170829'!$A$1" display="Application Event Log 20170829"/>
    <hyperlink ref="A5" location="'AssemblyInfo Subdivisions'!$A$1" display="AssemblyInfo Subdivisions"/>
    <hyperlink ref="A9" location="'Commoon .NET Exception Types'!$A$1" display="Commoon .NET Exception Types"/>
    <hyperlink ref="A14" location="'DependentAssemblyInfoReport 2'!$A$1" display="DependentAssemblyInfoReport 2"/>
    <hyperlink ref="A13" location="'DependentAssemblyInfoReport 1'!$A$1" display="DependentAssemblyInfoReport 1"/>
    <hyperlink ref="A20" location="'Escape Characters in C'!$A$1" display="Escape Characters in C"/>
    <hyperlink ref="A25" location="'OutputOptions Bit Masks'!$A$1" display="OutputOptions Bit Masks"/>
    <hyperlink ref="A26" location="'PESubsystemID Mappings'!$A$1" display="PESubsystemID Mappings"/>
    <hyperlink ref="A31" location="'STANDARD_DISPLAY_DATE_FORMAT XR'!$A$1" display="STANDARD_DISPLAY_DATE_FORMAT XR"/>
    <hyperlink ref="A32" location="'String Resources to Relocate'!$A$1" display="String Resources to Relocate"/>
    <hyperlink ref="A18" location="'ERRMSG_ARG_IS_NULL XREF'!$A$1" display="ERRMSG_ARG_IS_NULL XREF"/>
    <hyperlink ref="A19" location="'ERRMSG_ARG_IS_NULL_OR_EMPTY XRF'!$A$1" display="ERRMSG_ARG_IS_NULL_OR_EMPTY XRF"/>
    <hyperlink ref="A12" location="'CSVFileInfo XREF'!$A$1" display="CSVFileInfo XREF"/>
    <hyperlink ref="A27" location="'RegistryValues XREF'!$A$1" display="RegistryValues XREF"/>
    <hyperlink ref="A33" location="'SysDateFormatters XREF'!$A$1" display="SysDateFormatters XREF"/>
    <hyperlink ref="A7" location="Catalog_WizardWrx_AssemblyPrope!$A$1" display="Catalog_WizardWrx_AssemblyPrope"/>
    <hyperlink ref="A36" location="WizardWrx_DLLServices2_DLL_Conf!$A$1" display="WizardWrx_DLLServices2_DLL_Conf"/>
    <hyperlink ref="A21" location="'FatalExceptionTextColor XREF'!$A$1" display="FatalExceptionTextColor XREF"/>
    <hyperlink ref="A10" location="'ConsoleStreams Strings'!$A$1" display="ConsoleStreams Strings"/>
    <hyperlink ref="A11" location="'ConsoleStreams Strings XREF'!$A$1" display="ConsoleStreams Strings XREF"/>
    <hyperlink ref="A2" location="'_Private Links'!$A$1" display="_Private Links"/>
    <hyperlink ref="A6" location="'Byte Order Marks'!$A$1" display="Byte Order Marks"/>
    <hyperlink ref="A23" location="MagicNumbers!$A$1" display="MagicNumbers"/>
    <hyperlink ref="A22" location="GetFinalPathNameByHandleW!$A$1" display="GetFinalPathNameByHandleW"/>
    <hyperlink ref="A17" location="'DLLServices2TestStand Classes'!$A$1" display="DLLServices2TestStand Classes"/>
    <hyperlink ref="A37" location="xsd_exe_Inventory_ENIGMA!$A$1" display="xsd_exe_Inventory_ENIGMA"/>
    <hyperlink ref="A24" location="'New Special_Characters'!$A$1" display="New Special_Characters"/>
    <hyperlink ref="A16" location="'Directories on Path (ENIGMA)'!$A$1" display="Directories on Path (ENIGMA)"/>
    <hyperlink ref="A30" location="'SharedUtl4 TestStand Settings'!$A$1" display="SharedUtl4 TestStand Settings"/>
    <hyperlink ref="A28" location="'SharedUtl2 TestStand Strings'!$A$1" display="SharedUtl2 TestStand Strings"/>
    <hyperlink ref="A29" location="'SharedUtl4 Test Classes'!$A$1" display="SharedUtl4 Test Classes"/>
    <hyperlink ref="A35" location="'Windows Forms Keys'!$A$1" display="Windows Forms Keys"/>
    <hyperlink ref="A15" location="'DependentAssemblyInfoReport IMP'!$A$1" display="DependentAssemblyInfoReport IMP"/>
    <hyperlink ref="A34" location="'Windows Event Log IMPORT'!$A$1" display="Windows Event Log IMPORT"/>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0.749992370372631"/>
  </sheetPr>
  <dimension ref="A1:H7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41.875" bestFit="1" customWidth="1"/>
    <col min="2" max="2" width="42.875" bestFit="1" customWidth="1"/>
    <col min="3" max="3" width="116.125" bestFit="1" customWidth="1"/>
    <col min="4" max="4" width="24.25" bestFit="1" customWidth="1"/>
    <col min="5" max="5" width="10.875" bestFit="1" customWidth="1"/>
    <col min="6" max="6" width="7.75" bestFit="1" customWidth="1"/>
    <col min="7" max="7" width="11.5" bestFit="1" customWidth="1"/>
    <col min="8" max="8" width="6.875" bestFit="1" customWidth="1"/>
  </cols>
  <sheetData>
    <row r="1" spans="1:8" ht="18" x14ac:dyDescent="0.25">
      <c r="A1" s="123" t="s">
        <v>7</v>
      </c>
      <c r="B1" s="123" t="s">
        <v>612</v>
      </c>
      <c r="C1" s="123" t="s">
        <v>611</v>
      </c>
      <c r="D1" s="123" t="s">
        <v>610</v>
      </c>
      <c r="E1" s="123" t="s">
        <v>609</v>
      </c>
      <c r="F1" s="123" t="s">
        <v>608</v>
      </c>
      <c r="G1" s="123" t="s">
        <v>607</v>
      </c>
      <c r="H1" s="123" t="s">
        <v>606</v>
      </c>
    </row>
    <row r="2" spans="1:8" x14ac:dyDescent="0.25">
      <c r="A2" s="122" t="s">
        <v>705</v>
      </c>
      <c r="B2" s="122" t="s">
        <v>2255</v>
      </c>
      <c r="C2" s="122" t="str">
        <f t="shared" ref="C2:C65" ca="1" si="0">IF(LEN($A2)&gt;0,CELL("contents",OFFSET(INDIRECT($A2),0,0)),"")</f>
        <v>_Index of Named Ranges</v>
      </c>
      <c r="D2" s="122" t="str">
        <f t="shared" ref="D2:D65" si="1">IF(LEN($B2)&gt;0,SUBSTITUTE(MID($B2,2,FIND("!",$B2)-2),"'",""),"")</f>
        <v>Index</v>
      </c>
      <c r="E2" s="122" t="str">
        <f t="shared" ref="E2:E65" si="2">IF(LEN($B2)&gt;0,RIGHT($B2,LEN($B2)-FIND("!",$B2)),"")</f>
        <v>$A$1:$A$37</v>
      </c>
      <c r="F2" s="121">
        <f t="shared" ref="F2:F65" ca="1" si="3">IF(LEN($A2)&gt;0,ROWS(INDIRECT($A2)),"")</f>
        <v>37</v>
      </c>
      <c r="G2" s="121">
        <f t="shared" ref="G2:G65" ca="1" si="4">IF(LEN($A2)&gt;0,COLUMNS(INDIRECT($A2)),"")</f>
        <v>1</v>
      </c>
      <c r="H2" s="121">
        <f t="shared" ref="H2:H22" ca="1" si="5">IF(LEN($A2)&gt;0,F2*G2,"")</f>
        <v>37</v>
      </c>
    </row>
    <row r="3" spans="1:8" x14ac:dyDescent="0.25">
      <c r="A3" s="120" t="s">
        <v>2241</v>
      </c>
      <c r="B3" s="120" t="s">
        <v>2274</v>
      </c>
      <c r="C3" s="120">
        <f t="shared" ca="1" si="0"/>
        <v>199</v>
      </c>
      <c r="D3" s="120" t="str">
        <f t="shared" si="1"/>
        <v>OutputOptions Bit Masks</v>
      </c>
      <c r="E3" s="120" t="str">
        <f t="shared" si="2"/>
        <v>$D$14</v>
      </c>
      <c r="F3" s="119">
        <f t="shared" ca="1" si="3"/>
        <v>1</v>
      </c>
      <c r="G3" s="119">
        <f t="shared" ca="1" si="4"/>
        <v>1</v>
      </c>
      <c r="H3" s="119">
        <f t="shared" ca="1" si="5"/>
        <v>1</v>
      </c>
    </row>
    <row r="4" spans="1:8" x14ac:dyDescent="0.25">
      <c r="A4" s="120" t="s">
        <v>2245</v>
      </c>
      <c r="B4" s="120" t="s">
        <v>2275</v>
      </c>
      <c r="C4" s="120">
        <f t="shared" ca="1" si="0"/>
        <v>255</v>
      </c>
      <c r="D4" s="120" t="str">
        <f t="shared" si="1"/>
        <v>OutputOptions Bit Masks</v>
      </c>
      <c r="E4" s="120" t="str">
        <f t="shared" si="2"/>
        <v>$D$18</v>
      </c>
      <c r="F4" s="119">
        <f t="shared" ca="1" si="3"/>
        <v>1</v>
      </c>
      <c r="G4" s="119">
        <f t="shared" ca="1" si="4"/>
        <v>1</v>
      </c>
      <c r="H4" s="119">
        <f t="shared" ca="1" si="5"/>
        <v>1</v>
      </c>
    </row>
    <row r="5" spans="1:8" x14ac:dyDescent="0.25">
      <c r="A5" s="120" t="s">
        <v>2242</v>
      </c>
      <c r="B5" s="120" t="s">
        <v>2276</v>
      </c>
      <c r="C5" s="120">
        <f t="shared" ca="1" si="0"/>
        <v>207</v>
      </c>
      <c r="D5" s="120" t="str">
        <f t="shared" si="1"/>
        <v>OutputOptions Bit Masks</v>
      </c>
      <c r="E5" s="120" t="str">
        <f t="shared" si="2"/>
        <v>$D$15</v>
      </c>
      <c r="F5" s="119">
        <f t="shared" ca="1" si="3"/>
        <v>1</v>
      </c>
      <c r="G5" s="119">
        <f t="shared" ca="1" si="4"/>
        <v>1</v>
      </c>
      <c r="H5" s="119">
        <f t="shared" ca="1" si="5"/>
        <v>1</v>
      </c>
    </row>
    <row r="6" spans="1:8" x14ac:dyDescent="0.25">
      <c r="A6" s="120" t="s">
        <v>2243</v>
      </c>
      <c r="B6" s="120" t="s">
        <v>2277</v>
      </c>
      <c r="C6" s="120">
        <f t="shared" ca="1" si="0"/>
        <v>231</v>
      </c>
      <c r="D6" s="120" t="str">
        <f t="shared" si="1"/>
        <v>OutputOptions Bit Masks</v>
      </c>
      <c r="E6" s="120" t="str">
        <f t="shared" si="2"/>
        <v>$D$16</v>
      </c>
      <c r="F6" s="119">
        <f t="shared" ca="1" si="3"/>
        <v>1</v>
      </c>
      <c r="G6" s="119">
        <f t="shared" ca="1" si="4"/>
        <v>1</v>
      </c>
      <c r="H6" s="119">
        <f t="shared" ca="1" si="5"/>
        <v>1</v>
      </c>
    </row>
    <row r="7" spans="1:8" x14ac:dyDescent="0.25">
      <c r="A7" s="120" t="s">
        <v>2244</v>
      </c>
      <c r="B7" s="120" t="s">
        <v>2278</v>
      </c>
      <c r="C7" s="120">
        <f t="shared" ca="1" si="0"/>
        <v>215</v>
      </c>
      <c r="D7" s="120" t="str">
        <f t="shared" si="1"/>
        <v>OutputOptions Bit Masks</v>
      </c>
      <c r="E7" s="120" t="str">
        <f t="shared" si="2"/>
        <v>$D$17</v>
      </c>
      <c r="F7" s="119">
        <f t="shared" ca="1" si="3"/>
        <v>1</v>
      </c>
      <c r="G7" s="119">
        <f t="shared" ca="1" si="4"/>
        <v>1</v>
      </c>
      <c r="H7" s="119">
        <f t="shared" ca="1" si="5"/>
        <v>1</v>
      </c>
    </row>
    <row r="8" spans="1:8" x14ac:dyDescent="0.25">
      <c r="A8" s="120" t="s">
        <v>613</v>
      </c>
      <c r="B8" s="120" t="s">
        <v>614</v>
      </c>
      <c r="C8" s="120" t="str">
        <f t="shared" ca="1" si="0"/>
        <v>AssemblyPropertyViewer.CS</v>
      </c>
      <c r="D8" s="120" t="str">
        <f t="shared" si="1"/>
        <v>ERRMSG_ARG_IS_NULL XREF</v>
      </c>
      <c r="E8" s="120" t="str">
        <f t="shared" si="2"/>
        <v>$D$40</v>
      </c>
      <c r="F8" s="119">
        <f t="shared" ca="1" si="3"/>
        <v>1</v>
      </c>
      <c r="G8" s="119">
        <f t="shared" ca="1" si="4"/>
        <v>1</v>
      </c>
      <c r="H8" s="119">
        <f t="shared" ca="1" si="5"/>
        <v>1</v>
      </c>
    </row>
    <row r="9" spans="1:8" x14ac:dyDescent="0.25">
      <c r="A9" s="122" t="s">
        <v>615</v>
      </c>
      <c r="B9" s="122" t="s">
        <v>616</v>
      </c>
      <c r="C9" s="122" t="str">
        <f t="shared" ca="1" si="0"/>
        <v>C:\Users\DAVE\Documents\Visual Studio 2013\Projects\WizardWrx_Libs\AssemblyPropertyViewer\AssemblyPropertyViewer</v>
      </c>
      <c r="D9" s="122" t="str">
        <f t="shared" si="1"/>
        <v>ERRMSG_ARG_IS_NULL XREF</v>
      </c>
      <c r="E9" s="122" t="str">
        <f t="shared" si="2"/>
        <v>$H$40</v>
      </c>
      <c r="F9" s="121">
        <f t="shared" ca="1" si="3"/>
        <v>1</v>
      </c>
      <c r="G9" s="121">
        <f t="shared" ca="1" si="4"/>
        <v>1</v>
      </c>
      <c r="H9" s="121">
        <f t="shared" ca="1" si="5"/>
        <v>1</v>
      </c>
    </row>
    <row r="10" spans="1:8" x14ac:dyDescent="0.25">
      <c r="A10" s="120" t="s">
        <v>617</v>
      </c>
      <c r="B10" s="120" t="s">
        <v>618</v>
      </c>
      <c r="C10" s="120" t="str">
        <f t="shared" ca="1" si="0"/>
        <v>BinaryRecordBuffer.cs</v>
      </c>
      <c r="D10" s="120" t="str">
        <f t="shared" si="1"/>
        <v>ERRMSG_ARG_IS_NULL XREF</v>
      </c>
      <c r="E10" s="120" t="str">
        <f t="shared" si="2"/>
        <v>$D$9</v>
      </c>
      <c r="F10" s="119">
        <f t="shared" ca="1" si="3"/>
        <v>1</v>
      </c>
      <c r="G10" s="119">
        <f t="shared" ca="1" si="4"/>
        <v>1</v>
      </c>
      <c r="H10" s="119">
        <f t="shared" ca="1" si="5"/>
        <v>1</v>
      </c>
    </row>
    <row r="11" spans="1:8" x14ac:dyDescent="0.25">
      <c r="A11" s="120" t="s">
        <v>619</v>
      </c>
      <c r="B11" s="120" t="s">
        <v>620</v>
      </c>
      <c r="C11" s="120" t="str">
        <f t="shared" ca="1" si="0"/>
        <v>C:\Users\DAVE\Documents\Visual Studio 2013\Projects\NOLANB\DataEaseDirectoryReader\DataEase</v>
      </c>
      <c r="D11" s="120" t="str">
        <f t="shared" si="1"/>
        <v>ERRMSG_ARG_IS_NULL XREF</v>
      </c>
      <c r="E11" s="120" t="str">
        <f t="shared" si="2"/>
        <v>$H$7</v>
      </c>
      <c r="F11" s="119">
        <f t="shared" ca="1" si="3"/>
        <v>1</v>
      </c>
      <c r="G11" s="119">
        <f t="shared" ca="1" si="4"/>
        <v>1</v>
      </c>
      <c r="H11" s="119">
        <f t="shared" ca="1" si="5"/>
        <v>1</v>
      </c>
    </row>
    <row r="12" spans="1:8" x14ac:dyDescent="0.25">
      <c r="A12" s="120" t="s">
        <v>621</v>
      </c>
      <c r="B12" s="120" t="s">
        <v>622</v>
      </c>
      <c r="C12" s="120" t="str">
        <f t="shared" ca="1" si="0"/>
        <v>C:\Users\DAVE\Documents\Visual Studio 2013\Projects\Console_Apps\Date2FN\Date2FN</v>
      </c>
      <c r="D12" s="120" t="str">
        <f t="shared" si="1"/>
        <v>SysDateFormatters XREF</v>
      </c>
      <c r="E12" s="120" t="str">
        <f t="shared" si="2"/>
        <v>$H$8</v>
      </c>
      <c r="F12" s="119">
        <f t="shared" ca="1" si="3"/>
        <v>1</v>
      </c>
      <c r="G12" s="119">
        <f t="shared" ca="1" si="4"/>
        <v>1</v>
      </c>
      <c r="H12" s="119">
        <f t="shared" ca="1" si="5"/>
        <v>1</v>
      </c>
    </row>
    <row r="13" spans="1:8" x14ac:dyDescent="0.25">
      <c r="A13" s="120" t="s">
        <v>2256</v>
      </c>
      <c r="B13" s="120" t="s">
        <v>2279</v>
      </c>
      <c r="C13" s="120">
        <f t="shared" ca="1" si="0"/>
        <v>56</v>
      </c>
      <c r="D13" s="120" t="str">
        <f t="shared" si="1"/>
        <v>OutputOptions Bit Masks</v>
      </c>
      <c r="E13" s="120" t="str">
        <f t="shared" si="2"/>
        <v>$D$20</v>
      </c>
      <c r="F13" s="119">
        <f t="shared" ca="1" si="3"/>
        <v>1</v>
      </c>
      <c r="G13" s="119">
        <f t="shared" ca="1" si="4"/>
        <v>1</v>
      </c>
      <c r="H13" s="119">
        <f t="shared" ca="1" si="5"/>
        <v>1</v>
      </c>
    </row>
    <row r="14" spans="1:8" x14ac:dyDescent="0.25">
      <c r="A14" s="120" t="s">
        <v>1353</v>
      </c>
      <c r="B14" s="120" t="s">
        <v>1354</v>
      </c>
      <c r="C14" s="120" t="str">
        <f t="shared" ca="1" si="0"/>
        <v>C:\bin\php_5.6.31_x64</v>
      </c>
      <c r="D14" s="120" t="str">
        <f t="shared" si="1"/>
        <v>Directories on Path (ENIGMA)</v>
      </c>
      <c r="E14" s="120" t="str">
        <f t="shared" si="2"/>
        <v>$H$6:$J$40</v>
      </c>
      <c r="F14" s="119">
        <f t="shared" ca="1" si="3"/>
        <v>35</v>
      </c>
      <c r="G14" s="119">
        <f t="shared" ca="1" si="4"/>
        <v>3</v>
      </c>
      <c r="H14" s="119">
        <f t="shared" ca="1" si="5"/>
        <v>105</v>
      </c>
    </row>
    <row r="15" spans="1:8" x14ac:dyDescent="0.25">
      <c r="A15" s="120" t="s">
        <v>1355</v>
      </c>
      <c r="B15" s="120" t="s">
        <v>1356</v>
      </c>
      <c r="C15" s="120" t="str">
        <f t="shared" ca="1" si="0"/>
        <v>Value</v>
      </c>
      <c r="D15" s="120" t="str">
        <f t="shared" si="1"/>
        <v>Directories on Path (ENIGMA)</v>
      </c>
      <c r="E15" s="120" t="str">
        <f t="shared" si="2"/>
        <v>$H$4:$J$4</v>
      </c>
      <c r="F15" s="119">
        <f t="shared" ca="1" si="3"/>
        <v>1</v>
      </c>
      <c r="G15" s="119">
        <f t="shared" ca="1" si="4"/>
        <v>3</v>
      </c>
      <c r="H15" s="119">
        <f t="shared" ca="1" si="5"/>
        <v>3</v>
      </c>
    </row>
    <row r="16" spans="1:8" x14ac:dyDescent="0.25">
      <c r="A16" s="122" t="s">
        <v>623</v>
      </c>
      <c r="B16" s="122" t="s">
        <v>624</v>
      </c>
      <c r="C16" s="122" t="str">
        <f t="shared" ca="1" si="0"/>
        <v>Util.cs</v>
      </c>
      <c r="D16" s="122" t="str">
        <f t="shared" si="1"/>
        <v>RegistryValues XREF</v>
      </c>
      <c r="E16" s="122" t="str">
        <f t="shared" si="2"/>
        <v>$D$7</v>
      </c>
      <c r="F16" s="121">
        <f t="shared" ca="1" si="3"/>
        <v>1</v>
      </c>
      <c r="G16" s="121">
        <f t="shared" ca="1" si="4"/>
        <v>1</v>
      </c>
      <c r="H16" s="121">
        <f t="shared" ca="1" si="5"/>
        <v>1</v>
      </c>
    </row>
    <row r="17" spans="1:8" x14ac:dyDescent="0.25">
      <c r="A17" s="120" t="s">
        <v>625</v>
      </c>
      <c r="B17" s="120" t="s">
        <v>626</v>
      </c>
      <c r="C17" s="120" t="str">
        <f t="shared" ca="1" si="0"/>
        <v>C:\Users\DAVE\Documents\Visual Studio 2013\Projects\WizardWrx_Libs\DLLServices2\DLLServices2</v>
      </c>
      <c r="D17" s="120" t="str">
        <f t="shared" si="1"/>
        <v>RegistryValues XREF</v>
      </c>
      <c r="E17" s="120" t="str">
        <f t="shared" si="2"/>
        <v>$H$7</v>
      </c>
      <c r="F17" s="119">
        <f t="shared" ca="1" si="3"/>
        <v>1</v>
      </c>
      <c r="G17" s="119">
        <f t="shared" ca="1" si="4"/>
        <v>1</v>
      </c>
      <c r="H17" s="119">
        <f t="shared" ca="1" si="5"/>
        <v>1</v>
      </c>
    </row>
    <row r="18" spans="1:8" x14ac:dyDescent="0.25">
      <c r="A18" s="120" t="s">
        <v>1000</v>
      </c>
      <c r="B18" s="120" t="s">
        <v>1001</v>
      </c>
      <c r="C18" s="120" t="str">
        <f t="shared" ca="1" si="0"/>
        <v>C:\Users\DAVE\Documents\Visual Studio 2013\Projects\WizardWrx_Libs\Wizardwrx\DLLServices2TestStand\</v>
      </c>
      <c r="D18" s="120" t="str">
        <f t="shared" si="1"/>
        <v>DLLServices2TestStand Classes</v>
      </c>
      <c r="E18" s="120" t="str">
        <f t="shared" si="2"/>
        <v>$C$2</v>
      </c>
      <c r="F18" s="119">
        <f t="shared" ca="1" si="3"/>
        <v>1</v>
      </c>
      <c r="G18" s="119">
        <f t="shared" ca="1" si="4"/>
        <v>1</v>
      </c>
      <c r="H18" s="119">
        <f t="shared" ca="1" si="5"/>
        <v>1</v>
      </c>
    </row>
    <row r="19" spans="1:8" x14ac:dyDescent="0.25">
      <c r="A19" s="120" t="s">
        <v>2233</v>
      </c>
      <c r="B19" s="120" t="s">
        <v>2280</v>
      </c>
      <c r="C19" s="120">
        <f t="shared" ca="1" si="0"/>
        <v>8</v>
      </c>
      <c r="D19" s="120" t="str">
        <f t="shared" si="1"/>
        <v>OutputOptions Bit Masks</v>
      </c>
      <c r="E19" s="120" t="str">
        <f t="shared" si="2"/>
        <v>$D$8</v>
      </c>
      <c r="F19" s="119">
        <f t="shared" ca="1" si="3"/>
        <v>1</v>
      </c>
      <c r="G19" s="119">
        <f t="shared" ca="1" si="4"/>
        <v>1</v>
      </c>
      <c r="H19" s="119">
        <f t="shared" ca="1" si="5"/>
        <v>1</v>
      </c>
    </row>
    <row r="20" spans="1:8" x14ac:dyDescent="0.25">
      <c r="A20" s="120" t="s">
        <v>627</v>
      </c>
      <c r="B20" s="120" t="s">
        <v>628</v>
      </c>
      <c r="C20" s="120" t="str">
        <f t="shared" ca="1" si="0"/>
        <v>FileNameSuffixEngine.cs</v>
      </c>
      <c r="D20" s="120" t="str">
        <f t="shared" si="1"/>
        <v>SysDateFormatters XREF</v>
      </c>
      <c r="E20" s="120" t="str">
        <f t="shared" si="2"/>
        <v>$D$7</v>
      </c>
      <c r="F20" s="119">
        <f t="shared" ca="1" si="3"/>
        <v>1</v>
      </c>
      <c r="G20" s="119">
        <f t="shared" ca="1" si="4"/>
        <v>1</v>
      </c>
      <c r="H20" s="119">
        <f t="shared" ca="1" si="5"/>
        <v>1</v>
      </c>
    </row>
    <row r="21" spans="1:8" x14ac:dyDescent="0.25">
      <c r="A21" s="120" t="s">
        <v>629</v>
      </c>
      <c r="B21" s="120" t="s">
        <v>630</v>
      </c>
      <c r="C21" s="120" t="str">
        <f t="shared" ca="1" si="0"/>
        <v>FileNameSuffixEngine.cs</v>
      </c>
      <c r="D21" s="120" t="str">
        <f t="shared" si="1"/>
        <v>SysDateFormatters XREF</v>
      </c>
      <c r="E21" s="120" t="str">
        <f t="shared" si="2"/>
        <v>$D$8</v>
      </c>
      <c r="F21" s="119">
        <f t="shared" ca="1" si="3"/>
        <v>1</v>
      </c>
      <c r="G21" s="119">
        <f t="shared" ca="1" si="4"/>
        <v>1</v>
      </c>
      <c r="H21" s="119">
        <f t="shared" ca="1" si="5"/>
        <v>1</v>
      </c>
    </row>
    <row r="22" spans="1:8" x14ac:dyDescent="0.25">
      <c r="A22" s="120" t="s">
        <v>631</v>
      </c>
      <c r="B22" s="120" t="s">
        <v>632</v>
      </c>
      <c r="C22" s="120" t="str">
        <f t="shared" ca="1" si="0"/>
        <v>FormsDirectory.cs</v>
      </c>
      <c r="D22" s="120" t="str">
        <f t="shared" si="1"/>
        <v>ERRMSG_ARG_IS_NULL XREF</v>
      </c>
      <c r="E22" s="120" t="str">
        <f t="shared" si="2"/>
        <v>$D$7</v>
      </c>
      <c r="F22" s="119">
        <f t="shared" ca="1" si="3"/>
        <v>1</v>
      </c>
      <c r="G22" s="119">
        <f t="shared" ca="1" si="4"/>
        <v>1</v>
      </c>
      <c r="H22" s="119">
        <f t="shared" ca="1" si="5"/>
        <v>1</v>
      </c>
    </row>
    <row r="23" spans="1:8" x14ac:dyDescent="0.25">
      <c r="A23" s="120" t="s">
        <v>2257</v>
      </c>
      <c r="B23" s="120" t="s">
        <v>2258</v>
      </c>
      <c r="C23" s="120" t="str">
        <f t="shared" ca="1" si="0"/>
        <v>{a1c0a095-df97-3441-bfc1-c9f194e494db}</v>
      </c>
      <c r="D23" s="120" t="str">
        <f t="shared" si="1"/>
        <v>Commoon .NET Exception Types</v>
      </c>
      <c r="E23" s="120" t="str">
        <f t="shared" si="2"/>
        <v>$N$4</v>
      </c>
      <c r="F23" s="119">
        <f t="shared" ca="1" si="3"/>
        <v>1</v>
      </c>
      <c r="G23" s="119">
        <f t="shared" ca="1" si="4"/>
        <v>1</v>
      </c>
      <c r="H23" s="119">
        <f t="shared" ref="H23:H37" ca="1" si="6">IF(LEN($A23)&gt;0,F23*G23,"")</f>
        <v>1</v>
      </c>
    </row>
    <row r="24" spans="1:8" x14ac:dyDescent="0.25">
      <c r="A24" s="120" t="s">
        <v>2259</v>
      </c>
      <c r="B24" s="120" t="s">
        <v>2281</v>
      </c>
      <c r="C24" s="120">
        <f t="shared" ca="1" si="0"/>
        <v>199</v>
      </c>
      <c r="D24" s="120" t="str">
        <f t="shared" si="1"/>
        <v>OutputOptions Bit Masks</v>
      </c>
      <c r="E24" s="120" t="str">
        <f t="shared" si="2"/>
        <v>$D$19</v>
      </c>
      <c r="F24" s="119">
        <f t="shared" ca="1" si="3"/>
        <v>1</v>
      </c>
      <c r="G24" s="119">
        <f t="shared" ca="1" si="4"/>
        <v>1</v>
      </c>
      <c r="H24" s="119">
        <f t="shared" ca="1" si="6"/>
        <v>1</v>
      </c>
    </row>
    <row r="25" spans="1:8" x14ac:dyDescent="0.25">
      <c r="A25" s="120" t="s">
        <v>633</v>
      </c>
      <c r="B25" s="120" t="s">
        <v>634</v>
      </c>
      <c r="C25" s="120" t="str">
        <f t="shared" ca="1" si="0"/>
        <v>Program.cs</v>
      </c>
      <c r="D25" s="120" t="str">
        <f t="shared" si="1"/>
        <v>CSVFileInfo XREF</v>
      </c>
      <c r="E25" s="120" t="str">
        <f t="shared" si="2"/>
        <v>$D$7</v>
      </c>
      <c r="F25" s="119">
        <f t="shared" ca="1" si="3"/>
        <v>1</v>
      </c>
      <c r="G25" s="119">
        <f t="shared" ca="1" si="4"/>
        <v>1</v>
      </c>
      <c r="H25" s="119">
        <f t="shared" ca="1" si="6"/>
        <v>1</v>
      </c>
    </row>
    <row r="26" spans="1:8" x14ac:dyDescent="0.25">
      <c r="A26" s="120" t="s">
        <v>635</v>
      </c>
      <c r="B26" s="120" t="s">
        <v>636</v>
      </c>
      <c r="C26" s="120" t="str">
        <f t="shared" ca="1" si="0"/>
        <v>C:\Users\DAVE\Documents\Visual Studio 2013\Projects\Tools_for_Programmers\MemCalc\MemCalc</v>
      </c>
      <c r="D26" s="120" t="str">
        <f t="shared" si="1"/>
        <v>CSVFileInfo XREF</v>
      </c>
      <c r="E26" s="120" t="str">
        <f t="shared" si="2"/>
        <v>$H$15</v>
      </c>
      <c r="F26" s="119">
        <f t="shared" ca="1" si="3"/>
        <v>1</v>
      </c>
      <c r="G26" s="119">
        <f t="shared" ca="1" si="4"/>
        <v>1</v>
      </c>
      <c r="H26" s="119">
        <f t="shared" ca="1" si="6"/>
        <v>1</v>
      </c>
    </row>
    <row r="27" spans="1:8" x14ac:dyDescent="0.25">
      <c r="A27" s="120" t="s">
        <v>704</v>
      </c>
      <c r="B27" s="120" t="s">
        <v>2282</v>
      </c>
      <c r="C27" s="120">
        <f t="shared" ca="1" si="0"/>
        <v>1</v>
      </c>
      <c r="D27" s="120" t="str">
        <f t="shared" si="1"/>
        <v>OutputOptions Bit Masks</v>
      </c>
      <c r="E27" s="120" t="str">
        <f t="shared" si="2"/>
        <v>$D$5</v>
      </c>
      <c r="F27" s="119">
        <f t="shared" ca="1" si="3"/>
        <v>1</v>
      </c>
      <c r="G27" s="119">
        <f t="shared" ca="1" si="4"/>
        <v>1</v>
      </c>
      <c r="H27" s="119">
        <f t="shared" ca="1" si="6"/>
        <v>1</v>
      </c>
    </row>
    <row r="28" spans="1:8" x14ac:dyDescent="0.25">
      <c r="A28" s="120" t="s">
        <v>637</v>
      </c>
      <c r="B28" s="120" t="s">
        <v>638</v>
      </c>
      <c r="C28" s="120" t="str">
        <f t="shared" ca="1" si="0"/>
        <v>NewClassTests_20140914.cs</v>
      </c>
      <c r="D28" s="120" t="str">
        <f t="shared" si="1"/>
        <v>RegistryValues XREF</v>
      </c>
      <c r="E28" s="120" t="str">
        <f t="shared" si="2"/>
        <v>$D$9</v>
      </c>
      <c r="F28" s="119">
        <f t="shared" ca="1" si="3"/>
        <v>1</v>
      </c>
      <c r="G28" s="119">
        <f t="shared" ca="1" si="4"/>
        <v>1</v>
      </c>
      <c r="H28" s="119">
        <f t="shared" ca="1" si="6"/>
        <v>1</v>
      </c>
    </row>
    <row r="29" spans="1:8" x14ac:dyDescent="0.25">
      <c r="A29" s="120" t="s">
        <v>2283</v>
      </c>
      <c r="B29" s="120" t="s">
        <v>2274</v>
      </c>
      <c r="C29" s="120">
        <f t="shared" ca="1" si="0"/>
        <v>199</v>
      </c>
      <c r="D29" s="120" t="str">
        <f t="shared" si="1"/>
        <v>OutputOptions Bit Masks</v>
      </c>
      <c r="E29" s="120" t="str">
        <f t="shared" si="2"/>
        <v>$D$14</v>
      </c>
      <c r="F29" s="119">
        <f t="shared" ca="1" si="3"/>
        <v>1</v>
      </c>
      <c r="G29" s="119">
        <f t="shared" ca="1" si="4"/>
        <v>1</v>
      </c>
      <c r="H29" s="119">
        <f t="shared" ca="1" si="6"/>
        <v>1</v>
      </c>
    </row>
    <row r="30" spans="1:8" x14ac:dyDescent="0.25">
      <c r="A30" s="120" t="s">
        <v>2284</v>
      </c>
      <c r="B30" s="120" t="s">
        <v>2275</v>
      </c>
      <c r="C30" s="120">
        <f t="shared" ca="1" si="0"/>
        <v>255</v>
      </c>
      <c r="D30" s="120" t="str">
        <f t="shared" si="1"/>
        <v>OutputOptions Bit Masks</v>
      </c>
      <c r="E30" s="120" t="str">
        <f t="shared" si="2"/>
        <v>$D$18</v>
      </c>
      <c r="F30" s="119">
        <f t="shared" ca="1" si="3"/>
        <v>1</v>
      </c>
      <c r="G30" s="119">
        <f t="shared" ca="1" si="4"/>
        <v>1</v>
      </c>
      <c r="H30" s="119">
        <f t="shared" ca="1" si="6"/>
        <v>1</v>
      </c>
    </row>
    <row r="31" spans="1:8" x14ac:dyDescent="0.25">
      <c r="A31" s="120" t="s">
        <v>2285</v>
      </c>
      <c r="B31" s="120" t="s">
        <v>2276</v>
      </c>
      <c r="C31" s="120">
        <f t="shared" ca="1" si="0"/>
        <v>207</v>
      </c>
      <c r="D31" s="120" t="str">
        <f t="shared" si="1"/>
        <v>OutputOptions Bit Masks</v>
      </c>
      <c r="E31" s="120" t="str">
        <f t="shared" si="2"/>
        <v>$D$15</v>
      </c>
      <c r="F31" s="119">
        <f t="shared" ca="1" si="3"/>
        <v>1</v>
      </c>
      <c r="G31" s="119">
        <f t="shared" ca="1" si="4"/>
        <v>1</v>
      </c>
      <c r="H31" s="119">
        <f t="shared" ca="1" si="6"/>
        <v>1</v>
      </c>
    </row>
    <row r="32" spans="1:8" x14ac:dyDescent="0.25">
      <c r="A32" s="120" t="s">
        <v>2286</v>
      </c>
      <c r="B32" s="120" t="s">
        <v>2277</v>
      </c>
      <c r="C32" s="120">
        <f t="shared" ca="1" si="0"/>
        <v>231</v>
      </c>
      <c r="D32" s="120" t="str">
        <f t="shared" si="1"/>
        <v>OutputOptions Bit Masks</v>
      </c>
      <c r="E32" s="120" t="str">
        <f t="shared" si="2"/>
        <v>$D$16</v>
      </c>
      <c r="F32" s="119">
        <f t="shared" ca="1" si="3"/>
        <v>1</v>
      </c>
      <c r="G32" s="119">
        <f t="shared" ca="1" si="4"/>
        <v>1</v>
      </c>
      <c r="H32" s="119">
        <f t="shared" ca="1" si="6"/>
        <v>1</v>
      </c>
    </row>
    <row r="33" spans="1:8" x14ac:dyDescent="0.25">
      <c r="A33" s="120" t="s">
        <v>2287</v>
      </c>
      <c r="B33" s="120" t="s">
        <v>2278</v>
      </c>
      <c r="C33" s="120">
        <f t="shared" ca="1" si="0"/>
        <v>215</v>
      </c>
      <c r="D33" s="120" t="str">
        <f t="shared" si="1"/>
        <v>OutputOptions Bit Masks</v>
      </c>
      <c r="E33" s="120" t="str">
        <f t="shared" si="2"/>
        <v>$D$17</v>
      </c>
      <c r="F33" s="119">
        <f t="shared" ca="1" si="3"/>
        <v>1</v>
      </c>
      <c r="G33" s="119">
        <f t="shared" ca="1" si="4"/>
        <v>1</v>
      </c>
      <c r="H33" s="119">
        <f t="shared" ca="1" si="6"/>
        <v>1</v>
      </c>
    </row>
    <row r="34" spans="1:8" x14ac:dyDescent="0.25">
      <c r="A34" s="120" t="s">
        <v>2288</v>
      </c>
      <c r="B34" s="120" t="s">
        <v>2279</v>
      </c>
      <c r="C34" s="120">
        <f t="shared" ca="1" si="0"/>
        <v>56</v>
      </c>
      <c r="D34" s="120" t="str">
        <f t="shared" si="1"/>
        <v>OutputOptions Bit Masks</v>
      </c>
      <c r="E34" s="120" t="str">
        <f t="shared" si="2"/>
        <v>$D$20</v>
      </c>
      <c r="F34" s="119">
        <f t="shared" ca="1" si="3"/>
        <v>1</v>
      </c>
      <c r="G34" s="119">
        <f t="shared" ca="1" si="4"/>
        <v>1</v>
      </c>
      <c r="H34" s="119">
        <f t="shared" ca="1" si="6"/>
        <v>1</v>
      </c>
    </row>
    <row r="35" spans="1:8" x14ac:dyDescent="0.25">
      <c r="A35" s="120" t="s">
        <v>2289</v>
      </c>
      <c r="B35" s="120" t="s">
        <v>2290</v>
      </c>
      <c r="C35" s="120">
        <f t="shared" ca="1" si="0"/>
        <v>255</v>
      </c>
      <c r="D35" s="120" t="str">
        <f t="shared" si="1"/>
        <v>OutputOptions Bit Masks</v>
      </c>
      <c r="E35" s="120" t="str">
        <f t="shared" si="2"/>
        <v>$D$21</v>
      </c>
      <c r="F35" s="119">
        <f t="shared" ca="1" si="3"/>
        <v>1</v>
      </c>
      <c r="G35" s="119">
        <f t="shared" ca="1" si="4"/>
        <v>1</v>
      </c>
      <c r="H35" s="119">
        <f t="shared" ca="1" si="6"/>
        <v>1</v>
      </c>
    </row>
    <row r="36" spans="1:8" x14ac:dyDescent="0.25">
      <c r="A36" s="120" t="s">
        <v>2291</v>
      </c>
      <c r="B36" s="120" t="s">
        <v>2281</v>
      </c>
      <c r="C36" s="120">
        <f t="shared" ca="1" si="0"/>
        <v>199</v>
      </c>
      <c r="D36" s="120" t="str">
        <f t="shared" si="1"/>
        <v>OutputOptions Bit Masks</v>
      </c>
      <c r="E36" s="120" t="str">
        <f t="shared" si="2"/>
        <v>$D$19</v>
      </c>
      <c r="F36" s="119">
        <f t="shared" ca="1" si="3"/>
        <v>1</v>
      </c>
      <c r="G36" s="119">
        <f t="shared" ca="1" si="4"/>
        <v>1</v>
      </c>
      <c r="H36" s="119">
        <f t="shared" ca="1" si="6"/>
        <v>1</v>
      </c>
    </row>
    <row r="37" spans="1:8" x14ac:dyDescent="0.25">
      <c r="A37" s="120" t="s">
        <v>2292</v>
      </c>
      <c r="B37" s="120" t="s">
        <v>2293</v>
      </c>
      <c r="C37" s="120" t="str">
        <f t="shared" ca="1" si="0"/>
        <v>Highest Bit</v>
      </c>
      <c r="D37" s="120" t="str">
        <f t="shared" si="1"/>
        <v>OutputOptions Bit Masks</v>
      </c>
      <c r="E37" s="120" t="str">
        <f t="shared" si="2"/>
        <v>$A$2:$L$21</v>
      </c>
      <c r="F37" s="119">
        <f t="shared" ca="1" si="3"/>
        <v>20</v>
      </c>
      <c r="G37" s="119">
        <f t="shared" ca="1" si="4"/>
        <v>12</v>
      </c>
      <c r="H37" s="119">
        <f t="shared" ca="1" si="6"/>
        <v>240</v>
      </c>
    </row>
    <row r="38" spans="1:8" x14ac:dyDescent="0.25">
      <c r="A38" s="120" t="s">
        <v>2294</v>
      </c>
      <c r="B38" s="120" t="s">
        <v>2295</v>
      </c>
      <c r="C38" s="120" t="str">
        <f t="shared" ca="1" si="0"/>
        <v>OutputOptions</v>
      </c>
      <c r="D38" s="120" t="str">
        <f t="shared" si="1"/>
        <v>OutputOptions Bit Masks</v>
      </c>
      <c r="E38" s="120" t="str">
        <f t="shared" si="2"/>
        <v>$A$1:$L$1</v>
      </c>
      <c r="F38" s="119">
        <f t="shared" ca="1" si="3"/>
        <v>1</v>
      </c>
      <c r="G38" s="119">
        <f t="shared" ca="1" si="4"/>
        <v>12</v>
      </c>
      <c r="H38" s="119">
        <f t="shared" ref="H38:H41" ca="1" si="7">IF(LEN($A38)&gt;0,F38*G38,"")</f>
        <v>12</v>
      </c>
    </row>
    <row r="39" spans="1:8" x14ac:dyDescent="0.25">
      <c r="A39" s="120" t="s">
        <v>2296</v>
      </c>
      <c r="B39" s="120" t="s">
        <v>2297</v>
      </c>
      <c r="C39" s="120">
        <f t="shared" ca="1" si="0"/>
        <v>64</v>
      </c>
      <c r="D39" s="120" t="str">
        <f t="shared" si="1"/>
        <v>OutputOptions Bit Masks</v>
      </c>
      <c r="E39" s="120" t="str">
        <f t="shared" si="2"/>
        <v>$D$11</v>
      </c>
      <c r="F39" s="119">
        <f t="shared" ca="1" si="3"/>
        <v>1</v>
      </c>
      <c r="G39" s="119">
        <f t="shared" ca="1" si="4"/>
        <v>1</v>
      </c>
      <c r="H39" s="119">
        <f t="shared" ca="1" si="7"/>
        <v>1</v>
      </c>
    </row>
    <row r="40" spans="1:8" x14ac:dyDescent="0.25">
      <c r="A40" s="120" t="s">
        <v>2298</v>
      </c>
      <c r="B40" s="120" t="s">
        <v>2280</v>
      </c>
      <c r="C40" s="120">
        <f t="shared" ca="1" si="0"/>
        <v>8</v>
      </c>
      <c r="D40" s="120" t="str">
        <f t="shared" si="1"/>
        <v>OutputOptions Bit Masks</v>
      </c>
      <c r="E40" s="120" t="str">
        <f t="shared" si="2"/>
        <v>$D$8</v>
      </c>
      <c r="F40" s="119">
        <f t="shared" ca="1" si="3"/>
        <v>1</v>
      </c>
      <c r="G40" s="119">
        <f t="shared" ca="1" si="4"/>
        <v>1</v>
      </c>
      <c r="H40" s="119">
        <f t="shared" ca="1" si="7"/>
        <v>1</v>
      </c>
    </row>
    <row r="41" spans="1:8" x14ac:dyDescent="0.25">
      <c r="A41" s="120" t="s">
        <v>2299</v>
      </c>
      <c r="B41" s="120" t="s">
        <v>2282</v>
      </c>
      <c r="C41" s="120">
        <f t="shared" ca="1" si="0"/>
        <v>1</v>
      </c>
      <c r="D41" s="120" t="str">
        <f t="shared" si="1"/>
        <v>OutputOptions Bit Masks</v>
      </c>
      <c r="E41" s="120" t="str">
        <f t="shared" si="2"/>
        <v>$D$5</v>
      </c>
      <c r="F41" s="119">
        <f t="shared" ca="1" si="3"/>
        <v>1</v>
      </c>
      <c r="G41" s="119">
        <f t="shared" ca="1" si="4"/>
        <v>1</v>
      </c>
      <c r="H41" s="119">
        <f t="shared" ca="1" si="7"/>
        <v>1</v>
      </c>
    </row>
    <row r="42" spans="1:8" x14ac:dyDescent="0.25">
      <c r="A42" s="120" t="s">
        <v>2300</v>
      </c>
      <c r="B42" s="120" t="s">
        <v>2301</v>
      </c>
      <c r="C42" s="120">
        <f t="shared" ca="1" si="0"/>
        <v>128</v>
      </c>
      <c r="D42" s="120" t="str">
        <f t="shared" si="1"/>
        <v>OutputOptions Bit Masks</v>
      </c>
      <c r="E42" s="120" t="str">
        <f t="shared" si="2"/>
        <v>$D$12</v>
      </c>
      <c r="F42" s="119">
        <f t="shared" ca="1" si="3"/>
        <v>1</v>
      </c>
      <c r="G42" s="119">
        <f t="shared" ca="1" si="4"/>
        <v>1</v>
      </c>
      <c r="H42" s="119">
        <f t="shared" ref="H42" ca="1" si="8">IF(LEN($A42)&gt;0,F42*G42,"")</f>
        <v>1</v>
      </c>
    </row>
    <row r="43" spans="1:8" x14ac:dyDescent="0.25">
      <c r="A43" s="120" t="s">
        <v>2302</v>
      </c>
      <c r="B43" s="120" t="s">
        <v>2303</v>
      </c>
      <c r="C43" s="120">
        <f t="shared" ca="1" si="0"/>
        <v>0</v>
      </c>
      <c r="D43" s="120" t="str">
        <f t="shared" si="1"/>
        <v>OutputOptions Bit Masks</v>
      </c>
      <c r="E43" s="120" t="str">
        <f t="shared" si="2"/>
        <v>$D$4</v>
      </c>
      <c r="F43" s="119">
        <f t="shared" ca="1" si="3"/>
        <v>1</v>
      </c>
      <c r="G43" s="119">
        <f t="shared" ca="1" si="4"/>
        <v>1</v>
      </c>
      <c r="H43" s="119">
        <f t="shared" ref="H43" ca="1" si="9">IF(LEN($A43)&gt;0,F43*G43,"")</f>
        <v>1</v>
      </c>
    </row>
    <row r="44" spans="1:8" x14ac:dyDescent="0.25">
      <c r="A44" s="120" t="s">
        <v>2304</v>
      </c>
      <c r="B44" s="120" t="s">
        <v>2305</v>
      </c>
      <c r="C44" s="120">
        <f t="shared" ca="1" si="0"/>
        <v>2</v>
      </c>
      <c r="D44" s="120" t="str">
        <f t="shared" si="1"/>
        <v>OutputOptions Bit Masks</v>
      </c>
      <c r="E44" s="120" t="str">
        <f t="shared" si="2"/>
        <v>$D$6</v>
      </c>
      <c r="F44" s="119">
        <f t="shared" ca="1" si="3"/>
        <v>1</v>
      </c>
      <c r="G44" s="119">
        <f t="shared" ca="1" si="4"/>
        <v>1</v>
      </c>
      <c r="H44" s="119">
        <f t="shared" ref="H44:H60" ca="1" si="10">IF(LEN($A44)&gt;0,F44*G44,"")</f>
        <v>1</v>
      </c>
    </row>
    <row r="45" spans="1:8" x14ac:dyDescent="0.25">
      <c r="A45" s="120" t="s">
        <v>2306</v>
      </c>
      <c r="B45" s="120" t="s">
        <v>2307</v>
      </c>
      <c r="C45" s="120">
        <f t="shared" ca="1" si="0"/>
        <v>4</v>
      </c>
      <c r="D45" s="120" t="str">
        <f t="shared" si="1"/>
        <v>OutputOptions Bit Masks</v>
      </c>
      <c r="E45" s="120" t="str">
        <f t="shared" si="2"/>
        <v>$D$7</v>
      </c>
      <c r="F45" s="119">
        <f t="shared" ca="1" si="3"/>
        <v>1</v>
      </c>
      <c r="G45" s="119">
        <f t="shared" ca="1" si="4"/>
        <v>1</v>
      </c>
      <c r="H45" s="119">
        <f t="shared" ca="1" si="10"/>
        <v>1</v>
      </c>
    </row>
    <row r="46" spans="1:8" x14ac:dyDescent="0.25">
      <c r="A46" s="120" t="s">
        <v>2308</v>
      </c>
      <c r="B46" s="120" t="s">
        <v>2309</v>
      </c>
      <c r="C46" s="120">
        <f t="shared" ca="1" si="0"/>
        <v>32</v>
      </c>
      <c r="D46" s="120" t="str">
        <f t="shared" si="1"/>
        <v>OutputOptions Bit Masks</v>
      </c>
      <c r="E46" s="120" t="str">
        <f t="shared" si="2"/>
        <v>$D$10</v>
      </c>
      <c r="F46" s="119">
        <f t="shared" ca="1" si="3"/>
        <v>1</v>
      </c>
      <c r="G46" s="119">
        <f t="shared" ca="1" si="4"/>
        <v>1</v>
      </c>
      <c r="H46" s="119">
        <f t="shared" ca="1" si="10"/>
        <v>1</v>
      </c>
    </row>
    <row r="47" spans="1:8" x14ac:dyDescent="0.25">
      <c r="A47" s="120" t="s">
        <v>2310</v>
      </c>
      <c r="B47" s="120" t="s">
        <v>2311</v>
      </c>
      <c r="C47" s="120">
        <f t="shared" ca="1" si="0"/>
        <v>16</v>
      </c>
      <c r="D47" s="120" t="str">
        <f t="shared" si="1"/>
        <v>OutputOptions Bit Masks</v>
      </c>
      <c r="E47" s="120" t="str">
        <f t="shared" si="2"/>
        <v>$D$9</v>
      </c>
      <c r="F47" s="119">
        <f t="shared" ca="1" si="3"/>
        <v>1</v>
      </c>
      <c r="G47" s="119">
        <f t="shared" ca="1" si="4"/>
        <v>1</v>
      </c>
      <c r="H47" s="119">
        <f t="shared" ca="1" si="10"/>
        <v>1</v>
      </c>
    </row>
    <row r="48" spans="1:8" x14ac:dyDescent="0.25">
      <c r="A48" s="120" t="s">
        <v>953</v>
      </c>
      <c r="B48" s="120" t="s">
        <v>954</v>
      </c>
      <c r="C48" s="120" t="str">
        <f t="shared" ca="1" si="0"/>
        <v>C:\Program Files</v>
      </c>
      <c r="D48" s="120" t="str">
        <f t="shared" si="1"/>
        <v>Check List</v>
      </c>
      <c r="E48" s="120" t="str">
        <f t="shared" si="2"/>
        <v>$E$3</v>
      </c>
      <c r="F48" s="119">
        <f t="shared" ca="1" si="3"/>
        <v>1</v>
      </c>
      <c r="G48" s="119">
        <f t="shared" ca="1" si="4"/>
        <v>1</v>
      </c>
      <c r="H48" s="119">
        <f t="shared" ca="1" si="10"/>
        <v>1</v>
      </c>
    </row>
    <row r="49" spans="1:8" x14ac:dyDescent="0.25">
      <c r="A49" s="120" t="s">
        <v>955</v>
      </c>
      <c r="B49" s="120" t="s">
        <v>956</v>
      </c>
      <c r="C49" s="120" t="str">
        <f t="shared" ca="1" si="0"/>
        <v>C:\Program Files (x86)</v>
      </c>
      <c r="D49" s="120" t="str">
        <f t="shared" si="1"/>
        <v>Check List</v>
      </c>
      <c r="E49" s="120" t="str">
        <f t="shared" si="2"/>
        <v>$E$1</v>
      </c>
      <c r="F49" s="119">
        <f t="shared" ca="1" si="3"/>
        <v>1</v>
      </c>
      <c r="G49" s="119">
        <f t="shared" ca="1" si="4"/>
        <v>1</v>
      </c>
      <c r="H49" s="119">
        <f t="shared" ca="1" si="10"/>
        <v>1</v>
      </c>
    </row>
    <row r="50" spans="1:8" x14ac:dyDescent="0.25">
      <c r="A50" s="120" t="s">
        <v>957</v>
      </c>
      <c r="B50" s="120" t="s">
        <v>958</v>
      </c>
      <c r="C50" s="120" t="str">
        <f t="shared" ca="1" si="0"/>
        <v>C:\Program Files (x86)</v>
      </c>
      <c r="D50" s="120" t="str">
        <f t="shared" si="1"/>
        <v>Check List</v>
      </c>
      <c r="E50" s="120" t="str">
        <f t="shared" si="2"/>
        <v>$E$2</v>
      </c>
      <c r="F50" s="119">
        <f t="shared" ca="1" si="3"/>
        <v>1</v>
      </c>
      <c r="G50" s="119">
        <f t="shared" ca="1" si="4"/>
        <v>1</v>
      </c>
      <c r="H50" s="119">
        <f t="shared" ca="1" si="10"/>
        <v>1</v>
      </c>
    </row>
    <row r="51" spans="1:8" x14ac:dyDescent="0.25">
      <c r="A51" s="120" t="s">
        <v>2239</v>
      </c>
      <c r="B51" s="120" t="s">
        <v>2297</v>
      </c>
      <c r="C51" s="120">
        <f t="shared" ca="1" si="0"/>
        <v>64</v>
      </c>
      <c r="D51" s="120" t="str">
        <f t="shared" si="1"/>
        <v>OutputOptions Bit Masks</v>
      </c>
      <c r="E51" s="120" t="str">
        <f t="shared" si="2"/>
        <v>$D$11</v>
      </c>
      <c r="F51" s="119">
        <f t="shared" ca="1" si="3"/>
        <v>1</v>
      </c>
      <c r="G51" s="119">
        <f t="shared" ca="1" si="4"/>
        <v>1</v>
      </c>
      <c r="H51" s="119">
        <f t="shared" ca="1" si="10"/>
        <v>1</v>
      </c>
    </row>
    <row r="52" spans="1:8" x14ac:dyDescent="0.25">
      <c r="A52" s="120" t="s">
        <v>2240</v>
      </c>
      <c r="B52" s="120" t="s">
        <v>2301</v>
      </c>
      <c r="C52" s="120">
        <f t="shared" ca="1" si="0"/>
        <v>128</v>
      </c>
      <c r="D52" s="120" t="str">
        <f t="shared" si="1"/>
        <v>OutputOptions Bit Masks</v>
      </c>
      <c r="E52" s="120" t="str">
        <f t="shared" si="2"/>
        <v>$D$12</v>
      </c>
      <c r="F52" s="119">
        <f t="shared" ca="1" si="3"/>
        <v>1</v>
      </c>
      <c r="G52" s="119">
        <f t="shared" ca="1" si="4"/>
        <v>1</v>
      </c>
      <c r="H52" s="119">
        <f t="shared" ca="1" si="10"/>
        <v>1</v>
      </c>
    </row>
    <row r="53" spans="1:8" x14ac:dyDescent="0.25">
      <c r="A53" s="120" t="s">
        <v>639</v>
      </c>
      <c r="B53" s="120" t="s">
        <v>640</v>
      </c>
      <c r="C53" s="120" t="str">
        <f t="shared" ca="1" si="0"/>
        <v>Added</v>
      </c>
      <c r="D53" s="120" t="str">
        <f t="shared" si="1"/>
        <v>String Resources to Relocate</v>
      </c>
      <c r="E53" s="120" t="str">
        <f t="shared" si="2"/>
        <v>$D$3</v>
      </c>
      <c r="F53" s="119">
        <f t="shared" ca="1" si="3"/>
        <v>1</v>
      </c>
      <c r="G53" s="119">
        <f t="shared" ca="1" si="4"/>
        <v>1</v>
      </c>
      <c r="H53" s="119">
        <f t="shared" ca="1" si="10"/>
        <v>1</v>
      </c>
    </row>
    <row r="54" spans="1:8" x14ac:dyDescent="0.25">
      <c r="A54" s="120" t="s">
        <v>641</v>
      </c>
      <c r="B54" s="120" t="s">
        <v>642</v>
      </c>
      <c r="C54" s="120" t="str">
        <f t="shared" ca="1" si="0"/>
        <v>Deleted</v>
      </c>
      <c r="D54" s="120" t="str">
        <f t="shared" si="1"/>
        <v>String Resources to Relocate</v>
      </c>
      <c r="E54" s="120" t="str">
        <f t="shared" si="2"/>
        <v>$D$2</v>
      </c>
      <c r="F54" s="119">
        <f t="shared" ca="1" si="3"/>
        <v>1</v>
      </c>
      <c r="G54" s="119">
        <f t="shared" ca="1" si="4"/>
        <v>1</v>
      </c>
      <c r="H54" s="119">
        <f t="shared" ca="1" si="10"/>
        <v>1</v>
      </c>
    </row>
    <row r="55" spans="1:8" x14ac:dyDescent="0.25">
      <c r="A55" s="120" t="s">
        <v>643</v>
      </c>
      <c r="B55" s="120" t="s">
        <v>644</v>
      </c>
      <c r="C55" s="120" t="str">
        <f t="shared" ca="1" si="0"/>
        <v>Deleted</v>
      </c>
      <c r="D55" s="120" t="str">
        <f t="shared" si="1"/>
        <v>String Resources to Relocate</v>
      </c>
      <c r="E55" s="120" t="str">
        <f t="shared" si="2"/>
        <v>$D$2:$D$4</v>
      </c>
      <c r="F55" s="119">
        <f t="shared" ca="1" si="3"/>
        <v>3</v>
      </c>
      <c r="G55" s="119">
        <f t="shared" ca="1" si="4"/>
        <v>1</v>
      </c>
      <c r="H55" s="119">
        <f t="shared" ca="1" si="10"/>
        <v>3</v>
      </c>
    </row>
    <row r="56" spans="1:8" x14ac:dyDescent="0.25">
      <c r="A56" s="120" t="s">
        <v>645</v>
      </c>
      <c r="B56" s="120" t="s">
        <v>646</v>
      </c>
      <c r="C56" s="120" t="str">
        <f t="shared" ca="1" si="0"/>
        <v>Tested</v>
      </c>
      <c r="D56" s="120" t="str">
        <f t="shared" si="1"/>
        <v>String Resources to Relocate</v>
      </c>
      <c r="E56" s="120" t="str">
        <f t="shared" si="2"/>
        <v>$D$4</v>
      </c>
      <c r="F56" s="119">
        <f t="shared" ca="1" si="3"/>
        <v>1</v>
      </c>
      <c r="G56" s="119">
        <f t="shared" ca="1" si="4"/>
        <v>1</v>
      </c>
      <c r="H56" s="119">
        <f t="shared" ca="1" si="10"/>
        <v>1</v>
      </c>
    </row>
    <row r="57" spans="1:8" x14ac:dyDescent="0.25">
      <c r="A57" s="120" t="s">
        <v>706</v>
      </c>
      <c r="B57" s="120" t="s">
        <v>868</v>
      </c>
      <c r="C57" s="120" t="str">
        <f t="shared" ca="1" si="0"/>
        <v>s_achrUTF16_BE</v>
      </c>
      <c r="D57" s="120" t="str">
        <f t="shared" si="1"/>
        <v>Byte Order Marks</v>
      </c>
      <c r="E57" s="120" t="str">
        <f t="shared" si="2"/>
        <v>$A$36</v>
      </c>
      <c r="F57" s="119">
        <f t="shared" ca="1" si="3"/>
        <v>1</v>
      </c>
      <c r="G57" s="119">
        <f t="shared" ca="1" si="4"/>
        <v>1</v>
      </c>
      <c r="H57" s="119">
        <f t="shared" ca="1" si="10"/>
        <v>1</v>
      </c>
    </row>
    <row r="58" spans="1:8" x14ac:dyDescent="0.25">
      <c r="A58" s="120" t="s">
        <v>707</v>
      </c>
      <c r="B58" s="120" t="s">
        <v>869</v>
      </c>
      <c r="C58" s="120" t="str">
        <f t="shared" ca="1" si="0"/>
        <v>s_achrUTF16_LE</v>
      </c>
      <c r="D58" s="120" t="str">
        <f t="shared" si="1"/>
        <v>Byte Order Marks</v>
      </c>
      <c r="E58" s="120" t="str">
        <f t="shared" si="2"/>
        <v>$A$31</v>
      </c>
      <c r="F58" s="119">
        <f t="shared" ca="1" si="3"/>
        <v>1</v>
      </c>
      <c r="G58" s="119">
        <f t="shared" ca="1" si="4"/>
        <v>1</v>
      </c>
      <c r="H58" s="119">
        <f t="shared" ca="1" si="10"/>
        <v>1</v>
      </c>
    </row>
    <row r="59" spans="1:8" x14ac:dyDescent="0.25">
      <c r="A59" s="120" t="s">
        <v>708</v>
      </c>
      <c r="B59" s="120" t="s">
        <v>870</v>
      </c>
      <c r="C59" s="120" t="str">
        <f t="shared" ca="1" si="0"/>
        <v>s_achrUTF32_BE</v>
      </c>
      <c r="D59" s="120" t="str">
        <f t="shared" si="1"/>
        <v>Byte Order Marks</v>
      </c>
      <c r="E59" s="120" t="str">
        <f t="shared" si="2"/>
        <v>$A$51</v>
      </c>
      <c r="F59" s="119">
        <f t="shared" ca="1" si="3"/>
        <v>1</v>
      </c>
      <c r="G59" s="119">
        <f t="shared" ca="1" si="4"/>
        <v>1</v>
      </c>
      <c r="H59" s="119">
        <f t="shared" ca="1" si="10"/>
        <v>1</v>
      </c>
    </row>
    <row r="60" spans="1:8" x14ac:dyDescent="0.25">
      <c r="A60" s="120" t="s">
        <v>709</v>
      </c>
      <c r="B60" s="120" t="s">
        <v>871</v>
      </c>
      <c r="C60" s="120" t="str">
        <f t="shared" ca="1" si="0"/>
        <v>s_achrUTF32_LE</v>
      </c>
      <c r="D60" s="120" t="str">
        <f t="shared" si="1"/>
        <v>Byte Order Marks</v>
      </c>
      <c r="E60" s="120" t="str">
        <f t="shared" si="2"/>
        <v>$A$44</v>
      </c>
      <c r="F60" s="119">
        <f t="shared" ca="1" si="3"/>
        <v>1</v>
      </c>
      <c r="G60" s="119">
        <f t="shared" ca="1" si="4"/>
        <v>1</v>
      </c>
      <c r="H60" s="119">
        <f t="shared" ca="1" si="10"/>
        <v>1</v>
      </c>
    </row>
    <row r="61" spans="1:8" x14ac:dyDescent="0.25">
      <c r="A61" s="120" t="s">
        <v>710</v>
      </c>
      <c r="B61" s="120" t="s">
        <v>872</v>
      </c>
      <c r="C61" s="120" t="str">
        <f t="shared" ca="1" si="0"/>
        <v>s_achrUTF8</v>
      </c>
      <c r="D61" s="120" t="str">
        <f t="shared" si="1"/>
        <v>Byte Order Marks</v>
      </c>
      <c r="E61" s="120" t="str">
        <f t="shared" si="2"/>
        <v>$A$22</v>
      </c>
      <c r="F61" s="119">
        <f t="shared" ca="1" si="3"/>
        <v>1</v>
      </c>
      <c r="G61" s="119">
        <f t="shared" ca="1" si="4"/>
        <v>1</v>
      </c>
      <c r="H61" s="119">
        <f t="shared" ref="H61:H79" ca="1" si="11">IF(LEN($A61)&gt;0,F61*G61,"")</f>
        <v>1</v>
      </c>
    </row>
    <row r="62" spans="1:8" x14ac:dyDescent="0.25">
      <c r="A62" s="120" t="s">
        <v>1002</v>
      </c>
      <c r="B62" s="120" t="s">
        <v>1003</v>
      </c>
      <c r="C62" s="120" t="str">
        <f t="shared" ca="1" si="0"/>
        <v>C:\Users\DAVE\Documents\Visual Studio 2013\Projects\WizardWrx_Libs\SharedUtl4\SharedUtl4_TestStand\</v>
      </c>
      <c r="D62" s="120" t="str">
        <f t="shared" si="1"/>
        <v>DLLServices2TestStand Classes</v>
      </c>
      <c r="E62" s="120" t="str">
        <f t="shared" si="2"/>
        <v>$C$1</v>
      </c>
      <c r="F62" s="119">
        <f t="shared" ca="1" si="3"/>
        <v>1</v>
      </c>
      <c r="G62" s="119">
        <f t="shared" ca="1" si="4"/>
        <v>1</v>
      </c>
      <c r="H62" s="119">
        <f t="shared" ca="1" si="11"/>
        <v>1</v>
      </c>
    </row>
    <row r="63" spans="1:8" x14ac:dyDescent="0.25">
      <c r="A63" s="120" t="s">
        <v>994</v>
      </c>
      <c r="B63" s="120" t="s">
        <v>2305</v>
      </c>
      <c r="C63" s="120">
        <f t="shared" ca="1" si="0"/>
        <v>2</v>
      </c>
      <c r="D63" s="120" t="str">
        <f t="shared" si="1"/>
        <v>OutputOptions Bit Masks</v>
      </c>
      <c r="E63" s="120" t="str">
        <f t="shared" si="2"/>
        <v>$D$6</v>
      </c>
      <c r="F63" s="119">
        <f t="shared" ca="1" si="3"/>
        <v>1</v>
      </c>
      <c r="G63" s="119">
        <f t="shared" ca="1" si="4"/>
        <v>1</v>
      </c>
      <c r="H63" s="119">
        <f t="shared" ca="1" si="11"/>
        <v>1</v>
      </c>
    </row>
    <row r="64" spans="1:8" x14ac:dyDescent="0.25">
      <c r="A64" s="120" t="s">
        <v>647</v>
      </c>
      <c r="B64" s="120" t="s">
        <v>648</v>
      </c>
      <c r="C64" s="120" t="str">
        <f t="shared" ca="1" si="0"/>
        <v>Obsolete (Frozen)</v>
      </c>
      <c r="D64" s="120" t="str">
        <f t="shared" si="1"/>
        <v>SysDateFormatters XREF</v>
      </c>
      <c r="E64" s="120" t="str">
        <f t="shared" si="2"/>
        <v>$I$2:$I$4</v>
      </c>
      <c r="F64" s="119">
        <f t="shared" ca="1" si="3"/>
        <v>3</v>
      </c>
      <c r="G64" s="119">
        <f t="shared" ca="1" si="4"/>
        <v>1</v>
      </c>
      <c r="H64" s="119">
        <f t="shared" ca="1" si="11"/>
        <v>3</v>
      </c>
    </row>
    <row r="65" spans="1:8" x14ac:dyDescent="0.25">
      <c r="A65" s="120" t="s">
        <v>649</v>
      </c>
      <c r="B65" s="120" t="s">
        <v>650</v>
      </c>
      <c r="C65" s="120" t="str">
        <f t="shared" ca="1" si="0"/>
        <v>Fixed</v>
      </c>
      <c r="D65" s="120" t="str">
        <f t="shared" si="1"/>
        <v>SysDateFormatters XREF</v>
      </c>
      <c r="E65" s="120" t="str">
        <f t="shared" si="2"/>
        <v>$I$4</v>
      </c>
      <c r="F65" s="119">
        <f t="shared" ca="1" si="3"/>
        <v>1</v>
      </c>
      <c r="G65" s="119">
        <f t="shared" ca="1" si="4"/>
        <v>1</v>
      </c>
      <c r="H65" s="119">
        <f t="shared" ca="1" si="11"/>
        <v>1</v>
      </c>
    </row>
    <row r="66" spans="1:8" x14ac:dyDescent="0.25">
      <c r="A66" s="120" t="s">
        <v>651</v>
      </c>
      <c r="B66" s="120" t="s">
        <v>652</v>
      </c>
      <c r="C66" s="120" t="str">
        <f t="shared" ref="C66:C79" ca="1" si="12">IF(LEN($A66)&gt;0,CELL("contents",OFFSET(INDIRECT($A66),0,0)),"")</f>
        <v>Obsolete (Frozen)</v>
      </c>
      <c r="D66" s="120" t="str">
        <f t="shared" ref="D66:D79" si="13">IF(LEN($B66)&gt;0,SUBSTITUTE(MID($B66,2,FIND("!",$B66)-2),"'",""),"")</f>
        <v>SysDateFormatters XREF</v>
      </c>
      <c r="E66" s="120" t="str">
        <f t="shared" ref="E66:E79" si="14">IF(LEN($B66)&gt;0,RIGHT($B66,LEN($B66)-FIND("!",$B66)),"")</f>
        <v>$I$2</v>
      </c>
      <c r="F66" s="119">
        <f t="shared" ref="F66:F79" ca="1" si="15">IF(LEN($A66)&gt;0,ROWS(INDIRECT($A66)),"")</f>
        <v>1</v>
      </c>
      <c r="G66" s="119">
        <f t="shared" ref="G66:G79" ca="1" si="16">IF(LEN($A66)&gt;0,COLUMNS(INDIRECT($A66)),"")</f>
        <v>1</v>
      </c>
      <c r="H66" s="119">
        <f t="shared" ca="1" si="11"/>
        <v>1</v>
      </c>
    </row>
    <row r="67" spans="1:8" x14ac:dyDescent="0.25">
      <c r="A67" s="120" t="s">
        <v>653</v>
      </c>
      <c r="B67" s="120" t="s">
        <v>654</v>
      </c>
      <c r="C67" s="120" t="str">
        <f t="shared" ca="1" si="12"/>
        <v>Will Break</v>
      </c>
      <c r="D67" s="120" t="str">
        <f t="shared" si="13"/>
        <v>SysDateFormatters XREF</v>
      </c>
      <c r="E67" s="120" t="str">
        <f t="shared" si="14"/>
        <v>$I$3</v>
      </c>
      <c r="F67" s="119">
        <f t="shared" ca="1" si="15"/>
        <v>1</v>
      </c>
      <c r="G67" s="119">
        <f t="shared" ca="1" si="16"/>
        <v>1</v>
      </c>
      <c r="H67" s="119">
        <f t="shared" ca="1" si="11"/>
        <v>1</v>
      </c>
    </row>
    <row r="68" spans="1:8" x14ac:dyDescent="0.25">
      <c r="A68" s="120" t="s">
        <v>2232</v>
      </c>
      <c r="B68" s="120" t="s">
        <v>2307</v>
      </c>
      <c r="C68" s="120">
        <f t="shared" ca="1" si="12"/>
        <v>4</v>
      </c>
      <c r="D68" s="120" t="str">
        <f t="shared" si="13"/>
        <v>OutputOptions Bit Masks</v>
      </c>
      <c r="E68" s="120" t="str">
        <f t="shared" si="14"/>
        <v>$D$7</v>
      </c>
      <c r="F68" s="119">
        <f t="shared" ca="1" si="15"/>
        <v>1</v>
      </c>
      <c r="G68" s="119">
        <f t="shared" ca="1" si="16"/>
        <v>1</v>
      </c>
      <c r="H68" s="119">
        <f t="shared" ca="1" si="11"/>
        <v>1</v>
      </c>
    </row>
    <row r="69" spans="1:8" x14ac:dyDescent="0.25">
      <c r="A69" s="120" t="s">
        <v>2237</v>
      </c>
      <c r="B69" s="120" t="s">
        <v>2309</v>
      </c>
      <c r="C69" s="120">
        <f t="shared" ca="1" si="12"/>
        <v>32</v>
      </c>
      <c r="D69" s="120" t="str">
        <f t="shared" si="13"/>
        <v>OutputOptions Bit Masks</v>
      </c>
      <c r="E69" s="120" t="str">
        <f t="shared" si="14"/>
        <v>$D$10</v>
      </c>
      <c r="F69" s="119">
        <f t="shared" ca="1" si="15"/>
        <v>1</v>
      </c>
      <c r="G69" s="119">
        <f t="shared" ca="1" si="16"/>
        <v>1</v>
      </c>
      <c r="H69" s="119">
        <f t="shared" ca="1" si="11"/>
        <v>1</v>
      </c>
    </row>
    <row r="70" spans="1:8" x14ac:dyDescent="0.25">
      <c r="A70" s="120" t="s">
        <v>2235</v>
      </c>
      <c r="B70" s="120" t="s">
        <v>2311</v>
      </c>
      <c r="C70" s="120">
        <f t="shared" ca="1" si="12"/>
        <v>16</v>
      </c>
      <c r="D70" s="120" t="str">
        <f t="shared" si="13"/>
        <v>OutputOptions Bit Masks</v>
      </c>
      <c r="E70" s="120" t="str">
        <f t="shared" si="14"/>
        <v>$D$9</v>
      </c>
      <c r="F70" s="119">
        <f t="shared" ca="1" si="15"/>
        <v>1</v>
      </c>
      <c r="G70" s="119">
        <f t="shared" ca="1" si="16"/>
        <v>1</v>
      </c>
      <c r="H70" s="119">
        <f t="shared" ca="1" si="11"/>
        <v>1</v>
      </c>
    </row>
    <row r="71" spans="1:8" x14ac:dyDescent="0.25">
      <c r="A71" s="120" t="s">
        <v>655</v>
      </c>
      <c r="B71" s="120" t="s">
        <v>656</v>
      </c>
      <c r="C71" s="120" t="str">
        <f t="shared" ca="1" si="12"/>
        <v>In Progress</v>
      </c>
      <c r="D71" s="120" t="str">
        <f t="shared" si="13"/>
        <v>Check List</v>
      </c>
      <c r="E71" s="120" t="str">
        <f t="shared" si="14"/>
        <v>$A$2:$A$4</v>
      </c>
      <c r="F71" s="119">
        <f t="shared" ca="1" si="15"/>
        <v>3</v>
      </c>
      <c r="G71" s="119">
        <f t="shared" ca="1" si="16"/>
        <v>1</v>
      </c>
      <c r="H71" s="119">
        <f t="shared" ca="1" si="11"/>
        <v>3</v>
      </c>
    </row>
    <row r="72" spans="1:8" x14ac:dyDescent="0.25">
      <c r="A72" s="120" t="s">
        <v>657</v>
      </c>
      <c r="B72" s="120" t="s">
        <v>658</v>
      </c>
      <c r="C72" s="120" t="str">
        <f t="shared" ca="1" si="12"/>
        <v>Done</v>
      </c>
      <c r="D72" s="120" t="str">
        <f t="shared" si="13"/>
        <v>Check List</v>
      </c>
      <c r="E72" s="120" t="str">
        <f t="shared" si="14"/>
        <v>$A$4</v>
      </c>
      <c r="F72" s="119">
        <f t="shared" ca="1" si="15"/>
        <v>1</v>
      </c>
      <c r="G72" s="119">
        <f t="shared" ca="1" si="16"/>
        <v>1</v>
      </c>
      <c r="H72" s="119">
        <f t="shared" ca="1" si="11"/>
        <v>1</v>
      </c>
    </row>
    <row r="73" spans="1:8" x14ac:dyDescent="0.25">
      <c r="A73" s="120" t="s">
        <v>659</v>
      </c>
      <c r="B73" s="120" t="s">
        <v>660</v>
      </c>
      <c r="C73" s="120" t="str">
        <f t="shared" ca="1" si="12"/>
        <v>In Progress</v>
      </c>
      <c r="D73" s="120" t="str">
        <f t="shared" si="13"/>
        <v>Check List</v>
      </c>
      <c r="E73" s="120" t="str">
        <f t="shared" si="14"/>
        <v>$A$2</v>
      </c>
      <c r="F73" s="119">
        <f t="shared" ca="1" si="15"/>
        <v>1</v>
      </c>
      <c r="G73" s="119">
        <f t="shared" ca="1" si="16"/>
        <v>1</v>
      </c>
      <c r="H73" s="119">
        <f t="shared" ca="1" si="11"/>
        <v>1</v>
      </c>
    </row>
    <row r="74" spans="1:8" x14ac:dyDescent="0.25">
      <c r="A74" s="120" t="s">
        <v>661</v>
      </c>
      <c r="B74" s="120" t="s">
        <v>662</v>
      </c>
      <c r="C74" s="120" t="str">
        <f t="shared" ca="1" si="12"/>
        <v>Ready to Test</v>
      </c>
      <c r="D74" s="120" t="str">
        <f t="shared" si="13"/>
        <v>Check List</v>
      </c>
      <c r="E74" s="120" t="str">
        <f t="shared" si="14"/>
        <v>$A$3</v>
      </c>
      <c r="F74" s="119">
        <f t="shared" ca="1" si="15"/>
        <v>1</v>
      </c>
      <c r="G74" s="119">
        <f t="shared" ca="1" si="16"/>
        <v>1</v>
      </c>
      <c r="H74" s="119">
        <f t="shared" ca="1" si="11"/>
        <v>1</v>
      </c>
    </row>
    <row r="75" spans="1:8" x14ac:dyDescent="0.25">
      <c r="A75" s="120" t="s">
        <v>2260</v>
      </c>
      <c r="B75" s="120" t="s">
        <v>2261</v>
      </c>
      <c r="C75" s="120" t="str">
        <f t="shared" ca="1" si="12"/>
        <v>Choice</v>
      </c>
      <c r="D75" s="120" t="str">
        <f t="shared" si="13"/>
        <v>Commoon .NET Exception Types</v>
      </c>
      <c r="E75" s="120" t="str">
        <f t="shared" si="14"/>
        <v>$T$44:$V$49</v>
      </c>
      <c r="F75" s="119">
        <f t="shared" ca="1" si="15"/>
        <v>6</v>
      </c>
      <c r="G75" s="119">
        <f t="shared" ca="1" si="16"/>
        <v>3</v>
      </c>
      <c r="H75" s="119">
        <f t="shared" ca="1" si="11"/>
        <v>18</v>
      </c>
    </row>
    <row r="76" spans="1:8" x14ac:dyDescent="0.25">
      <c r="A76" s="120" t="s">
        <v>663</v>
      </c>
      <c r="B76" s="120" t="s">
        <v>664</v>
      </c>
      <c r="C76" s="120" t="str">
        <f t="shared" ca="1" si="12"/>
        <v>TableDrivenConversionEngine.cs</v>
      </c>
      <c r="D76" s="120" t="str">
        <f t="shared" si="13"/>
        <v>ERRMSG_ARG_IS_NULL XREF</v>
      </c>
      <c r="E76" s="120" t="str">
        <f t="shared" si="14"/>
        <v>$D$12</v>
      </c>
      <c r="F76" s="119">
        <f t="shared" ca="1" si="15"/>
        <v>1</v>
      </c>
      <c r="G76" s="119">
        <f t="shared" ca="1" si="16"/>
        <v>1</v>
      </c>
      <c r="H76" s="119">
        <f t="shared" ca="1" si="11"/>
        <v>1</v>
      </c>
    </row>
    <row r="77" spans="1:8" x14ac:dyDescent="0.25">
      <c r="A77" s="120" t="s">
        <v>1357</v>
      </c>
      <c r="B77" s="120" t="s">
        <v>1358</v>
      </c>
      <c r="C77" s="120" t="str">
        <f t="shared" ca="1" si="12"/>
        <v>DLLServices2TestStand</v>
      </c>
      <c r="D77" s="120" t="str">
        <f t="shared" si="13"/>
        <v>DLLServices2TestStand Classes</v>
      </c>
      <c r="E77" s="120" t="str">
        <f t="shared" si="14"/>
        <v>$C$3</v>
      </c>
      <c r="F77" s="119">
        <f t="shared" ca="1" si="15"/>
        <v>1</v>
      </c>
      <c r="G77" s="119">
        <f t="shared" ca="1" si="16"/>
        <v>1</v>
      </c>
      <c r="H77" s="119">
        <f t="shared" ca="1" si="11"/>
        <v>1</v>
      </c>
    </row>
    <row r="78" spans="1:8" x14ac:dyDescent="0.25">
      <c r="A78" s="120" t="s">
        <v>2230</v>
      </c>
      <c r="B78" s="120" t="s">
        <v>2303</v>
      </c>
      <c r="C78" s="120">
        <f t="shared" ca="1" si="12"/>
        <v>0</v>
      </c>
      <c r="D78" s="120" t="str">
        <f t="shared" si="13"/>
        <v>OutputOptions Bit Masks</v>
      </c>
      <c r="E78" s="120" t="str">
        <f t="shared" si="14"/>
        <v>$D$4</v>
      </c>
      <c r="F78" s="119">
        <f t="shared" ca="1" si="15"/>
        <v>1</v>
      </c>
      <c r="G78" s="119">
        <f t="shared" ca="1" si="16"/>
        <v>1</v>
      </c>
      <c r="H78" s="119">
        <f t="shared" ca="1" si="11"/>
        <v>1</v>
      </c>
    </row>
    <row r="79" spans="1:8" x14ac:dyDescent="0.25">
      <c r="A79" s="120" t="s">
        <v>959</v>
      </c>
      <c r="B79" s="120" t="s">
        <v>960</v>
      </c>
      <c r="C79" s="120" t="str">
        <f t="shared" ca="1" si="12"/>
        <v>C:\Windows</v>
      </c>
      <c r="D79" s="120" t="str">
        <f t="shared" si="13"/>
        <v>Check List</v>
      </c>
      <c r="E79" s="120" t="str">
        <f t="shared" si="14"/>
        <v>$E$4</v>
      </c>
      <c r="F79" s="119">
        <f t="shared" ca="1" si="15"/>
        <v>1</v>
      </c>
      <c r="G79" s="119">
        <f t="shared" ca="1" si="16"/>
        <v>1</v>
      </c>
      <c r="H79" s="119">
        <f t="shared" ca="1" si="11"/>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9" tint="-0.249977111117893"/>
  </sheetPr>
  <dimension ref="A1:H30"/>
  <sheetViews>
    <sheetView zoomScaleNormal="100" workbookViewId="0">
      <pane xSplit="2" ySplit="6" topLeftCell="E7" activePane="bottomRight" state="frozen"/>
      <selection pane="topRight" activeCell="C1" sqref="C1"/>
      <selection pane="bottomLeft" activeCell="A7" sqref="A7"/>
      <selection pane="bottomRight" activeCell="E5" sqref="E5"/>
    </sheetView>
  </sheetViews>
  <sheetFormatPr defaultRowHeight="15" x14ac:dyDescent="0.25"/>
  <cols>
    <col min="1" max="1" width="6.5" customWidth="1"/>
    <col min="2" max="2" width="103.5" bestFit="1" customWidth="1"/>
    <col min="3" max="3" width="12.625" bestFit="1" customWidth="1"/>
    <col min="4" max="4" width="27.5" bestFit="1" customWidth="1"/>
    <col min="5" max="5" width="69.125" bestFit="1" customWidth="1"/>
    <col min="6" max="6" width="36.625" bestFit="1" customWidth="1"/>
    <col min="7" max="7" width="12.625" bestFit="1" customWidth="1"/>
    <col min="8" max="8" width="8.75" customWidth="1"/>
  </cols>
  <sheetData>
    <row r="1" spans="1:8" ht="18" x14ac:dyDescent="0.25">
      <c r="A1" s="279" t="s">
        <v>0</v>
      </c>
      <c r="B1" s="280"/>
      <c r="C1" s="1"/>
      <c r="D1" s="1" t="s">
        <v>898</v>
      </c>
      <c r="E1" t="str">
        <f>[1]!EnvStringGetByName(D1)</f>
        <v>C:\Program Files (x86)</v>
      </c>
    </row>
    <row r="2" spans="1:8" ht="18" x14ac:dyDescent="0.25">
      <c r="A2" s="273" t="s">
        <v>1</v>
      </c>
      <c r="B2" s="274"/>
      <c r="D2" s="1" t="s">
        <v>899</v>
      </c>
      <c r="E2" t="str">
        <f>[1]!EnvStringGetByName(D2)</f>
        <v>C:\Program Files (x86)</v>
      </c>
    </row>
    <row r="3" spans="1:8" ht="18" x14ac:dyDescent="0.25">
      <c r="A3" s="275" t="s">
        <v>2</v>
      </c>
      <c r="B3" s="276"/>
      <c r="D3" s="1" t="s">
        <v>900</v>
      </c>
      <c r="E3" t="str">
        <f>[1]!EnvStringGetByName(D3)</f>
        <v>C:\Program Files</v>
      </c>
    </row>
    <row r="4" spans="1:8" ht="18" x14ac:dyDescent="0.25">
      <c r="A4" s="277" t="s">
        <v>3</v>
      </c>
      <c r="B4" s="278"/>
      <c r="D4" s="1" t="s">
        <v>901</v>
      </c>
      <c r="E4" t="str">
        <f>[1]!EnvStringGetByName(D4)</f>
        <v>C:\Windows</v>
      </c>
    </row>
    <row r="6" spans="1:8" ht="18" x14ac:dyDescent="0.25">
      <c r="A6" s="2" t="s">
        <v>4</v>
      </c>
      <c r="B6" s="2" t="s">
        <v>5</v>
      </c>
      <c r="C6" s="2" t="s">
        <v>6</v>
      </c>
      <c r="D6" s="2" t="s">
        <v>7</v>
      </c>
      <c r="E6" s="2" t="s">
        <v>8</v>
      </c>
      <c r="F6" s="2" t="s">
        <v>9</v>
      </c>
      <c r="G6" s="2" t="s">
        <v>10</v>
      </c>
      <c r="H6" s="2" t="s">
        <v>11</v>
      </c>
    </row>
    <row r="7" spans="1:8" x14ac:dyDescent="0.25">
      <c r="A7" s="3">
        <f>IF(ISNUMBER(A6),A6+1,1)</f>
        <v>1</v>
      </c>
      <c r="B7" s="3" t="str">
        <f>DLLServices2_Source_Directory</f>
        <v>C:\Users\DAVE\Documents\Visual Studio 2013\Projects\WizardWrx_Libs\DLLServices2\DLLServices2</v>
      </c>
      <c r="C7" s="3" t="s">
        <v>171</v>
      </c>
      <c r="D7" s="3" t="str">
        <f>DLLServices_Source_Util_CS</f>
        <v>Util.cs</v>
      </c>
      <c r="E7" s="3" t="s">
        <v>172</v>
      </c>
      <c r="F7" s="22" t="s">
        <v>173</v>
      </c>
      <c r="G7" s="4"/>
      <c r="H7" s="3"/>
    </row>
    <row r="8" spans="1:8" x14ac:dyDescent="0.25">
      <c r="A8" s="3">
        <f>IF(ISNUMBER(A7),A7+1,1)</f>
        <v>2</v>
      </c>
      <c r="B8" s="3" t="str">
        <f>DLLServices2_Source_Directory</f>
        <v>C:\Users\DAVE\Documents\Visual Studio 2013\Projects\WizardWrx_Libs\DLLServices2\DLLServices2</v>
      </c>
      <c r="C8" s="3" t="s">
        <v>171</v>
      </c>
      <c r="D8" s="3" t="str">
        <f>NewClassTests_20140914_CS</f>
        <v>NewClassTests_20140914.cs</v>
      </c>
      <c r="E8" s="3" t="s">
        <v>172</v>
      </c>
      <c r="F8" s="22" t="s">
        <v>173</v>
      </c>
      <c r="G8" s="4"/>
      <c r="H8" s="3"/>
    </row>
    <row r="9" spans="1:8" x14ac:dyDescent="0.25">
      <c r="A9" s="3">
        <f>IF(ISNUMBER(A8),A8+1,1)</f>
        <v>3</v>
      </c>
      <c r="B9" s="3" t="str">
        <f>Date2FN_Source_Directory</f>
        <v>C:\Users\DAVE\Documents\Visual Studio 2013\Projects\Console_Apps\Date2FN\Date2FN</v>
      </c>
      <c r="C9" s="3" t="s">
        <v>171</v>
      </c>
      <c r="D9" s="3" t="str">
        <f>FileNameSuffixEngine_CS_Source_Filename</f>
        <v>FileNameSuffixEngine.cs</v>
      </c>
      <c r="E9" s="3" t="s">
        <v>174</v>
      </c>
      <c r="F9" s="22" t="s">
        <v>242</v>
      </c>
      <c r="G9" s="4"/>
      <c r="H9" s="3"/>
    </row>
    <row r="10" spans="1:8" x14ac:dyDescent="0.25">
      <c r="A10" s="3">
        <f>IF(ISNUMBER(A9),A9+1,1)</f>
        <v>4</v>
      </c>
      <c r="B10" s="3" t="str">
        <f>MemCalc_Source_Directory</f>
        <v>C:\Users\DAVE\Documents\Visual Studio 2013\Projects\Tools_for_Programmers\MemCalc\MemCalc</v>
      </c>
      <c r="C10" s="3" t="s">
        <v>171</v>
      </c>
      <c r="D10" s="3" t="str">
        <f>MemCalc_Program_CS</f>
        <v>Program.cs</v>
      </c>
      <c r="E10" s="3" t="s">
        <v>241</v>
      </c>
      <c r="F10" s="22" t="s">
        <v>243</v>
      </c>
      <c r="G10" s="4"/>
      <c r="H10" s="3"/>
    </row>
    <row r="11" spans="1:8" x14ac:dyDescent="0.25">
      <c r="A11" s="281">
        <f>IF(ISNUMBER(A10),A10+1,1)</f>
        <v>5</v>
      </c>
      <c r="B11" s="281" t="str">
        <f>DataEaseDirectoryReader_SourceDirectory</f>
        <v>C:\Users\DAVE\Documents\Visual Studio 2013\Projects\NOLANB\DataEaseDirectoryReader\DataEase</v>
      </c>
      <c r="C11" s="281" t="s">
        <v>171</v>
      </c>
      <c r="D11" s="281" t="str">
        <f>FormsDirectory_CS</f>
        <v>FormsDirectory.cs</v>
      </c>
      <c r="E11" s="271" t="s">
        <v>385</v>
      </c>
      <c r="F11" s="54" t="s">
        <v>386</v>
      </c>
      <c r="G11" s="271"/>
      <c r="H11" s="281"/>
    </row>
    <row r="12" spans="1:8" x14ac:dyDescent="0.25">
      <c r="A12" s="282"/>
      <c r="B12" s="282"/>
      <c r="C12" s="282"/>
      <c r="D12" s="282"/>
      <c r="E12" s="272"/>
      <c r="F12" s="54" t="s">
        <v>387</v>
      </c>
      <c r="G12" s="272"/>
      <c r="H12" s="282"/>
    </row>
    <row r="13" spans="1:8" x14ac:dyDescent="0.25">
      <c r="A13" s="281">
        <f>IF(ISNUMBER(A11),A11+1,1)</f>
        <v>6</v>
      </c>
      <c r="B13" s="281" t="str">
        <f>DataEaseDirectoryReader_SourceDirectory</f>
        <v>C:\Users\DAVE\Documents\Visual Studio 2013\Projects\NOLANB\DataEaseDirectoryReader\DataEase</v>
      </c>
      <c r="C13" s="281" t="s">
        <v>171</v>
      </c>
      <c r="D13" s="281" t="str">
        <f>BinaryRecordBuffer_CS</f>
        <v>BinaryRecordBuffer.cs</v>
      </c>
      <c r="E13" s="271" t="s">
        <v>385</v>
      </c>
      <c r="F13" s="54" t="s">
        <v>386</v>
      </c>
      <c r="G13" s="271"/>
      <c r="H13" s="281"/>
    </row>
    <row r="14" spans="1:8" x14ac:dyDescent="0.25">
      <c r="A14" s="282"/>
      <c r="B14" s="282"/>
      <c r="C14" s="282"/>
      <c r="D14" s="282"/>
      <c r="E14" s="272"/>
      <c r="F14" s="54" t="s">
        <v>387</v>
      </c>
      <c r="G14" s="272"/>
      <c r="H14" s="282"/>
    </row>
    <row r="15" spans="1:8" x14ac:dyDescent="0.25">
      <c r="A15" s="281">
        <f>IF(ISNUMBER(A13),A13+1,1)</f>
        <v>7</v>
      </c>
      <c r="B15" s="281" t="str">
        <f>DataEaseDirectoryReader_SourceDirectory</f>
        <v>C:\Users\DAVE\Documents\Visual Studio 2013\Projects\NOLANB\DataEaseDirectoryReader\DataEase</v>
      </c>
      <c r="C15" s="281" t="s">
        <v>171</v>
      </c>
      <c r="D15" s="281" t="str">
        <f>TableDrivenConversionEngine_CS</f>
        <v>TableDrivenConversionEngine.cs</v>
      </c>
      <c r="E15" s="271" t="s">
        <v>385</v>
      </c>
      <c r="F15" s="54" t="s">
        <v>386</v>
      </c>
      <c r="G15" s="271"/>
      <c r="H15" s="281"/>
    </row>
    <row r="16" spans="1:8" x14ac:dyDescent="0.25">
      <c r="A16" s="282"/>
      <c r="B16" s="282"/>
      <c r="C16" s="282"/>
      <c r="D16" s="282"/>
      <c r="E16" s="272"/>
      <c r="F16" s="54" t="s">
        <v>387</v>
      </c>
      <c r="G16" s="272"/>
      <c r="H16" s="282"/>
    </row>
    <row r="17" spans="1:8" x14ac:dyDescent="0.25">
      <c r="A17" s="281">
        <f>IF(ISNUMBER(A15),A15+1,1)</f>
        <v>8</v>
      </c>
      <c r="B17" s="281" t="str">
        <f>DataEaseDirectoryReader_SourceDirectory</f>
        <v>C:\Users\DAVE\Documents\Visual Studio 2013\Projects\NOLANB\DataEaseDirectoryReader\DataEase</v>
      </c>
      <c r="C17" s="281" t="s">
        <v>171</v>
      </c>
      <c r="D17" s="281"/>
      <c r="E17" s="271" t="s">
        <v>385</v>
      </c>
      <c r="F17" s="54" t="s">
        <v>386</v>
      </c>
      <c r="G17" s="271"/>
      <c r="H17" s="281"/>
    </row>
    <row r="18" spans="1:8" x14ac:dyDescent="0.25">
      <c r="A18" s="282"/>
      <c r="B18" s="282"/>
      <c r="C18" s="282"/>
      <c r="D18" s="282"/>
      <c r="E18" s="272"/>
      <c r="F18" s="54" t="s">
        <v>387</v>
      </c>
      <c r="G18" s="272"/>
      <c r="H18" s="282"/>
    </row>
    <row r="19" spans="1:8" x14ac:dyDescent="0.25">
      <c r="A19" s="3">
        <f>IF(ISNUMBER(A17),A17+1,1)</f>
        <v>9</v>
      </c>
      <c r="B19" s="10" t="s">
        <v>31</v>
      </c>
      <c r="C19" s="3" t="s">
        <v>171</v>
      </c>
      <c r="D19" s="3" t="str">
        <f>FileNameSuffixEngine.cs</f>
        <v>FileNameSuffixEngine.cs</v>
      </c>
      <c r="E19" s="271" t="s">
        <v>384</v>
      </c>
      <c r="F19" s="54" t="s">
        <v>386</v>
      </c>
      <c r="G19" s="4"/>
      <c r="H19" s="3"/>
    </row>
    <row r="20" spans="1:8" x14ac:dyDescent="0.25">
      <c r="A20" s="3">
        <f t="shared" ref="A20:A30" si="0">IF(ISNUMBER(A19),A19+1,1)</f>
        <v>10</v>
      </c>
      <c r="B20" s="3"/>
      <c r="C20" s="3" t="s">
        <v>171</v>
      </c>
      <c r="D20" s="3"/>
      <c r="E20" s="272"/>
      <c r="F20" s="50"/>
      <c r="G20" s="4"/>
      <c r="H20" s="3"/>
    </row>
    <row r="21" spans="1:8" x14ac:dyDescent="0.25">
      <c r="A21" s="3">
        <f t="shared" si="0"/>
        <v>11</v>
      </c>
      <c r="B21" s="3"/>
      <c r="C21" s="3" t="s">
        <v>171</v>
      </c>
      <c r="D21" s="3"/>
      <c r="E21" s="4"/>
      <c r="F21" s="50"/>
      <c r="G21" s="4"/>
      <c r="H21" s="3"/>
    </row>
    <row r="22" spans="1:8" x14ac:dyDescent="0.25">
      <c r="A22" s="3">
        <f t="shared" si="0"/>
        <v>12</v>
      </c>
      <c r="B22" s="3"/>
      <c r="C22" s="3" t="s">
        <v>171</v>
      </c>
      <c r="D22" s="3"/>
      <c r="E22" s="4"/>
      <c r="F22" s="50"/>
      <c r="G22" s="4"/>
      <c r="H22" s="3"/>
    </row>
    <row r="23" spans="1:8" x14ac:dyDescent="0.25">
      <c r="A23" s="3">
        <f t="shared" si="0"/>
        <v>13</v>
      </c>
      <c r="B23" s="3"/>
      <c r="C23" s="3" t="s">
        <v>171</v>
      </c>
      <c r="D23" s="3"/>
      <c r="E23" s="4"/>
      <c r="F23" s="50"/>
      <c r="G23" s="4"/>
      <c r="H23" s="3"/>
    </row>
    <row r="24" spans="1:8" x14ac:dyDescent="0.25">
      <c r="A24" s="3">
        <f t="shared" si="0"/>
        <v>14</v>
      </c>
      <c r="B24" s="3"/>
      <c r="C24" s="3" t="s">
        <v>171</v>
      </c>
      <c r="D24" s="3"/>
      <c r="E24" s="4"/>
      <c r="F24" s="50"/>
      <c r="G24" s="4"/>
      <c r="H24" s="3"/>
    </row>
    <row r="25" spans="1:8" x14ac:dyDescent="0.25">
      <c r="A25" s="3">
        <f t="shared" si="0"/>
        <v>15</v>
      </c>
      <c r="B25" s="3"/>
      <c r="C25" s="3" t="s">
        <v>171</v>
      </c>
      <c r="D25" s="3"/>
      <c r="E25" s="4"/>
      <c r="F25" s="50"/>
      <c r="G25" s="4"/>
      <c r="H25" s="3"/>
    </row>
    <row r="26" spans="1:8" x14ac:dyDescent="0.25">
      <c r="A26" s="3">
        <f t="shared" si="0"/>
        <v>16</v>
      </c>
      <c r="B26" s="3"/>
      <c r="C26" s="3" t="s">
        <v>171</v>
      </c>
      <c r="D26" s="3"/>
      <c r="E26" s="4"/>
      <c r="F26" s="50"/>
      <c r="G26" s="4"/>
      <c r="H26" s="3"/>
    </row>
    <row r="27" spans="1:8" x14ac:dyDescent="0.25">
      <c r="A27" s="3">
        <f t="shared" si="0"/>
        <v>17</v>
      </c>
      <c r="B27" s="3"/>
      <c r="C27" s="3" t="s">
        <v>171</v>
      </c>
      <c r="D27" s="3"/>
      <c r="E27" s="4"/>
      <c r="F27" s="50"/>
      <c r="G27" s="4"/>
      <c r="H27" s="3"/>
    </row>
    <row r="28" spans="1:8" x14ac:dyDescent="0.25">
      <c r="A28" s="3">
        <f t="shared" si="0"/>
        <v>18</v>
      </c>
      <c r="B28" s="3"/>
      <c r="C28" s="3" t="s">
        <v>171</v>
      </c>
      <c r="D28" s="3"/>
      <c r="E28" s="4"/>
      <c r="F28" s="50"/>
      <c r="G28" s="4"/>
      <c r="H28" s="3"/>
    </row>
    <row r="29" spans="1:8" x14ac:dyDescent="0.25">
      <c r="A29" s="3">
        <f t="shared" si="0"/>
        <v>19</v>
      </c>
      <c r="B29" s="3"/>
      <c r="C29" s="3" t="s">
        <v>171</v>
      </c>
      <c r="D29" s="3"/>
      <c r="E29" s="4"/>
      <c r="F29" s="50"/>
      <c r="G29" s="4"/>
      <c r="H29" s="3"/>
    </row>
    <row r="30" spans="1:8" x14ac:dyDescent="0.25">
      <c r="A30" s="3">
        <f t="shared" si="0"/>
        <v>20</v>
      </c>
      <c r="B30" s="3"/>
      <c r="C30" s="3" t="s">
        <v>171</v>
      </c>
      <c r="D30" s="3"/>
      <c r="E30" s="4"/>
      <c r="F30" s="50"/>
      <c r="G30" s="4"/>
      <c r="H30" s="3"/>
    </row>
  </sheetData>
  <mergeCells count="33">
    <mergeCell ref="H17:H18"/>
    <mergeCell ref="G13:G14"/>
    <mergeCell ref="H13:H14"/>
    <mergeCell ref="A17:A18"/>
    <mergeCell ref="B17:B18"/>
    <mergeCell ref="C17:C18"/>
    <mergeCell ref="D17:D18"/>
    <mergeCell ref="E17:E18"/>
    <mergeCell ref="G15:G16"/>
    <mergeCell ref="H15:H16"/>
    <mergeCell ref="A15:A16"/>
    <mergeCell ref="B15:B16"/>
    <mergeCell ref="C15:C16"/>
    <mergeCell ref="D15:D16"/>
    <mergeCell ref="E15:E16"/>
    <mergeCell ref="G17:G18"/>
    <mergeCell ref="G11:G12"/>
    <mergeCell ref="H11:H12"/>
    <mergeCell ref="A13:A14"/>
    <mergeCell ref="B13:B14"/>
    <mergeCell ref="C13:C14"/>
    <mergeCell ref="D13:D14"/>
    <mergeCell ref="E13:E14"/>
    <mergeCell ref="E19:E20"/>
    <mergeCell ref="A2:B2"/>
    <mergeCell ref="A3:B3"/>
    <mergeCell ref="A4:B4"/>
    <mergeCell ref="A1:B1"/>
    <mergeCell ref="A11:A12"/>
    <mergeCell ref="B11:B12"/>
    <mergeCell ref="C11:C12"/>
    <mergeCell ref="D11:D12"/>
    <mergeCell ref="E11:E12"/>
  </mergeCells>
  <conditionalFormatting sqref="A7:H7">
    <cfRule type="expression" dxfId="388" priority="185">
      <formula>$H7=Status_Done</formula>
    </cfRule>
    <cfRule type="expression" dxfId="387" priority="186">
      <formula>$H7=Status_Ready_to_Test</formula>
    </cfRule>
    <cfRule type="expression" dxfId="386" priority="187">
      <formula>$H7=Status_In_Progress</formula>
    </cfRule>
  </conditionalFormatting>
  <conditionalFormatting sqref="A8 C8:D8 G8:H8">
    <cfRule type="expression" dxfId="385" priority="179">
      <formula>$H8=Status_Done</formula>
    </cfRule>
    <cfRule type="expression" dxfId="384" priority="180">
      <formula>$H8=Status_Ready_to_Test</formula>
    </cfRule>
    <cfRule type="expression" dxfId="383" priority="181">
      <formula>$H8=Status_In_Progress</formula>
    </cfRule>
  </conditionalFormatting>
  <conditionalFormatting sqref="B8">
    <cfRule type="expression" dxfId="382" priority="176">
      <formula>$H8=Status_Done</formula>
    </cfRule>
    <cfRule type="expression" dxfId="381" priority="177">
      <formula>$H8=Status_Ready_to_Test</formula>
    </cfRule>
    <cfRule type="expression" dxfId="380" priority="178">
      <formula>$H8=Status_In_Progress</formula>
    </cfRule>
  </conditionalFormatting>
  <conditionalFormatting sqref="A9 C9:D9 F9:H9">
    <cfRule type="expression" dxfId="379" priority="173">
      <formula>$H9=Status_Done</formula>
    </cfRule>
    <cfRule type="expression" dxfId="378" priority="174">
      <formula>$H9=Status_Ready_to_Test</formula>
    </cfRule>
    <cfRule type="expression" dxfId="377" priority="175">
      <formula>$H9=Status_In_Progress</formula>
    </cfRule>
  </conditionalFormatting>
  <conditionalFormatting sqref="B9">
    <cfRule type="expression" dxfId="376" priority="170">
      <formula>$H9=Status_Done</formula>
    </cfRule>
    <cfRule type="expression" dxfId="375" priority="171">
      <formula>$H9=Status_Ready_to_Test</formula>
    </cfRule>
    <cfRule type="expression" dxfId="374" priority="172">
      <formula>$H9=Status_In_Progress</formula>
    </cfRule>
  </conditionalFormatting>
  <conditionalFormatting sqref="A10 C10:H10">
    <cfRule type="expression" dxfId="373" priority="167">
      <formula>$H10=Status_Done</formula>
    </cfRule>
    <cfRule type="expression" dxfId="372" priority="168">
      <formula>$H10=Status_Ready_to_Test</formula>
    </cfRule>
    <cfRule type="expression" dxfId="371" priority="169">
      <formula>$H10=Status_In_Progress</formula>
    </cfRule>
  </conditionalFormatting>
  <conditionalFormatting sqref="B10">
    <cfRule type="expression" dxfId="370" priority="164">
      <formula>$H10=Status_Done</formula>
    </cfRule>
    <cfRule type="expression" dxfId="369" priority="165">
      <formula>$H10=Status_Ready_to_Test</formula>
    </cfRule>
    <cfRule type="expression" dxfId="368" priority="166">
      <formula>$H10=Status_In_Progress</formula>
    </cfRule>
  </conditionalFormatting>
  <conditionalFormatting sqref="A11 C11:H11">
    <cfRule type="expression" dxfId="367" priority="161">
      <formula>$H11=Status_Done</formula>
    </cfRule>
    <cfRule type="expression" dxfId="366" priority="162">
      <formula>$H11=Status_Ready_to_Test</formula>
    </cfRule>
    <cfRule type="expression" dxfId="365" priority="163">
      <formula>$H11=Status_In_Progress</formula>
    </cfRule>
  </conditionalFormatting>
  <conditionalFormatting sqref="B11">
    <cfRule type="expression" dxfId="364" priority="158">
      <formula>$H11=Status_Done</formula>
    </cfRule>
    <cfRule type="expression" dxfId="363" priority="159">
      <formula>$H11=Status_Ready_to_Test</formula>
    </cfRule>
    <cfRule type="expression" dxfId="362" priority="160">
      <formula>$H11=Status_In_Progress</formula>
    </cfRule>
  </conditionalFormatting>
  <conditionalFormatting sqref="A13 C13:D13 G13:H13">
    <cfRule type="expression" dxfId="361" priority="155">
      <formula>$H13=Status_Done</formula>
    </cfRule>
    <cfRule type="expression" dxfId="360" priority="156">
      <formula>$H13=Status_Ready_to_Test</formula>
    </cfRule>
    <cfRule type="expression" dxfId="359" priority="157">
      <formula>$H13=Status_In_Progress</formula>
    </cfRule>
  </conditionalFormatting>
  <conditionalFormatting sqref="B13">
    <cfRule type="expression" dxfId="358" priority="152">
      <formula>$H13=Status_Done</formula>
    </cfRule>
    <cfRule type="expression" dxfId="357" priority="153">
      <formula>$H13=Status_Ready_to_Test</formula>
    </cfRule>
    <cfRule type="expression" dxfId="356" priority="154">
      <formula>$H13=Status_In_Progress</formula>
    </cfRule>
  </conditionalFormatting>
  <conditionalFormatting sqref="A15 C15:D15 G15:H15">
    <cfRule type="expression" dxfId="355" priority="149">
      <formula>$H15=Status_Done</formula>
    </cfRule>
    <cfRule type="expression" dxfId="354" priority="150">
      <formula>$H15=Status_Ready_to_Test</formula>
    </cfRule>
    <cfRule type="expression" dxfId="353" priority="151">
      <formula>$H15=Status_In_Progress</formula>
    </cfRule>
  </conditionalFormatting>
  <conditionalFormatting sqref="A21 C21:H21">
    <cfRule type="expression" dxfId="352" priority="125">
      <formula>$H21=Status_Done</formula>
    </cfRule>
    <cfRule type="expression" dxfId="351" priority="126">
      <formula>$H21=Status_Ready_to_Test</formula>
    </cfRule>
    <cfRule type="expression" dxfId="350" priority="127">
      <formula>$H21=Status_In_Progress</formula>
    </cfRule>
  </conditionalFormatting>
  <conditionalFormatting sqref="A17 C17:D17 G17:H17">
    <cfRule type="expression" dxfId="349" priority="143">
      <formula>$H17=Status_Done</formula>
    </cfRule>
    <cfRule type="expression" dxfId="348" priority="144">
      <formula>$H17=Status_Ready_to_Test</formula>
    </cfRule>
    <cfRule type="expression" dxfId="347" priority="145">
      <formula>$H17=Status_In_Progress</formula>
    </cfRule>
  </conditionalFormatting>
  <conditionalFormatting sqref="A19 C19:D19 G19:H19">
    <cfRule type="expression" dxfId="346" priority="137">
      <formula>$H19=Status_Done</formula>
    </cfRule>
    <cfRule type="expression" dxfId="345" priority="138">
      <formula>$H19=Status_Ready_to_Test</formula>
    </cfRule>
    <cfRule type="expression" dxfId="344" priority="139">
      <formula>$H19=Status_In_Progress</formula>
    </cfRule>
  </conditionalFormatting>
  <conditionalFormatting sqref="A20 C20:D20 F20:H20">
    <cfRule type="expression" dxfId="343" priority="131">
      <formula>$H20=Status_Done</formula>
    </cfRule>
    <cfRule type="expression" dxfId="342" priority="132">
      <formula>$H20=Status_Ready_to_Test</formula>
    </cfRule>
    <cfRule type="expression" dxfId="341" priority="133">
      <formula>$H20=Status_In_Progress</formula>
    </cfRule>
  </conditionalFormatting>
  <conditionalFormatting sqref="B20">
    <cfRule type="expression" dxfId="340" priority="128">
      <formula>$H20=Status_Done</formula>
    </cfRule>
    <cfRule type="expression" dxfId="339" priority="129">
      <formula>$H20=Status_Ready_to_Test</formula>
    </cfRule>
    <cfRule type="expression" dxfId="338" priority="130">
      <formula>$H20=Status_In_Progress</formula>
    </cfRule>
  </conditionalFormatting>
  <conditionalFormatting sqref="B21">
    <cfRule type="expression" dxfId="337" priority="122">
      <formula>$H21=Status_Done</formula>
    </cfRule>
    <cfRule type="expression" dxfId="336" priority="123">
      <formula>$H21=Status_Ready_to_Test</formula>
    </cfRule>
    <cfRule type="expression" dxfId="335" priority="124">
      <formula>$H21=Status_In_Progress</formula>
    </cfRule>
  </conditionalFormatting>
  <conditionalFormatting sqref="A22 C22:H22">
    <cfRule type="expression" dxfId="334" priority="119">
      <formula>$H22=Status_Done</formula>
    </cfRule>
    <cfRule type="expression" dxfId="333" priority="120">
      <formula>$H22=Status_Ready_to_Test</formula>
    </cfRule>
    <cfRule type="expression" dxfId="332" priority="121">
      <formula>$H22=Status_In_Progress</formula>
    </cfRule>
  </conditionalFormatting>
  <conditionalFormatting sqref="B22">
    <cfRule type="expression" dxfId="331" priority="116">
      <formula>$H22=Status_Done</formula>
    </cfRule>
    <cfRule type="expression" dxfId="330" priority="117">
      <formula>$H22=Status_Ready_to_Test</formula>
    </cfRule>
    <cfRule type="expression" dxfId="329" priority="118">
      <formula>$H22=Status_In_Progress</formula>
    </cfRule>
  </conditionalFormatting>
  <conditionalFormatting sqref="A23 C23:H23">
    <cfRule type="expression" dxfId="328" priority="113">
      <formula>$H23=Status_Done</formula>
    </cfRule>
    <cfRule type="expression" dxfId="327" priority="114">
      <formula>$H23=Status_Ready_to_Test</formula>
    </cfRule>
    <cfRule type="expression" dxfId="326" priority="115">
      <formula>$H23=Status_In_Progress</formula>
    </cfRule>
  </conditionalFormatting>
  <conditionalFormatting sqref="B23">
    <cfRule type="expression" dxfId="325" priority="110">
      <formula>$H23=Status_Done</formula>
    </cfRule>
    <cfRule type="expression" dxfId="324" priority="111">
      <formula>$H23=Status_Ready_to_Test</formula>
    </cfRule>
    <cfRule type="expression" dxfId="323" priority="112">
      <formula>$H23=Status_In_Progress</formula>
    </cfRule>
  </conditionalFormatting>
  <conditionalFormatting sqref="A24 C24:H24">
    <cfRule type="expression" dxfId="322" priority="107">
      <formula>$H24=Status_Done</formula>
    </cfRule>
    <cfRule type="expression" dxfId="321" priority="108">
      <formula>$H24=Status_Ready_to_Test</formula>
    </cfRule>
    <cfRule type="expression" dxfId="320" priority="109">
      <formula>$H24=Status_In_Progress</formula>
    </cfRule>
  </conditionalFormatting>
  <conditionalFormatting sqref="B24">
    <cfRule type="expression" dxfId="319" priority="104">
      <formula>$H24=Status_Done</formula>
    </cfRule>
    <cfRule type="expression" dxfId="318" priority="105">
      <formula>$H24=Status_Ready_to_Test</formula>
    </cfRule>
    <cfRule type="expression" dxfId="317" priority="106">
      <formula>$H24=Status_In_Progress</formula>
    </cfRule>
  </conditionalFormatting>
  <conditionalFormatting sqref="A25 C25:H25">
    <cfRule type="expression" dxfId="316" priority="101">
      <formula>$H25=Status_Done</formula>
    </cfRule>
    <cfRule type="expression" dxfId="315" priority="102">
      <formula>$H25=Status_Ready_to_Test</formula>
    </cfRule>
    <cfRule type="expression" dxfId="314" priority="103">
      <formula>$H25=Status_In_Progress</formula>
    </cfRule>
  </conditionalFormatting>
  <conditionalFormatting sqref="B25">
    <cfRule type="expression" dxfId="313" priority="98">
      <formula>$H25=Status_Done</formula>
    </cfRule>
    <cfRule type="expression" dxfId="312" priority="99">
      <formula>$H25=Status_Ready_to_Test</formula>
    </cfRule>
    <cfRule type="expression" dxfId="311" priority="100">
      <formula>$H25=Status_In_Progress</formula>
    </cfRule>
  </conditionalFormatting>
  <conditionalFormatting sqref="A26 C26:H26">
    <cfRule type="expression" dxfId="310" priority="95">
      <formula>$H26=Status_Done</formula>
    </cfRule>
    <cfRule type="expression" dxfId="309" priority="96">
      <formula>$H26=Status_Ready_to_Test</formula>
    </cfRule>
    <cfRule type="expression" dxfId="308" priority="97">
      <formula>$H26=Status_In_Progress</formula>
    </cfRule>
  </conditionalFormatting>
  <conditionalFormatting sqref="B26">
    <cfRule type="expression" dxfId="307" priority="92">
      <formula>$H26=Status_Done</formula>
    </cfRule>
    <cfRule type="expression" dxfId="306" priority="93">
      <formula>$H26=Status_Ready_to_Test</formula>
    </cfRule>
    <cfRule type="expression" dxfId="305" priority="94">
      <formula>$H26=Status_In_Progress</formula>
    </cfRule>
  </conditionalFormatting>
  <conditionalFormatting sqref="A27 C27:H27">
    <cfRule type="expression" dxfId="304" priority="89">
      <formula>$H27=Status_Done</formula>
    </cfRule>
    <cfRule type="expression" dxfId="303" priority="90">
      <formula>$H27=Status_Ready_to_Test</formula>
    </cfRule>
    <cfRule type="expression" dxfId="302" priority="91">
      <formula>$H27=Status_In_Progress</formula>
    </cfRule>
  </conditionalFormatting>
  <conditionalFormatting sqref="B27">
    <cfRule type="expression" dxfId="301" priority="86">
      <formula>$H27=Status_Done</formula>
    </cfRule>
    <cfRule type="expression" dxfId="300" priority="87">
      <formula>$H27=Status_Ready_to_Test</formula>
    </cfRule>
    <cfRule type="expression" dxfId="299" priority="88">
      <formula>$H27=Status_In_Progress</formula>
    </cfRule>
  </conditionalFormatting>
  <conditionalFormatting sqref="A28 C28:H28">
    <cfRule type="expression" dxfId="298" priority="83">
      <formula>$H28=Status_Done</formula>
    </cfRule>
    <cfRule type="expression" dxfId="297" priority="84">
      <formula>$H28=Status_Ready_to_Test</formula>
    </cfRule>
    <cfRule type="expression" dxfId="296" priority="85">
      <formula>$H28=Status_In_Progress</formula>
    </cfRule>
  </conditionalFormatting>
  <conditionalFormatting sqref="B28">
    <cfRule type="expression" dxfId="295" priority="80">
      <formula>$H28=Status_Done</formula>
    </cfRule>
    <cfRule type="expression" dxfId="294" priority="81">
      <formula>$H28=Status_Ready_to_Test</formula>
    </cfRule>
    <cfRule type="expression" dxfId="293" priority="82">
      <formula>$H28=Status_In_Progress</formula>
    </cfRule>
  </conditionalFormatting>
  <conditionalFormatting sqref="A29 C29:H29">
    <cfRule type="expression" dxfId="292" priority="77">
      <formula>$H29=Status_Done</formula>
    </cfRule>
    <cfRule type="expression" dxfId="291" priority="78">
      <formula>$H29=Status_Ready_to_Test</formula>
    </cfRule>
    <cfRule type="expression" dxfId="290" priority="79">
      <formula>$H29=Status_In_Progress</formula>
    </cfRule>
  </conditionalFormatting>
  <conditionalFormatting sqref="B29">
    <cfRule type="expression" dxfId="289" priority="74">
      <formula>$H29=Status_Done</formula>
    </cfRule>
    <cfRule type="expression" dxfId="288" priority="75">
      <formula>$H29=Status_Ready_to_Test</formula>
    </cfRule>
    <cfRule type="expression" dxfId="287" priority="76">
      <formula>$H29=Status_In_Progress</formula>
    </cfRule>
  </conditionalFormatting>
  <conditionalFormatting sqref="A30 C30:H30">
    <cfRule type="expression" dxfId="286" priority="71">
      <formula>$H30=Status_Done</formula>
    </cfRule>
    <cfRule type="expression" dxfId="285" priority="72">
      <formula>$H30=Status_Ready_to_Test</formula>
    </cfRule>
    <cfRule type="expression" dxfId="284" priority="73">
      <formula>$H30=Status_In_Progress</formula>
    </cfRule>
  </conditionalFormatting>
  <conditionalFormatting sqref="B30">
    <cfRule type="expression" dxfId="283" priority="68">
      <formula>$H30=Status_Done</formula>
    </cfRule>
    <cfRule type="expression" dxfId="282" priority="69">
      <formula>$H30=Status_Ready_to_Test</formula>
    </cfRule>
    <cfRule type="expression" dxfId="281" priority="70">
      <formula>$H30=Status_In_Progress</formula>
    </cfRule>
  </conditionalFormatting>
  <conditionalFormatting sqref="F8">
    <cfRule type="expression" dxfId="280" priority="65">
      <formula>$H8=Status_Done</formula>
    </cfRule>
    <cfRule type="expression" dxfId="279" priority="66">
      <formula>$H8=Status_Ready_to_Test</formula>
    </cfRule>
    <cfRule type="expression" dxfId="278" priority="67">
      <formula>$H8=Status_In_Progress</formula>
    </cfRule>
  </conditionalFormatting>
  <conditionalFormatting sqref="E8">
    <cfRule type="expression" dxfId="277" priority="62">
      <formula>$H8=Status_Done</formula>
    </cfRule>
    <cfRule type="expression" dxfId="276" priority="63">
      <formula>$H8=Status_Ready_to_Test</formula>
    </cfRule>
    <cfRule type="expression" dxfId="275" priority="64">
      <formula>$H8=Status_In_Progress</formula>
    </cfRule>
  </conditionalFormatting>
  <conditionalFormatting sqref="E9">
    <cfRule type="expression" dxfId="274" priority="59">
      <formula>$H9=Status_Done</formula>
    </cfRule>
    <cfRule type="expression" dxfId="273" priority="60">
      <formula>$H9=Status_Ready_to_Test</formula>
    </cfRule>
    <cfRule type="expression" dxfId="272" priority="61">
      <formula>$H9=Status_In_Progress</formula>
    </cfRule>
  </conditionalFormatting>
  <conditionalFormatting sqref="B15">
    <cfRule type="expression" dxfId="271" priority="56">
      <formula>$H15=Status_Done</formula>
    </cfRule>
    <cfRule type="expression" dxfId="270" priority="57">
      <formula>$H15=Status_Ready_to_Test</formula>
    </cfRule>
    <cfRule type="expression" dxfId="269" priority="58">
      <formula>$H15=Status_In_Progress</formula>
    </cfRule>
  </conditionalFormatting>
  <conditionalFormatting sqref="E13">
    <cfRule type="expression" dxfId="268" priority="44">
      <formula>$H13=Status_Done</formula>
    </cfRule>
    <cfRule type="expression" dxfId="267" priority="45">
      <formula>$H13=Status_Ready_to_Test</formula>
    </cfRule>
    <cfRule type="expression" dxfId="266" priority="46">
      <formula>$H13=Status_In_Progress</formula>
    </cfRule>
  </conditionalFormatting>
  <conditionalFormatting sqref="E15">
    <cfRule type="expression" dxfId="265" priority="41">
      <formula>$H15=Status_Done</formula>
    </cfRule>
    <cfRule type="expression" dxfId="264" priority="42">
      <formula>$H15=Status_Ready_to_Test</formula>
    </cfRule>
    <cfRule type="expression" dxfId="263" priority="43">
      <formula>$H15=Status_In_Progress</formula>
    </cfRule>
  </conditionalFormatting>
  <conditionalFormatting sqref="E17">
    <cfRule type="expression" dxfId="262" priority="38">
      <formula>$H17=Status_Done</formula>
    </cfRule>
    <cfRule type="expression" dxfId="261" priority="39">
      <formula>$H17=Status_Ready_to_Test</formula>
    </cfRule>
    <cfRule type="expression" dxfId="260" priority="40">
      <formula>$H17=Status_In_Progress</formula>
    </cfRule>
  </conditionalFormatting>
  <conditionalFormatting sqref="B17">
    <cfRule type="expression" dxfId="259" priority="26">
      <formula>$H17=Status_Done</formula>
    </cfRule>
    <cfRule type="expression" dxfId="258" priority="27">
      <formula>$H17=Status_Ready_to_Test</formula>
    </cfRule>
    <cfRule type="expression" dxfId="257" priority="28">
      <formula>$H17=Status_In_Progress</formula>
    </cfRule>
  </conditionalFormatting>
  <conditionalFormatting sqref="F13">
    <cfRule type="expression" dxfId="256" priority="20">
      <formula>$H13=Status_Done</formula>
    </cfRule>
    <cfRule type="expression" dxfId="255" priority="21">
      <formula>$H13=Status_Ready_to_Test</formula>
    </cfRule>
    <cfRule type="expression" dxfId="254" priority="22">
      <formula>$H13=Status_In_Progress</formula>
    </cfRule>
  </conditionalFormatting>
  <conditionalFormatting sqref="F15">
    <cfRule type="expression" dxfId="253" priority="17">
      <formula>$H15=Status_Done</formula>
    </cfRule>
    <cfRule type="expression" dxfId="252" priority="18">
      <formula>$H15=Status_Ready_to_Test</formula>
    </cfRule>
    <cfRule type="expression" dxfId="251" priority="19">
      <formula>$H15=Status_In_Progress</formula>
    </cfRule>
  </conditionalFormatting>
  <conditionalFormatting sqref="F17">
    <cfRule type="expression" dxfId="250" priority="14">
      <formula>$H17=Status_Done</formula>
    </cfRule>
    <cfRule type="expression" dxfId="249" priority="15">
      <formula>$H17=Status_Ready_to_Test</formula>
    </cfRule>
    <cfRule type="expression" dxfId="248" priority="16">
      <formula>$H17=Status_In_Progress</formula>
    </cfRule>
  </conditionalFormatting>
  <conditionalFormatting sqref="B19">
    <cfRule type="expression" dxfId="247" priority="10">
      <formula>FIND("Count",$A19)</formula>
    </cfRule>
  </conditionalFormatting>
  <conditionalFormatting sqref="B19">
    <cfRule type="expression" dxfId="246" priority="7">
      <formula>$I19=Source_File_Status_Fixed</formula>
    </cfRule>
    <cfRule type="expression" dxfId="245" priority="8">
      <formula>$I19=Source_File_Status_Will_Break</formula>
    </cfRule>
    <cfRule type="expression" dxfId="244" priority="9">
      <formula>$I19=Source_File_Status_Obsolete_Frozen</formula>
    </cfRule>
  </conditionalFormatting>
  <conditionalFormatting sqref="E19">
    <cfRule type="expression" dxfId="243" priority="4">
      <formula>$H19=Status_Done</formula>
    </cfRule>
    <cfRule type="expression" dxfId="242" priority="5">
      <formula>$H19=Status_Ready_to_Test</formula>
    </cfRule>
    <cfRule type="expression" dxfId="241" priority="6">
      <formula>$H19=Status_In_Progress</formula>
    </cfRule>
  </conditionalFormatting>
  <conditionalFormatting sqref="F19">
    <cfRule type="expression" dxfId="240" priority="1">
      <formula>$H19=Status_Done</formula>
    </cfRule>
    <cfRule type="expression" dxfId="239" priority="2">
      <formula>$H19=Status_Ready_to_Test</formula>
    </cfRule>
    <cfRule type="expression" dxfId="238" priority="3">
      <formula>$H19=Status_In_Progress</formula>
    </cfRule>
  </conditionalFormatting>
  <dataValidations disablePrompts="1" count="1">
    <dataValidation type="list" allowBlank="1" showInputMessage="1" showErrorMessage="1" sqref="H7:H11 H13 H15 H17 H19:H30">
      <formula1>Status_Choices</formula1>
    </dataValidation>
  </dataValidations>
  <hyperlinks>
    <hyperlink ref="F7" location="'RegistryValues XREF'!A1" display="RegistryValues XREF"/>
    <hyperlink ref="F8" location="'RegistryValues XREF'!A1" display="RegistryValues XREF"/>
    <hyperlink ref="F9" location="'SysDateFormatters XREF'!A1" display="SysDateFormatters XREF"/>
    <hyperlink ref="F10" location="'CSVFileInfo XREF'!A1" display="CSVFileInfo XREF"/>
    <hyperlink ref="F11" location="'ERRMSG_ARG_IS_NULL XREF'!A1" display="'ERRMSG_ARG_IS_NULL XREF'!A1"/>
    <hyperlink ref="F12" location="'ERRMSG_ARG_IS_NULL_OR_EMPTY XRF'!A1" display="'ERRMSG_ARG_IS_NULL_OR_EMPTY XRF'!A1"/>
    <hyperlink ref="F13" location="'ERRMSG_ARG_IS_NULL XREF'!A1" display="'ERRMSG_ARG_IS_NULL XREF'!A1"/>
    <hyperlink ref="F14" location="'ERRMSG_ARG_IS_NULL_OR_EMPTY XRF'!A1" display="'ERRMSG_ARG_IS_NULL_OR_EMPTY XRF'!A1"/>
    <hyperlink ref="F15" location="'ERRMSG_ARG_IS_NULL XREF'!A1" display="'ERRMSG_ARG_IS_NULL XREF'!A1"/>
    <hyperlink ref="F16" location="'ERRMSG_ARG_IS_NULL_OR_EMPTY XRF'!A1" display="'ERRMSG_ARG_IS_NULL_OR_EMPTY XRF'!A1"/>
    <hyperlink ref="F17" location="'ERRMSG_ARG_IS_NULL XREF'!A1" display="'ERRMSG_ARG_IS_NULL XREF'!A1"/>
    <hyperlink ref="F18" location="'ERRMSG_ARG_IS_NULL_OR_EMPTY XRF'!A1" display="'ERRMSG_ARG_IS_NULL_OR_EMPTY XRF'!A1"/>
    <hyperlink ref="F19" location="'ERRMSG_ARG_IS_NULL XREF'!A1" display="'ERRMSG_ARG_IS_NULL XREF'!A1"/>
  </hyperlinks>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E13"/>
  <sheetViews>
    <sheetView workbookViewId="0"/>
  </sheetViews>
  <sheetFormatPr defaultRowHeight="15" x14ac:dyDescent="0.25"/>
  <cols>
    <col min="1" max="1" width="22.25" bestFit="1" customWidth="1"/>
    <col min="2" max="2" width="18.625" bestFit="1" customWidth="1"/>
    <col min="3" max="3" width="39.75" bestFit="1" customWidth="1"/>
    <col min="4" max="4" width="17.5" bestFit="1" customWidth="1"/>
    <col min="5" max="5" width="26.125" bestFit="1" customWidth="1"/>
  </cols>
  <sheetData>
    <row r="1" spans="1:5" ht="18" x14ac:dyDescent="0.25">
      <c r="A1" s="262" t="s">
        <v>2186</v>
      </c>
      <c r="B1" s="262" t="s">
        <v>2187</v>
      </c>
      <c r="C1" s="262" t="s">
        <v>2188</v>
      </c>
      <c r="D1" s="262" t="s">
        <v>2189</v>
      </c>
      <c r="E1" s="262" t="s">
        <v>2190</v>
      </c>
    </row>
    <row r="2" spans="1:5" x14ac:dyDescent="0.25">
      <c r="A2" s="263" t="s">
        <v>2191</v>
      </c>
      <c r="B2" s="263"/>
      <c r="C2" s="263" t="s">
        <v>2192</v>
      </c>
      <c r="D2" s="263" t="s">
        <v>2193</v>
      </c>
      <c r="E2" s="186"/>
    </row>
    <row r="3" spans="1:5" x14ac:dyDescent="0.25">
      <c r="A3" s="186"/>
      <c r="B3" s="263" t="s">
        <v>2194</v>
      </c>
      <c r="C3" s="263" t="s">
        <v>2195</v>
      </c>
      <c r="D3" s="263" t="s">
        <v>711</v>
      </c>
      <c r="E3" s="264" t="s">
        <v>2196</v>
      </c>
    </row>
    <row r="4" spans="1:5" x14ac:dyDescent="0.25">
      <c r="A4" s="186"/>
      <c r="B4" s="263" t="s">
        <v>2197</v>
      </c>
      <c r="C4" s="263" t="s">
        <v>2198</v>
      </c>
      <c r="D4" s="263" t="s">
        <v>2199</v>
      </c>
      <c r="E4" s="264" t="s">
        <v>2200</v>
      </c>
    </row>
    <row r="5" spans="1:5" x14ac:dyDescent="0.25">
      <c r="A5" s="186"/>
      <c r="B5" s="263" t="s">
        <v>2201</v>
      </c>
      <c r="C5" s="263" t="s">
        <v>2202</v>
      </c>
      <c r="D5" s="263" t="s">
        <v>2199</v>
      </c>
      <c r="E5" s="264" t="s">
        <v>2203</v>
      </c>
    </row>
    <row r="6" spans="1:5" x14ac:dyDescent="0.25">
      <c r="A6" s="186"/>
      <c r="B6" s="263" t="s">
        <v>2204</v>
      </c>
      <c r="C6" s="263" t="s">
        <v>2205</v>
      </c>
      <c r="D6" s="263" t="s">
        <v>2206</v>
      </c>
      <c r="E6" s="264" t="s">
        <v>2207</v>
      </c>
    </row>
    <row r="7" spans="1:5" x14ac:dyDescent="0.25">
      <c r="A7" s="186"/>
      <c r="B7" s="263" t="s">
        <v>2208</v>
      </c>
      <c r="C7" s="263" t="s">
        <v>2209</v>
      </c>
      <c r="D7" s="263" t="s">
        <v>2206</v>
      </c>
      <c r="E7" s="264" t="s">
        <v>2210</v>
      </c>
    </row>
    <row r="8" spans="1:5" x14ac:dyDescent="0.25">
      <c r="A8" s="186"/>
      <c r="B8" s="263" t="s">
        <v>2211</v>
      </c>
      <c r="C8" s="263" t="s">
        <v>2212</v>
      </c>
      <c r="D8" s="263" t="s">
        <v>2206</v>
      </c>
      <c r="E8" s="264" t="s">
        <v>2213</v>
      </c>
    </row>
    <row r="9" spans="1:5" x14ac:dyDescent="0.25">
      <c r="A9" s="186"/>
      <c r="B9" s="263" t="s">
        <v>2214</v>
      </c>
      <c r="C9" s="263" t="s">
        <v>2215</v>
      </c>
      <c r="D9" s="263" t="s">
        <v>2206</v>
      </c>
      <c r="E9" s="265"/>
    </row>
    <row r="10" spans="1:5" x14ac:dyDescent="0.25">
      <c r="A10" s="186"/>
      <c r="B10" s="263" t="s">
        <v>2216</v>
      </c>
      <c r="C10" s="263" t="s">
        <v>2217</v>
      </c>
      <c r="D10" s="263" t="s">
        <v>2206</v>
      </c>
      <c r="E10" s="265"/>
    </row>
    <row r="11" spans="1:5" x14ac:dyDescent="0.25">
      <c r="A11" s="186"/>
      <c r="B11" s="263" t="s">
        <v>2218</v>
      </c>
      <c r="C11" s="263" t="s">
        <v>2219</v>
      </c>
      <c r="D11" s="263" t="s">
        <v>2206</v>
      </c>
      <c r="E11" s="265"/>
    </row>
    <row r="12" spans="1:5" x14ac:dyDescent="0.25">
      <c r="A12" s="186"/>
      <c r="B12" s="263" t="s">
        <v>2220</v>
      </c>
      <c r="C12" s="263" t="s">
        <v>2221</v>
      </c>
      <c r="D12" s="263" t="s">
        <v>2206</v>
      </c>
      <c r="E12" s="265"/>
    </row>
    <row r="13" spans="1:5" x14ac:dyDescent="0.25">
      <c r="A13" s="186"/>
      <c r="B13" s="263" t="s">
        <v>2222</v>
      </c>
      <c r="C13" s="263" t="s">
        <v>2223</v>
      </c>
      <c r="D13" s="263" t="s">
        <v>2206</v>
      </c>
      <c r="E13" s="264" t="s">
        <v>2224</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CC"/>
  </sheetPr>
  <dimension ref="A1:J77"/>
  <sheetViews>
    <sheetView workbookViewId="0">
      <pane xSplit="1" ySplit="1" topLeftCell="C2" activePane="bottomRight" state="frozen"/>
      <selection pane="topRight" activeCell="B1" sqref="B1"/>
      <selection pane="bottomLeft" activeCell="A2" sqref="A2"/>
      <selection pane="bottomRight" activeCell="A3" sqref="A3"/>
    </sheetView>
  </sheetViews>
  <sheetFormatPr defaultRowHeight="15" x14ac:dyDescent="0.25"/>
  <cols>
    <col min="1" max="1" width="6.875" style="128" customWidth="1"/>
    <col min="2" max="2" width="11.875" style="128" bestFit="1" customWidth="1"/>
    <col min="3" max="3" width="44.875" style="128" bestFit="1" customWidth="1"/>
    <col min="4" max="4" width="13" style="128" bestFit="1" customWidth="1"/>
    <col min="5" max="5" width="6.875" style="128" customWidth="1"/>
    <col min="6" max="6" width="20.125" style="128" bestFit="1" customWidth="1"/>
    <col min="7" max="8" width="4.875" style="128" customWidth="1"/>
    <col min="9" max="9" width="81" style="130" customWidth="1"/>
    <col min="10" max="16384" width="9" style="128"/>
  </cols>
  <sheetData>
    <row r="1" spans="1:10" x14ac:dyDescent="0.25">
      <c r="A1" s="222" t="s">
        <v>1426</v>
      </c>
      <c r="B1" s="222" t="s">
        <v>1425</v>
      </c>
      <c r="C1" s="222" t="s">
        <v>1424</v>
      </c>
      <c r="D1" s="222" t="s">
        <v>6</v>
      </c>
      <c r="E1" s="222" t="s">
        <v>1423</v>
      </c>
      <c r="F1" s="222" t="s">
        <v>1422</v>
      </c>
      <c r="G1" s="222" t="s">
        <v>1421</v>
      </c>
      <c r="H1" s="222" t="s">
        <v>1420</v>
      </c>
      <c r="I1" s="221" t="s">
        <v>1419</v>
      </c>
    </row>
    <row r="2" spans="1:10" ht="135" x14ac:dyDescent="0.25">
      <c r="A2" s="219">
        <v>332256</v>
      </c>
      <c r="B2" s="219" t="s">
        <v>702</v>
      </c>
      <c r="C2" s="219" t="s">
        <v>1427</v>
      </c>
      <c r="D2" s="219" t="s">
        <v>1428</v>
      </c>
      <c r="E2" s="219" t="s">
        <v>1429</v>
      </c>
      <c r="F2" s="220">
        <v>42976.046863425923</v>
      </c>
      <c r="G2" s="219">
        <v>0</v>
      </c>
      <c r="H2" s="219" t="s">
        <v>1404</v>
      </c>
      <c r="I2" s="218" t="s">
        <v>1430</v>
      </c>
    </row>
    <row r="3" spans="1:10" ht="315" x14ac:dyDescent="0.25">
      <c r="A3" s="219">
        <v>332255</v>
      </c>
      <c r="B3" s="219" t="s">
        <v>702</v>
      </c>
      <c r="C3" s="219" t="s">
        <v>1427</v>
      </c>
      <c r="D3" s="219" t="s">
        <v>1428</v>
      </c>
      <c r="E3" s="219" t="s">
        <v>1429</v>
      </c>
      <c r="F3" s="220">
        <v>42976.046851851854</v>
      </c>
      <c r="G3" s="219">
        <v>0</v>
      </c>
      <c r="H3" s="219" t="s">
        <v>1404</v>
      </c>
      <c r="I3" s="218" t="s">
        <v>1431</v>
      </c>
      <c r="J3" s="219"/>
    </row>
    <row r="4" spans="1:10" ht="240" x14ac:dyDescent="0.25">
      <c r="A4" s="219">
        <v>332254</v>
      </c>
      <c r="B4" s="219" t="s">
        <v>702</v>
      </c>
      <c r="C4" s="219" t="s">
        <v>1427</v>
      </c>
      <c r="D4" s="219" t="s">
        <v>1428</v>
      </c>
      <c r="E4" s="219" t="s">
        <v>1429</v>
      </c>
      <c r="F4" s="220">
        <v>42976.046851851854</v>
      </c>
      <c r="G4" s="219">
        <v>0</v>
      </c>
      <c r="H4" s="219" t="s">
        <v>1404</v>
      </c>
      <c r="I4" s="218" t="s">
        <v>1432</v>
      </c>
      <c r="J4" s="219"/>
    </row>
    <row r="5" spans="1:10" ht="105" x14ac:dyDescent="0.25">
      <c r="A5" s="219">
        <v>332253</v>
      </c>
      <c r="B5" s="219" t="s">
        <v>702</v>
      </c>
      <c r="C5" s="219" t="s">
        <v>1427</v>
      </c>
      <c r="D5" s="219" t="s">
        <v>1428</v>
      </c>
      <c r="E5" s="219" t="s">
        <v>1429</v>
      </c>
      <c r="F5" s="220">
        <v>42976.046851851854</v>
      </c>
      <c r="G5" s="219">
        <v>0</v>
      </c>
      <c r="H5" s="219" t="s">
        <v>1404</v>
      </c>
      <c r="I5" s="218" t="s">
        <v>1433</v>
      </c>
      <c r="J5" s="219"/>
    </row>
    <row r="6" spans="1:10" ht="105" x14ac:dyDescent="0.25">
      <c r="A6" s="219">
        <v>332252</v>
      </c>
      <c r="B6" s="219" t="s">
        <v>702</v>
      </c>
      <c r="C6" s="219" t="s">
        <v>1427</v>
      </c>
      <c r="D6" s="219" t="s">
        <v>1428</v>
      </c>
      <c r="E6" s="219" t="s">
        <v>1429</v>
      </c>
      <c r="F6" s="220">
        <v>42976.046851851854</v>
      </c>
      <c r="G6" s="219">
        <v>0</v>
      </c>
      <c r="H6" s="219" t="s">
        <v>1404</v>
      </c>
      <c r="I6" s="218" t="s">
        <v>1434</v>
      </c>
      <c r="J6" s="219"/>
    </row>
    <row r="7" spans="1:10" ht="225" x14ac:dyDescent="0.25">
      <c r="A7" s="219">
        <v>332251</v>
      </c>
      <c r="B7" s="219" t="s">
        <v>702</v>
      </c>
      <c r="C7" s="219" t="s">
        <v>1427</v>
      </c>
      <c r="D7" s="219" t="s">
        <v>1428</v>
      </c>
      <c r="E7" s="219" t="s">
        <v>1429</v>
      </c>
      <c r="F7" s="220">
        <v>42976.046851851854</v>
      </c>
      <c r="G7" s="219">
        <v>0</v>
      </c>
      <c r="H7" s="219" t="s">
        <v>1404</v>
      </c>
      <c r="I7" s="218" t="s">
        <v>1435</v>
      </c>
      <c r="J7" s="219"/>
    </row>
    <row r="8" spans="1:10" ht="60" x14ac:dyDescent="0.25">
      <c r="A8" s="219">
        <v>332250</v>
      </c>
      <c r="B8" s="219" t="s">
        <v>702</v>
      </c>
      <c r="C8" s="219" t="s">
        <v>1427</v>
      </c>
      <c r="D8" s="219" t="s">
        <v>1436</v>
      </c>
      <c r="E8" s="219" t="s">
        <v>1429</v>
      </c>
      <c r="F8" s="220">
        <v>42976.046851851854</v>
      </c>
      <c r="G8" s="219">
        <v>0</v>
      </c>
      <c r="H8" s="219" t="s">
        <v>1404</v>
      </c>
      <c r="I8" s="218" t="s">
        <v>1437</v>
      </c>
      <c r="J8" s="219"/>
    </row>
    <row r="9" spans="1:10" ht="135" x14ac:dyDescent="0.25">
      <c r="A9" s="219">
        <v>332249</v>
      </c>
      <c r="B9" s="219" t="s">
        <v>702</v>
      </c>
      <c r="C9" s="219" t="s">
        <v>1427</v>
      </c>
      <c r="D9" s="219" t="s">
        <v>1428</v>
      </c>
      <c r="E9" s="219" t="s">
        <v>1429</v>
      </c>
      <c r="F9" s="220">
        <v>42976.011990740742</v>
      </c>
      <c r="G9" s="219">
        <v>0</v>
      </c>
      <c r="H9" s="219" t="s">
        <v>1404</v>
      </c>
      <c r="I9" s="218" t="s">
        <v>1430</v>
      </c>
      <c r="J9" s="219"/>
    </row>
    <row r="10" spans="1:10" ht="409.5" x14ac:dyDescent="0.25">
      <c r="A10" s="219">
        <v>332248</v>
      </c>
      <c r="B10" s="219" t="s">
        <v>702</v>
      </c>
      <c r="C10" s="219" t="s">
        <v>1427</v>
      </c>
      <c r="D10" s="219" t="s">
        <v>1428</v>
      </c>
      <c r="E10" s="219" t="s">
        <v>1429</v>
      </c>
      <c r="F10" s="220">
        <v>42976.011967592596</v>
      </c>
      <c r="G10" s="219">
        <v>0</v>
      </c>
      <c r="H10" s="219" t="s">
        <v>1404</v>
      </c>
      <c r="I10" s="218" t="s">
        <v>1438</v>
      </c>
      <c r="J10" s="219"/>
    </row>
    <row r="11" spans="1:10" ht="240" x14ac:dyDescent="0.25">
      <c r="A11" s="219">
        <v>332247</v>
      </c>
      <c r="B11" s="219" t="s">
        <v>702</v>
      </c>
      <c r="C11" s="219" t="s">
        <v>1427</v>
      </c>
      <c r="D11" s="219" t="s">
        <v>1428</v>
      </c>
      <c r="E11" s="219" t="s">
        <v>1429</v>
      </c>
      <c r="F11" s="220">
        <v>42976.011967592596</v>
      </c>
      <c r="G11" s="219">
        <v>0</v>
      </c>
      <c r="H11" s="219" t="s">
        <v>1404</v>
      </c>
      <c r="I11" s="218" t="s">
        <v>1432</v>
      </c>
      <c r="J11" s="219"/>
    </row>
    <row r="12" spans="1:10" ht="105" x14ac:dyDescent="0.25">
      <c r="A12" s="219">
        <v>332246</v>
      </c>
      <c r="B12" s="219" t="s">
        <v>702</v>
      </c>
      <c r="C12" s="219" t="s">
        <v>1427</v>
      </c>
      <c r="D12" s="219" t="s">
        <v>1428</v>
      </c>
      <c r="E12" s="219" t="s">
        <v>1429</v>
      </c>
      <c r="F12" s="220">
        <v>42976.011967592596</v>
      </c>
      <c r="G12" s="219">
        <v>0</v>
      </c>
      <c r="H12" s="219" t="s">
        <v>1404</v>
      </c>
      <c r="I12" s="218" t="s">
        <v>1433</v>
      </c>
      <c r="J12" s="219"/>
    </row>
    <row r="13" spans="1:10" ht="105" x14ac:dyDescent="0.25">
      <c r="A13" s="219">
        <v>332245</v>
      </c>
      <c r="B13" s="219" t="s">
        <v>702</v>
      </c>
      <c r="C13" s="219" t="s">
        <v>1427</v>
      </c>
      <c r="D13" s="219" t="s">
        <v>1428</v>
      </c>
      <c r="E13" s="219" t="s">
        <v>1429</v>
      </c>
      <c r="F13" s="220">
        <v>42976.011967592596</v>
      </c>
      <c r="G13" s="219">
        <v>0</v>
      </c>
      <c r="H13" s="219" t="s">
        <v>1404</v>
      </c>
      <c r="I13" s="218" t="s">
        <v>1434</v>
      </c>
      <c r="J13" s="219"/>
    </row>
    <row r="14" spans="1:10" ht="225" x14ac:dyDescent="0.25">
      <c r="A14" s="219">
        <v>332244</v>
      </c>
      <c r="B14" s="219" t="s">
        <v>702</v>
      </c>
      <c r="C14" s="219" t="s">
        <v>1427</v>
      </c>
      <c r="D14" s="219" t="s">
        <v>1428</v>
      </c>
      <c r="E14" s="219" t="s">
        <v>1429</v>
      </c>
      <c r="F14" s="220">
        <v>42976.011967592596</v>
      </c>
      <c r="G14" s="219">
        <v>0</v>
      </c>
      <c r="H14" s="219" t="s">
        <v>1404</v>
      </c>
      <c r="I14" s="218" t="s">
        <v>1435</v>
      </c>
      <c r="J14" s="219"/>
    </row>
    <row r="15" spans="1:10" ht="60" x14ac:dyDescent="0.25">
      <c r="A15" s="219">
        <v>332243</v>
      </c>
      <c r="B15" s="219" t="s">
        <v>702</v>
      </c>
      <c r="C15" s="219" t="s">
        <v>1427</v>
      </c>
      <c r="D15" s="219" t="s">
        <v>1436</v>
      </c>
      <c r="E15" s="219" t="s">
        <v>1429</v>
      </c>
      <c r="F15" s="220">
        <v>42976.011967592596</v>
      </c>
      <c r="G15" s="219">
        <v>0</v>
      </c>
      <c r="H15" s="219" t="s">
        <v>1404</v>
      </c>
      <c r="I15" s="218" t="s">
        <v>1439</v>
      </c>
      <c r="J15" s="219"/>
    </row>
    <row r="16" spans="1:10" ht="135" x14ac:dyDescent="0.25">
      <c r="A16" s="219">
        <v>332242</v>
      </c>
      <c r="B16" s="219" t="s">
        <v>702</v>
      </c>
      <c r="C16" s="219" t="s">
        <v>1427</v>
      </c>
      <c r="D16" s="219" t="s">
        <v>1428</v>
      </c>
      <c r="E16" s="219" t="s">
        <v>1429</v>
      </c>
      <c r="F16" s="220">
        <v>42976.004340277781</v>
      </c>
      <c r="G16" s="219">
        <v>0</v>
      </c>
      <c r="H16" s="219" t="s">
        <v>1404</v>
      </c>
      <c r="I16" s="218" t="s">
        <v>1430</v>
      </c>
      <c r="J16" s="219"/>
    </row>
    <row r="17" spans="1:10" ht="409.5" x14ac:dyDescent="0.25">
      <c r="A17" s="219">
        <v>332241</v>
      </c>
      <c r="B17" s="219" t="s">
        <v>702</v>
      </c>
      <c r="C17" s="219" t="s">
        <v>1427</v>
      </c>
      <c r="D17" s="219" t="s">
        <v>1428</v>
      </c>
      <c r="E17" s="219" t="s">
        <v>1429</v>
      </c>
      <c r="F17" s="220">
        <v>42976.004305555558</v>
      </c>
      <c r="G17" s="219">
        <v>0</v>
      </c>
      <c r="H17" s="219" t="s">
        <v>1404</v>
      </c>
      <c r="I17" s="218" t="s">
        <v>1438</v>
      </c>
      <c r="J17" s="219"/>
    </row>
    <row r="18" spans="1:10" ht="240" x14ac:dyDescent="0.25">
      <c r="A18" s="219">
        <v>332240</v>
      </c>
      <c r="B18" s="219" t="s">
        <v>702</v>
      </c>
      <c r="C18" s="219" t="s">
        <v>1427</v>
      </c>
      <c r="D18" s="219" t="s">
        <v>1428</v>
      </c>
      <c r="E18" s="219" t="s">
        <v>1429</v>
      </c>
      <c r="F18" s="220">
        <v>42976.004305555558</v>
      </c>
      <c r="G18" s="219">
        <v>0</v>
      </c>
      <c r="H18" s="219" t="s">
        <v>1404</v>
      </c>
      <c r="I18" s="218" t="s">
        <v>1432</v>
      </c>
      <c r="J18" s="219"/>
    </row>
    <row r="19" spans="1:10" ht="345" x14ac:dyDescent="0.25">
      <c r="A19" s="219">
        <v>332239</v>
      </c>
      <c r="B19" s="219" t="s">
        <v>702</v>
      </c>
      <c r="C19" s="219" t="s">
        <v>1427</v>
      </c>
      <c r="D19" s="219" t="s">
        <v>1428</v>
      </c>
      <c r="E19" s="219" t="s">
        <v>1429</v>
      </c>
      <c r="F19" s="220">
        <v>42976.004305555558</v>
      </c>
      <c r="G19" s="219">
        <v>0</v>
      </c>
      <c r="H19" s="219" t="s">
        <v>1404</v>
      </c>
      <c r="I19" s="218" t="s">
        <v>1440</v>
      </c>
      <c r="J19" s="219"/>
    </row>
    <row r="20" spans="1:10" ht="225" x14ac:dyDescent="0.25">
      <c r="A20" s="219">
        <v>332238</v>
      </c>
      <c r="B20" s="219" t="s">
        <v>702</v>
      </c>
      <c r="C20" s="219" t="s">
        <v>1427</v>
      </c>
      <c r="D20" s="219" t="s">
        <v>1428</v>
      </c>
      <c r="E20" s="219" t="s">
        <v>1429</v>
      </c>
      <c r="F20" s="220">
        <v>42976.004305555558</v>
      </c>
      <c r="G20" s="219">
        <v>0</v>
      </c>
      <c r="H20" s="219" t="s">
        <v>1404</v>
      </c>
      <c r="I20" s="218" t="s">
        <v>1435</v>
      </c>
      <c r="J20" s="219"/>
    </row>
    <row r="21" spans="1:10" ht="60" x14ac:dyDescent="0.25">
      <c r="A21" s="219">
        <v>332237</v>
      </c>
      <c r="B21" s="219" t="s">
        <v>702</v>
      </c>
      <c r="C21" s="219" t="s">
        <v>1427</v>
      </c>
      <c r="D21" s="219" t="s">
        <v>1436</v>
      </c>
      <c r="E21" s="219" t="s">
        <v>1429</v>
      </c>
      <c r="F21" s="220">
        <v>42976.004293981481</v>
      </c>
      <c r="G21" s="219">
        <v>0</v>
      </c>
      <c r="H21" s="219" t="s">
        <v>1404</v>
      </c>
      <c r="I21" s="218" t="s">
        <v>1441</v>
      </c>
      <c r="J21" s="219"/>
    </row>
    <row r="22" spans="1:10" x14ac:dyDescent="0.25">
      <c r="A22" s="219">
        <v>332236</v>
      </c>
      <c r="B22" s="219" t="s">
        <v>702</v>
      </c>
      <c r="C22" s="219" t="s">
        <v>1442</v>
      </c>
      <c r="D22" s="219" t="s">
        <v>1443</v>
      </c>
      <c r="E22" s="219" t="s">
        <v>1429</v>
      </c>
      <c r="F22" s="220">
        <v>42975.889664351853</v>
      </c>
      <c r="G22" s="219">
        <v>903</v>
      </c>
      <c r="H22" s="219" t="s">
        <v>1404</v>
      </c>
      <c r="I22" s="218" t="s">
        <v>1444</v>
      </c>
      <c r="J22" s="219"/>
    </row>
    <row r="23" spans="1:10" ht="60" x14ac:dyDescent="0.25">
      <c r="A23" s="219">
        <v>332235</v>
      </c>
      <c r="B23" s="219" t="s">
        <v>702</v>
      </c>
      <c r="C23" s="219" t="s">
        <v>1442</v>
      </c>
      <c r="D23" s="219" t="s">
        <v>1436</v>
      </c>
      <c r="E23" s="219" t="s">
        <v>1429</v>
      </c>
      <c r="F23" s="220">
        <v>42975.636620370373</v>
      </c>
      <c r="G23" s="219">
        <v>1003</v>
      </c>
      <c r="H23" s="219" t="s">
        <v>1404</v>
      </c>
      <c r="I23" s="218" t="s">
        <v>1445</v>
      </c>
      <c r="J23" s="219"/>
    </row>
    <row r="24" spans="1:10" ht="60" x14ac:dyDescent="0.25">
      <c r="A24" s="219">
        <v>332234</v>
      </c>
      <c r="B24" s="219" t="s">
        <v>702</v>
      </c>
      <c r="C24" s="219" t="s">
        <v>1442</v>
      </c>
      <c r="D24" s="219" t="s">
        <v>1436</v>
      </c>
      <c r="E24" s="219" t="s">
        <v>1429</v>
      </c>
      <c r="F24" s="220">
        <v>42975.636620370373</v>
      </c>
      <c r="G24" s="219">
        <v>1003</v>
      </c>
      <c r="H24" s="219" t="s">
        <v>1404</v>
      </c>
      <c r="I24" s="218" t="s">
        <v>1446</v>
      </c>
      <c r="J24" s="219"/>
    </row>
    <row r="25" spans="1:10" ht="409.5" x14ac:dyDescent="0.25">
      <c r="A25" s="219">
        <v>332233</v>
      </c>
      <c r="B25" s="219" t="s">
        <v>702</v>
      </c>
      <c r="C25" s="219" t="s">
        <v>1442</v>
      </c>
      <c r="D25" s="219" t="s">
        <v>1436</v>
      </c>
      <c r="E25" s="219" t="s">
        <v>1429</v>
      </c>
      <c r="F25" s="220">
        <v>42975.636620370373</v>
      </c>
      <c r="G25" s="219">
        <v>1003</v>
      </c>
      <c r="H25" s="219" t="s">
        <v>1404</v>
      </c>
      <c r="I25" s="218" t="s">
        <v>1447</v>
      </c>
      <c r="J25" s="219"/>
    </row>
    <row r="26" spans="1:10" ht="60" x14ac:dyDescent="0.25">
      <c r="A26" s="219">
        <v>332232</v>
      </c>
      <c r="B26" s="219" t="s">
        <v>702</v>
      </c>
      <c r="C26" s="219" t="s">
        <v>1442</v>
      </c>
      <c r="D26" s="219" t="s">
        <v>1436</v>
      </c>
      <c r="E26" s="219" t="s">
        <v>1429</v>
      </c>
      <c r="F26" s="220">
        <v>42975.634062500001</v>
      </c>
      <c r="G26" s="219">
        <v>1003</v>
      </c>
      <c r="H26" s="219" t="s">
        <v>1404</v>
      </c>
      <c r="I26" s="218" t="s">
        <v>1445</v>
      </c>
      <c r="J26" s="219"/>
    </row>
    <row r="27" spans="1:10" ht="60" x14ac:dyDescent="0.25">
      <c r="A27" s="219">
        <v>332231</v>
      </c>
      <c r="B27" s="219" t="s">
        <v>702</v>
      </c>
      <c r="C27" s="219" t="s">
        <v>1442</v>
      </c>
      <c r="D27" s="219" t="s">
        <v>1436</v>
      </c>
      <c r="E27" s="219" t="s">
        <v>1429</v>
      </c>
      <c r="F27" s="220">
        <v>42975.634062500001</v>
      </c>
      <c r="G27" s="219">
        <v>1003</v>
      </c>
      <c r="H27" s="219" t="s">
        <v>1404</v>
      </c>
      <c r="I27" s="218" t="s">
        <v>1446</v>
      </c>
      <c r="J27" s="219"/>
    </row>
    <row r="28" spans="1:10" ht="409.5" x14ac:dyDescent="0.25">
      <c r="A28" s="219">
        <v>332230</v>
      </c>
      <c r="B28" s="219" t="s">
        <v>702</v>
      </c>
      <c r="C28" s="219" t="s">
        <v>1442</v>
      </c>
      <c r="D28" s="219" t="s">
        <v>1436</v>
      </c>
      <c r="E28" s="219" t="s">
        <v>1429</v>
      </c>
      <c r="F28" s="220">
        <v>42975.634062500001</v>
      </c>
      <c r="G28" s="219">
        <v>1003</v>
      </c>
      <c r="H28" s="219" t="s">
        <v>1404</v>
      </c>
      <c r="I28" s="218" t="s">
        <v>1447</v>
      </c>
      <c r="J28" s="219"/>
    </row>
    <row r="29" spans="1:10" ht="60" x14ac:dyDescent="0.25">
      <c r="A29" s="219">
        <v>332229</v>
      </c>
      <c r="B29" s="219" t="s">
        <v>702</v>
      </c>
      <c r="C29" s="219" t="s">
        <v>1442</v>
      </c>
      <c r="D29" s="219" t="s">
        <v>1436</v>
      </c>
      <c r="E29" s="219" t="s">
        <v>1429</v>
      </c>
      <c r="F29" s="220">
        <v>42975.632071759261</v>
      </c>
      <c r="G29" s="219">
        <v>1003</v>
      </c>
      <c r="H29" s="219" t="s">
        <v>1404</v>
      </c>
      <c r="I29" s="218" t="s">
        <v>1445</v>
      </c>
      <c r="J29" s="219"/>
    </row>
    <row r="30" spans="1:10" ht="60" x14ac:dyDescent="0.25">
      <c r="A30" s="219">
        <v>332228</v>
      </c>
      <c r="B30" s="219" t="s">
        <v>702</v>
      </c>
      <c r="C30" s="219" t="s">
        <v>1442</v>
      </c>
      <c r="D30" s="219" t="s">
        <v>1436</v>
      </c>
      <c r="E30" s="219" t="s">
        <v>1429</v>
      </c>
      <c r="F30" s="220">
        <v>42975.632071759261</v>
      </c>
      <c r="G30" s="219">
        <v>1003</v>
      </c>
      <c r="H30" s="219" t="s">
        <v>1404</v>
      </c>
      <c r="I30" s="218" t="s">
        <v>1446</v>
      </c>
      <c r="J30" s="219"/>
    </row>
    <row r="31" spans="1:10" ht="409.5" x14ac:dyDescent="0.25">
      <c r="A31" s="219">
        <v>332227</v>
      </c>
      <c r="B31" s="219" t="s">
        <v>702</v>
      </c>
      <c r="C31" s="219" t="s">
        <v>1442</v>
      </c>
      <c r="D31" s="219" t="s">
        <v>1436</v>
      </c>
      <c r="E31" s="219" t="s">
        <v>1429</v>
      </c>
      <c r="F31" s="220">
        <v>42975.632071759261</v>
      </c>
      <c r="G31" s="219">
        <v>1003</v>
      </c>
      <c r="H31" s="219" t="s">
        <v>1404</v>
      </c>
      <c r="I31" s="218" t="s">
        <v>1447</v>
      </c>
      <c r="J31" s="219"/>
    </row>
    <row r="32" spans="1:10" ht="60" x14ac:dyDescent="0.25">
      <c r="A32" s="219">
        <v>332226</v>
      </c>
      <c r="B32" s="219" t="s">
        <v>702</v>
      </c>
      <c r="C32" s="219" t="s">
        <v>1442</v>
      </c>
      <c r="D32" s="219" t="s">
        <v>1436</v>
      </c>
      <c r="E32" s="219" t="s">
        <v>1429</v>
      </c>
      <c r="F32" s="220">
        <v>42975.631527777776</v>
      </c>
      <c r="G32" s="219">
        <v>1003</v>
      </c>
      <c r="H32" s="219" t="s">
        <v>1404</v>
      </c>
      <c r="I32" s="218" t="s">
        <v>1445</v>
      </c>
      <c r="J32" s="219"/>
    </row>
    <row r="33" spans="1:10" ht="60" x14ac:dyDescent="0.25">
      <c r="A33" s="219">
        <v>332225</v>
      </c>
      <c r="B33" s="219" t="s">
        <v>702</v>
      </c>
      <c r="C33" s="219" t="s">
        <v>1442</v>
      </c>
      <c r="D33" s="219" t="s">
        <v>1436</v>
      </c>
      <c r="E33" s="219" t="s">
        <v>1429</v>
      </c>
      <c r="F33" s="220">
        <v>42975.631527777776</v>
      </c>
      <c r="G33" s="219">
        <v>1003</v>
      </c>
      <c r="H33" s="219" t="s">
        <v>1404</v>
      </c>
      <c r="I33" s="218" t="s">
        <v>1446</v>
      </c>
      <c r="J33" s="219"/>
    </row>
    <row r="34" spans="1:10" ht="409.5" x14ac:dyDescent="0.25">
      <c r="A34" s="219">
        <v>332224</v>
      </c>
      <c r="B34" s="219" t="s">
        <v>702</v>
      </c>
      <c r="C34" s="219" t="s">
        <v>1442</v>
      </c>
      <c r="D34" s="219" t="s">
        <v>1436</v>
      </c>
      <c r="E34" s="219" t="s">
        <v>1429</v>
      </c>
      <c r="F34" s="220">
        <v>42975.631527777776</v>
      </c>
      <c r="G34" s="219">
        <v>1003</v>
      </c>
      <c r="H34" s="219" t="s">
        <v>1404</v>
      </c>
      <c r="I34" s="218" t="s">
        <v>1447</v>
      </c>
      <c r="J34" s="219"/>
    </row>
    <row r="35" spans="1:10" ht="60" x14ac:dyDescent="0.25">
      <c r="A35" s="219">
        <v>332223</v>
      </c>
      <c r="B35" s="219" t="s">
        <v>702</v>
      </c>
      <c r="C35" s="219" t="s">
        <v>1442</v>
      </c>
      <c r="D35" s="219" t="s">
        <v>1436</v>
      </c>
      <c r="E35" s="219" t="s">
        <v>1429</v>
      </c>
      <c r="F35" s="220">
        <v>42975.63113425926</v>
      </c>
      <c r="G35" s="219">
        <v>1003</v>
      </c>
      <c r="H35" s="219" t="s">
        <v>1404</v>
      </c>
      <c r="I35" s="218" t="s">
        <v>1445</v>
      </c>
      <c r="J35" s="219"/>
    </row>
    <row r="36" spans="1:10" ht="60" x14ac:dyDescent="0.25">
      <c r="A36" s="219">
        <v>332222</v>
      </c>
      <c r="B36" s="219" t="s">
        <v>702</v>
      </c>
      <c r="C36" s="219" t="s">
        <v>1442</v>
      </c>
      <c r="D36" s="219" t="s">
        <v>1436</v>
      </c>
      <c r="E36" s="219" t="s">
        <v>1429</v>
      </c>
      <c r="F36" s="220">
        <v>42975.63113425926</v>
      </c>
      <c r="G36" s="219">
        <v>1003</v>
      </c>
      <c r="H36" s="219" t="s">
        <v>1404</v>
      </c>
      <c r="I36" s="218" t="s">
        <v>1446</v>
      </c>
      <c r="J36" s="219"/>
    </row>
    <row r="37" spans="1:10" ht="409.5" x14ac:dyDescent="0.25">
      <c r="A37" s="219">
        <v>332221</v>
      </c>
      <c r="B37" s="219" t="s">
        <v>702</v>
      </c>
      <c r="C37" s="219" t="s">
        <v>1442</v>
      </c>
      <c r="D37" s="219" t="s">
        <v>1436</v>
      </c>
      <c r="E37" s="219" t="s">
        <v>1429</v>
      </c>
      <c r="F37" s="220">
        <v>42975.63113425926</v>
      </c>
      <c r="G37" s="219">
        <v>1003</v>
      </c>
      <c r="H37" s="219" t="s">
        <v>1404</v>
      </c>
      <c r="I37" s="218" t="s">
        <v>1447</v>
      </c>
      <c r="J37" s="219"/>
    </row>
    <row r="38" spans="1:10" ht="30" x14ac:dyDescent="0.25">
      <c r="A38" s="219">
        <v>332220</v>
      </c>
      <c r="B38" s="219" t="s">
        <v>702</v>
      </c>
      <c r="C38" s="219" t="s">
        <v>1448</v>
      </c>
      <c r="D38" s="219" t="s">
        <v>1436</v>
      </c>
      <c r="E38" s="219" t="s">
        <v>1429</v>
      </c>
      <c r="F38" s="220">
        <v>42975.630810185183</v>
      </c>
      <c r="G38" s="219">
        <v>32</v>
      </c>
      <c r="H38" s="219" t="s">
        <v>1404</v>
      </c>
      <c r="I38" s="218" t="s">
        <v>1449</v>
      </c>
      <c r="J38" s="219"/>
    </row>
    <row r="39" spans="1:10" ht="30" x14ac:dyDescent="0.25">
      <c r="A39" s="219">
        <v>332219</v>
      </c>
      <c r="B39" s="219" t="s">
        <v>702</v>
      </c>
      <c r="C39" s="219" t="s">
        <v>1448</v>
      </c>
      <c r="D39" s="219" t="s">
        <v>1436</v>
      </c>
      <c r="E39" s="219" t="s">
        <v>1429</v>
      </c>
      <c r="F39" s="220">
        <v>42975.630810185183</v>
      </c>
      <c r="G39" s="219">
        <v>32</v>
      </c>
      <c r="H39" s="219" t="s">
        <v>1404</v>
      </c>
      <c r="I39" s="218" t="s">
        <v>1450</v>
      </c>
      <c r="J39" s="219"/>
    </row>
    <row r="40" spans="1:10" ht="60" x14ac:dyDescent="0.25">
      <c r="A40" s="219">
        <v>332218</v>
      </c>
      <c r="B40" s="219" t="s">
        <v>702</v>
      </c>
      <c r="C40" s="219" t="s">
        <v>1442</v>
      </c>
      <c r="D40" s="219" t="s">
        <v>1436</v>
      </c>
      <c r="E40" s="219" t="s">
        <v>1429</v>
      </c>
      <c r="F40" s="220">
        <v>42975.617696759262</v>
      </c>
      <c r="G40" s="219">
        <v>1003</v>
      </c>
      <c r="H40" s="219" t="s">
        <v>1404</v>
      </c>
      <c r="I40" s="218" t="s">
        <v>1445</v>
      </c>
      <c r="J40" s="219"/>
    </row>
    <row r="41" spans="1:10" ht="60" x14ac:dyDescent="0.25">
      <c r="A41" s="219">
        <v>332217</v>
      </c>
      <c r="B41" s="219" t="s">
        <v>702</v>
      </c>
      <c r="C41" s="219" t="s">
        <v>1442</v>
      </c>
      <c r="D41" s="219" t="s">
        <v>1436</v>
      </c>
      <c r="E41" s="219" t="s">
        <v>1429</v>
      </c>
      <c r="F41" s="220">
        <v>42975.617696759262</v>
      </c>
      <c r="G41" s="219">
        <v>1003</v>
      </c>
      <c r="H41" s="219" t="s">
        <v>1404</v>
      </c>
      <c r="I41" s="218" t="s">
        <v>1446</v>
      </c>
      <c r="J41" s="219"/>
    </row>
    <row r="42" spans="1:10" ht="409.5" x14ac:dyDescent="0.25">
      <c r="A42" s="219">
        <v>332216</v>
      </c>
      <c r="B42" s="219" t="s">
        <v>702</v>
      </c>
      <c r="C42" s="219" t="s">
        <v>1442</v>
      </c>
      <c r="D42" s="219" t="s">
        <v>1436</v>
      </c>
      <c r="E42" s="219" t="s">
        <v>1429</v>
      </c>
      <c r="F42" s="220">
        <v>42975.617696759262</v>
      </c>
      <c r="G42" s="219">
        <v>1003</v>
      </c>
      <c r="H42" s="219" t="s">
        <v>1404</v>
      </c>
      <c r="I42" s="218" t="s">
        <v>1447</v>
      </c>
      <c r="J42" s="219"/>
    </row>
    <row r="43" spans="1:10" ht="60" x14ac:dyDescent="0.25">
      <c r="A43" s="219">
        <v>332215</v>
      </c>
      <c r="B43" s="219" t="s">
        <v>702</v>
      </c>
      <c r="C43" s="219" t="s">
        <v>1442</v>
      </c>
      <c r="D43" s="219" t="s">
        <v>1436</v>
      </c>
      <c r="E43" s="219" t="s">
        <v>1429</v>
      </c>
      <c r="F43" s="220">
        <v>42975.585069444445</v>
      </c>
      <c r="G43" s="219">
        <v>1003</v>
      </c>
      <c r="H43" s="219" t="s">
        <v>1404</v>
      </c>
      <c r="I43" s="218" t="s">
        <v>1445</v>
      </c>
      <c r="J43" s="219"/>
    </row>
    <row r="44" spans="1:10" ht="60" x14ac:dyDescent="0.25">
      <c r="A44" s="219">
        <v>332214</v>
      </c>
      <c r="B44" s="219" t="s">
        <v>702</v>
      </c>
      <c r="C44" s="219" t="s">
        <v>1442</v>
      </c>
      <c r="D44" s="219" t="s">
        <v>1436</v>
      </c>
      <c r="E44" s="219" t="s">
        <v>1429</v>
      </c>
      <c r="F44" s="220">
        <v>42975.585069444445</v>
      </c>
      <c r="G44" s="219">
        <v>1003</v>
      </c>
      <c r="H44" s="219" t="s">
        <v>1404</v>
      </c>
      <c r="I44" s="218" t="s">
        <v>1446</v>
      </c>
      <c r="J44" s="219"/>
    </row>
    <row r="45" spans="1:10" ht="409.5" x14ac:dyDescent="0.25">
      <c r="A45" s="219">
        <v>332213</v>
      </c>
      <c r="B45" s="219" t="s">
        <v>702</v>
      </c>
      <c r="C45" s="219" t="s">
        <v>1442</v>
      </c>
      <c r="D45" s="219" t="s">
        <v>1436</v>
      </c>
      <c r="E45" s="219" t="s">
        <v>1429</v>
      </c>
      <c r="F45" s="220">
        <v>42975.585069444445</v>
      </c>
      <c r="G45" s="219">
        <v>1003</v>
      </c>
      <c r="H45" s="219" t="s">
        <v>1404</v>
      </c>
      <c r="I45" s="218" t="s">
        <v>1447</v>
      </c>
      <c r="J45" s="219"/>
    </row>
    <row r="46" spans="1:10" ht="60" x14ac:dyDescent="0.25">
      <c r="A46" s="219">
        <v>332212</v>
      </c>
      <c r="B46" s="219" t="s">
        <v>702</v>
      </c>
      <c r="C46" s="219" t="s">
        <v>1442</v>
      </c>
      <c r="D46" s="219" t="s">
        <v>1436</v>
      </c>
      <c r="E46" s="219" t="s">
        <v>1429</v>
      </c>
      <c r="F46" s="220">
        <v>42975.56355324074</v>
      </c>
      <c r="G46" s="219">
        <v>1003</v>
      </c>
      <c r="H46" s="219" t="s">
        <v>1404</v>
      </c>
      <c r="I46" s="218" t="s">
        <v>1445</v>
      </c>
      <c r="J46" s="219"/>
    </row>
    <row r="47" spans="1:10" ht="60" x14ac:dyDescent="0.25">
      <c r="A47" s="219">
        <v>332211</v>
      </c>
      <c r="B47" s="219" t="s">
        <v>702</v>
      </c>
      <c r="C47" s="219" t="s">
        <v>1442</v>
      </c>
      <c r="D47" s="219" t="s">
        <v>1436</v>
      </c>
      <c r="E47" s="219" t="s">
        <v>1429</v>
      </c>
      <c r="F47" s="220">
        <v>42975.56355324074</v>
      </c>
      <c r="G47" s="219">
        <v>1003</v>
      </c>
      <c r="H47" s="219" t="s">
        <v>1404</v>
      </c>
      <c r="I47" s="218" t="s">
        <v>1446</v>
      </c>
      <c r="J47" s="219"/>
    </row>
    <row r="48" spans="1:10" ht="409.5" x14ac:dyDescent="0.25">
      <c r="A48" s="219">
        <v>332210</v>
      </c>
      <c r="B48" s="219" t="s">
        <v>702</v>
      </c>
      <c r="C48" s="219" t="s">
        <v>1442</v>
      </c>
      <c r="D48" s="219" t="s">
        <v>1436</v>
      </c>
      <c r="E48" s="219" t="s">
        <v>1429</v>
      </c>
      <c r="F48" s="220">
        <v>42975.56355324074</v>
      </c>
      <c r="G48" s="219">
        <v>1003</v>
      </c>
      <c r="H48" s="219" t="s">
        <v>1404</v>
      </c>
      <c r="I48" s="218" t="s">
        <v>1447</v>
      </c>
      <c r="J48" s="219"/>
    </row>
    <row r="49" spans="1:10" ht="45" x14ac:dyDescent="0.25">
      <c r="A49" s="219">
        <v>332209</v>
      </c>
      <c r="B49" s="219" t="s">
        <v>702</v>
      </c>
      <c r="C49" s="219" t="s">
        <v>1448</v>
      </c>
      <c r="D49" s="219" t="s">
        <v>1436</v>
      </c>
      <c r="E49" s="219" t="s">
        <v>1429</v>
      </c>
      <c r="F49" s="220">
        <v>42975.552175925928</v>
      </c>
      <c r="G49" s="219">
        <v>38</v>
      </c>
      <c r="H49" s="219" t="s">
        <v>1404</v>
      </c>
      <c r="I49" s="218" t="s">
        <v>1451</v>
      </c>
      <c r="J49" s="219"/>
    </row>
    <row r="50" spans="1:10" ht="60" x14ac:dyDescent="0.25">
      <c r="A50" s="219">
        <v>332208</v>
      </c>
      <c r="B50" s="219" t="s">
        <v>702</v>
      </c>
      <c r="C50" s="219" t="s">
        <v>1448</v>
      </c>
      <c r="D50" s="219" t="s">
        <v>1436</v>
      </c>
      <c r="E50" s="219" t="s">
        <v>1429</v>
      </c>
      <c r="F50" s="220">
        <v>42975.550798611112</v>
      </c>
      <c r="G50" s="219">
        <v>38</v>
      </c>
      <c r="H50" s="219" t="s">
        <v>1404</v>
      </c>
      <c r="I50" s="218" t="s">
        <v>1452</v>
      </c>
      <c r="J50" s="219"/>
    </row>
    <row r="51" spans="1:10" ht="30" x14ac:dyDescent="0.25">
      <c r="A51" s="219">
        <v>332207</v>
      </c>
      <c r="B51" s="219" t="s">
        <v>702</v>
      </c>
      <c r="C51" s="219" t="s">
        <v>1448</v>
      </c>
      <c r="D51" s="219" t="s">
        <v>1436</v>
      </c>
      <c r="E51" s="219" t="s">
        <v>1429</v>
      </c>
      <c r="F51" s="220">
        <v>42975.548726851855</v>
      </c>
      <c r="G51" s="219">
        <v>30</v>
      </c>
      <c r="H51" s="219" t="s">
        <v>1404</v>
      </c>
      <c r="I51" s="218" t="s">
        <v>1453</v>
      </c>
      <c r="J51" s="219"/>
    </row>
    <row r="52" spans="1:10" ht="45" x14ac:dyDescent="0.25">
      <c r="A52" s="219">
        <v>332206</v>
      </c>
      <c r="B52" s="219" t="s">
        <v>702</v>
      </c>
      <c r="C52" s="219" t="s">
        <v>1448</v>
      </c>
      <c r="D52" s="219" t="s">
        <v>1436</v>
      </c>
      <c r="E52" s="219" t="s">
        <v>1429</v>
      </c>
      <c r="F52" s="220">
        <v>42975.548726851855</v>
      </c>
      <c r="G52" s="219">
        <v>30</v>
      </c>
      <c r="H52" s="219" t="s">
        <v>1404</v>
      </c>
      <c r="I52" s="218" t="s">
        <v>1454</v>
      </c>
      <c r="J52" s="219"/>
    </row>
    <row r="53" spans="1:10" ht="60" x14ac:dyDescent="0.25">
      <c r="A53" s="219">
        <v>332205</v>
      </c>
      <c r="B53" s="219" t="s">
        <v>702</v>
      </c>
      <c r="C53" s="219" t="s">
        <v>1442</v>
      </c>
      <c r="D53" s="219" t="s">
        <v>1436</v>
      </c>
      <c r="E53" s="219" t="s">
        <v>1429</v>
      </c>
      <c r="F53" s="220">
        <v>42975.528043981481</v>
      </c>
      <c r="G53" s="219">
        <v>1003</v>
      </c>
      <c r="H53" s="219" t="s">
        <v>1404</v>
      </c>
      <c r="I53" s="218" t="s">
        <v>1445</v>
      </c>
      <c r="J53" s="219"/>
    </row>
    <row r="54" spans="1:10" ht="60" x14ac:dyDescent="0.25">
      <c r="A54" s="219">
        <v>332204</v>
      </c>
      <c r="B54" s="219" t="s">
        <v>702</v>
      </c>
      <c r="C54" s="219" t="s">
        <v>1442</v>
      </c>
      <c r="D54" s="219" t="s">
        <v>1436</v>
      </c>
      <c r="E54" s="219" t="s">
        <v>1429</v>
      </c>
      <c r="F54" s="220">
        <v>42975.528043981481</v>
      </c>
      <c r="G54" s="219">
        <v>1003</v>
      </c>
      <c r="H54" s="219" t="s">
        <v>1404</v>
      </c>
      <c r="I54" s="218" t="s">
        <v>1446</v>
      </c>
      <c r="J54" s="219"/>
    </row>
    <row r="55" spans="1:10" ht="409.5" x14ac:dyDescent="0.25">
      <c r="A55" s="219">
        <v>332203</v>
      </c>
      <c r="B55" s="219" t="s">
        <v>702</v>
      </c>
      <c r="C55" s="219" t="s">
        <v>1442</v>
      </c>
      <c r="D55" s="219" t="s">
        <v>1436</v>
      </c>
      <c r="E55" s="219" t="s">
        <v>1429</v>
      </c>
      <c r="F55" s="220">
        <v>42975.528043981481</v>
      </c>
      <c r="G55" s="219">
        <v>1003</v>
      </c>
      <c r="H55" s="219" t="s">
        <v>1404</v>
      </c>
      <c r="I55" s="218" t="s">
        <v>1447</v>
      </c>
      <c r="J55" s="219"/>
    </row>
    <row r="56" spans="1:10" ht="60" x14ac:dyDescent="0.25">
      <c r="A56" s="219">
        <v>332202</v>
      </c>
      <c r="B56" s="219" t="s">
        <v>702</v>
      </c>
      <c r="C56" s="219" t="s">
        <v>1442</v>
      </c>
      <c r="D56" s="219" t="s">
        <v>1436</v>
      </c>
      <c r="E56" s="219" t="s">
        <v>1429</v>
      </c>
      <c r="F56" s="220">
        <v>42975.523715277777</v>
      </c>
      <c r="G56" s="219">
        <v>1003</v>
      </c>
      <c r="H56" s="219" t="s">
        <v>1404</v>
      </c>
      <c r="I56" s="218" t="s">
        <v>1445</v>
      </c>
      <c r="J56" s="219"/>
    </row>
    <row r="57" spans="1:10" ht="60" x14ac:dyDescent="0.25">
      <c r="A57" s="219">
        <v>332201</v>
      </c>
      <c r="B57" s="219" t="s">
        <v>702</v>
      </c>
      <c r="C57" s="219" t="s">
        <v>1442</v>
      </c>
      <c r="D57" s="219" t="s">
        <v>1436</v>
      </c>
      <c r="E57" s="219" t="s">
        <v>1429</v>
      </c>
      <c r="F57" s="220">
        <v>42975.5237037037</v>
      </c>
      <c r="G57" s="219">
        <v>1003</v>
      </c>
      <c r="H57" s="219" t="s">
        <v>1404</v>
      </c>
      <c r="I57" s="218" t="s">
        <v>1446</v>
      </c>
      <c r="J57" s="219"/>
    </row>
    <row r="58" spans="1:10" ht="409.5" x14ac:dyDescent="0.25">
      <c r="A58" s="219">
        <v>332200</v>
      </c>
      <c r="B58" s="219" t="s">
        <v>702</v>
      </c>
      <c r="C58" s="219" t="s">
        <v>1442</v>
      </c>
      <c r="D58" s="219" t="s">
        <v>1436</v>
      </c>
      <c r="E58" s="219" t="s">
        <v>1429</v>
      </c>
      <c r="F58" s="220">
        <v>42975.5237037037</v>
      </c>
      <c r="G58" s="219">
        <v>1003</v>
      </c>
      <c r="H58" s="219" t="s">
        <v>1404</v>
      </c>
      <c r="I58" s="218" t="s">
        <v>1447</v>
      </c>
      <c r="J58" s="219"/>
    </row>
    <row r="59" spans="1:10" ht="135" x14ac:dyDescent="0.25">
      <c r="A59" s="219">
        <v>332199</v>
      </c>
      <c r="B59" s="219" t="s">
        <v>702</v>
      </c>
      <c r="C59" s="219" t="s">
        <v>1427</v>
      </c>
      <c r="D59" s="219" t="s">
        <v>1428</v>
      </c>
      <c r="E59" s="219" t="s">
        <v>1429</v>
      </c>
      <c r="F59" s="220">
        <v>42975.504479166666</v>
      </c>
      <c r="G59" s="219">
        <v>0</v>
      </c>
      <c r="H59" s="219" t="s">
        <v>1404</v>
      </c>
      <c r="I59" s="218" t="s">
        <v>1430</v>
      </c>
      <c r="J59" s="219"/>
    </row>
    <row r="60" spans="1:10" ht="409.5" x14ac:dyDescent="0.25">
      <c r="A60" s="219">
        <v>332198</v>
      </c>
      <c r="B60" s="219" t="s">
        <v>702</v>
      </c>
      <c r="C60" s="219" t="s">
        <v>1427</v>
      </c>
      <c r="D60" s="219" t="s">
        <v>1428</v>
      </c>
      <c r="E60" s="219" t="s">
        <v>1429</v>
      </c>
      <c r="F60" s="220">
        <v>42975.50439814815</v>
      </c>
      <c r="G60" s="219">
        <v>0</v>
      </c>
      <c r="H60" s="219" t="s">
        <v>1404</v>
      </c>
      <c r="I60" s="218" t="s">
        <v>1455</v>
      </c>
      <c r="J60" s="219"/>
    </row>
    <row r="61" spans="1:10" ht="240" x14ac:dyDescent="0.25">
      <c r="A61" s="219">
        <v>332197</v>
      </c>
      <c r="B61" s="219" t="s">
        <v>702</v>
      </c>
      <c r="C61" s="219" t="s">
        <v>1427</v>
      </c>
      <c r="D61" s="219" t="s">
        <v>1428</v>
      </c>
      <c r="E61" s="219" t="s">
        <v>1429</v>
      </c>
      <c r="F61" s="220">
        <v>42975.50439814815</v>
      </c>
      <c r="G61" s="219">
        <v>0</v>
      </c>
      <c r="H61" s="219" t="s">
        <v>1404</v>
      </c>
      <c r="I61" s="218" t="s">
        <v>1432</v>
      </c>
      <c r="J61" s="219"/>
    </row>
    <row r="62" spans="1:10" ht="345" x14ac:dyDescent="0.25">
      <c r="A62" s="219">
        <v>332196</v>
      </c>
      <c r="B62" s="219" t="s">
        <v>702</v>
      </c>
      <c r="C62" s="219" t="s">
        <v>1427</v>
      </c>
      <c r="D62" s="219" t="s">
        <v>1428</v>
      </c>
      <c r="E62" s="219" t="s">
        <v>1429</v>
      </c>
      <c r="F62" s="220">
        <v>42975.504386574074</v>
      </c>
      <c r="G62" s="219">
        <v>0</v>
      </c>
      <c r="H62" s="219" t="s">
        <v>1404</v>
      </c>
      <c r="I62" s="218" t="s">
        <v>1440</v>
      </c>
      <c r="J62" s="219"/>
    </row>
    <row r="63" spans="1:10" ht="225" x14ac:dyDescent="0.25">
      <c r="A63" s="219">
        <v>332195</v>
      </c>
      <c r="B63" s="219" t="s">
        <v>702</v>
      </c>
      <c r="C63" s="219" t="s">
        <v>1427</v>
      </c>
      <c r="D63" s="219" t="s">
        <v>1428</v>
      </c>
      <c r="E63" s="219" t="s">
        <v>1429</v>
      </c>
      <c r="F63" s="220">
        <v>42975.504386574074</v>
      </c>
      <c r="G63" s="219">
        <v>0</v>
      </c>
      <c r="H63" s="219" t="s">
        <v>1404</v>
      </c>
      <c r="I63" s="218" t="s">
        <v>1435</v>
      </c>
      <c r="J63" s="219"/>
    </row>
    <row r="64" spans="1:10" ht="60" x14ac:dyDescent="0.25">
      <c r="A64" s="219">
        <v>332194</v>
      </c>
      <c r="B64" s="219" t="s">
        <v>702</v>
      </c>
      <c r="C64" s="219" t="s">
        <v>1427</v>
      </c>
      <c r="D64" s="219" t="s">
        <v>1436</v>
      </c>
      <c r="E64" s="219" t="s">
        <v>1429</v>
      </c>
      <c r="F64" s="220">
        <v>42975.504374999997</v>
      </c>
      <c r="G64" s="219">
        <v>0</v>
      </c>
      <c r="H64" s="219" t="s">
        <v>1404</v>
      </c>
      <c r="I64" s="218" t="s">
        <v>1456</v>
      </c>
      <c r="J64" s="219"/>
    </row>
    <row r="65" spans="1:10" ht="30" x14ac:dyDescent="0.25">
      <c r="A65" s="219">
        <v>332193</v>
      </c>
      <c r="B65" s="219" t="s">
        <v>702</v>
      </c>
      <c r="C65" s="219" t="s">
        <v>1448</v>
      </c>
      <c r="D65" s="219" t="s">
        <v>1436</v>
      </c>
      <c r="E65" s="219" t="s">
        <v>1429</v>
      </c>
      <c r="F65" s="220">
        <v>42975.447118055556</v>
      </c>
      <c r="G65" s="219">
        <v>32</v>
      </c>
      <c r="H65" s="219" t="s">
        <v>1404</v>
      </c>
      <c r="I65" s="218" t="s">
        <v>1450</v>
      </c>
      <c r="J65" s="219"/>
    </row>
    <row r="66" spans="1:10" ht="30" x14ac:dyDescent="0.25">
      <c r="A66" s="219">
        <v>332192</v>
      </c>
      <c r="B66" s="219" t="s">
        <v>702</v>
      </c>
      <c r="C66" s="219" t="s">
        <v>1448</v>
      </c>
      <c r="D66" s="219" t="s">
        <v>1436</v>
      </c>
      <c r="E66" s="219" t="s">
        <v>1429</v>
      </c>
      <c r="F66" s="220">
        <v>42975.447118055556</v>
      </c>
      <c r="G66" s="219">
        <v>32</v>
      </c>
      <c r="H66" s="219" t="s">
        <v>1404</v>
      </c>
      <c r="I66" s="218" t="s">
        <v>1449</v>
      </c>
      <c r="J66" s="219"/>
    </row>
    <row r="67" spans="1:10" ht="60" x14ac:dyDescent="0.25">
      <c r="A67" s="219">
        <v>332191</v>
      </c>
      <c r="B67" s="219" t="s">
        <v>702</v>
      </c>
      <c r="C67" s="219" t="s">
        <v>1442</v>
      </c>
      <c r="D67" s="219" t="s">
        <v>1436</v>
      </c>
      <c r="E67" s="219" t="s">
        <v>1429</v>
      </c>
      <c r="F67" s="220">
        <v>42975.447094907409</v>
      </c>
      <c r="G67" s="219">
        <v>1003</v>
      </c>
      <c r="H67" s="219" t="s">
        <v>1404</v>
      </c>
      <c r="I67" s="218" t="s">
        <v>1445</v>
      </c>
      <c r="J67" s="219"/>
    </row>
    <row r="68" spans="1:10" ht="60" x14ac:dyDescent="0.25">
      <c r="A68" s="219">
        <v>332190</v>
      </c>
      <c r="B68" s="219" t="s">
        <v>702</v>
      </c>
      <c r="C68" s="219" t="s">
        <v>1442</v>
      </c>
      <c r="D68" s="219" t="s">
        <v>1436</v>
      </c>
      <c r="E68" s="219" t="s">
        <v>1429</v>
      </c>
      <c r="F68" s="220">
        <v>42975.447094907409</v>
      </c>
      <c r="G68" s="219">
        <v>1003</v>
      </c>
      <c r="H68" s="219" t="s">
        <v>1404</v>
      </c>
      <c r="I68" s="218" t="s">
        <v>1446</v>
      </c>
      <c r="J68" s="219"/>
    </row>
    <row r="69" spans="1:10" ht="409.5" x14ac:dyDescent="0.25">
      <c r="A69" s="219">
        <v>332189</v>
      </c>
      <c r="B69" s="219" t="s">
        <v>702</v>
      </c>
      <c r="C69" s="219" t="s">
        <v>1442</v>
      </c>
      <c r="D69" s="219" t="s">
        <v>1436</v>
      </c>
      <c r="E69" s="219" t="s">
        <v>1429</v>
      </c>
      <c r="F69" s="220">
        <v>42975.447094907409</v>
      </c>
      <c r="G69" s="219">
        <v>1003</v>
      </c>
      <c r="H69" s="219" t="s">
        <v>1404</v>
      </c>
      <c r="I69" s="218" t="s">
        <v>1447</v>
      </c>
      <c r="J69" s="219"/>
    </row>
    <row r="70" spans="1:10" x14ac:dyDescent="0.25">
      <c r="A70" s="219">
        <v>332188</v>
      </c>
      <c r="B70" s="219" t="s">
        <v>702</v>
      </c>
      <c r="C70" s="219" t="s">
        <v>1442</v>
      </c>
      <c r="D70" s="219" t="s">
        <v>1443</v>
      </c>
      <c r="E70" s="219" t="s">
        <v>1429</v>
      </c>
      <c r="F70" s="220">
        <v>42975.447083333333</v>
      </c>
      <c r="G70" s="219">
        <v>902</v>
      </c>
      <c r="H70" s="219" t="s">
        <v>1404</v>
      </c>
      <c r="I70" s="218" t="s">
        <v>1457</v>
      </c>
      <c r="J70" s="219"/>
    </row>
    <row r="71" spans="1:10" ht="165" x14ac:dyDescent="0.25">
      <c r="A71" s="219">
        <v>332187</v>
      </c>
      <c r="B71" s="219" t="s">
        <v>702</v>
      </c>
      <c r="C71" s="219" t="s">
        <v>1442</v>
      </c>
      <c r="D71" s="219" t="s">
        <v>1436</v>
      </c>
      <c r="E71" s="219" t="s">
        <v>1429</v>
      </c>
      <c r="F71" s="220">
        <v>42975.447083333333</v>
      </c>
      <c r="G71" s="219">
        <v>1066</v>
      </c>
      <c r="H71" s="219" t="s">
        <v>1404</v>
      </c>
      <c r="I71" s="218" t="s">
        <v>1458</v>
      </c>
      <c r="J71" s="219"/>
    </row>
    <row r="72" spans="1:10" ht="135" x14ac:dyDescent="0.25">
      <c r="A72" s="219">
        <v>332186</v>
      </c>
      <c r="B72" s="219" t="s">
        <v>702</v>
      </c>
      <c r="C72" s="219" t="s">
        <v>1448</v>
      </c>
      <c r="D72" s="219" t="s">
        <v>1436</v>
      </c>
      <c r="E72" s="219" t="s">
        <v>1429</v>
      </c>
      <c r="F72" s="220">
        <v>42975.447083333333</v>
      </c>
      <c r="G72" s="219">
        <v>45</v>
      </c>
      <c r="H72" s="219" t="s">
        <v>1404</v>
      </c>
      <c r="I72" s="218" t="s">
        <v>1459</v>
      </c>
      <c r="J72" s="219"/>
    </row>
    <row r="73" spans="1:10" x14ac:dyDescent="0.25">
      <c r="A73" s="219">
        <v>332185</v>
      </c>
      <c r="B73" s="219" t="s">
        <v>702</v>
      </c>
      <c r="C73" s="219" t="s">
        <v>1442</v>
      </c>
      <c r="D73" s="219" t="s">
        <v>1436</v>
      </c>
      <c r="E73" s="219" t="s">
        <v>1429</v>
      </c>
      <c r="F73" s="220">
        <v>42975.447071759256</v>
      </c>
      <c r="G73" s="219">
        <v>900</v>
      </c>
      <c r="H73" s="219" t="s">
        <v>1404</v>
      </c>
      <c r="I73" s="218" t="s">
        <v>1460</v>
      </c>
      <c r="J73" s="219"/>
    </row>
    <row r="74" spans="1:10" ht="150" x14ac:dyDescent="0.25">
      <c r="A74" s="219">
        <v>332184</v>
      </c>
      <c r="B74" s="219" t="s">
        <v>702</v>
      </c>
      <c r="C74" s="219" t="s">
        <v>1461</v>
      </c>
      <c r="D74" s="219" t="s">
        <v>1436</v>
      </c>
      <c r="E74" s="219" t="s">
        <v>1429</v>
      </c>
      <c r="F74" s="220">
        <v>42975.197662037041</v>
      </c>
      <c r="G74" s="219">
        <v>1001</v>
      </c>
      <c r="H74" s="219" t="s">
        <v>1404</v>
      </c>
      <c r="I74" s="218" t="s">
        <v>1462</v>
      </c>
      <c r="J74" s="219"/>
    </row>
    <row r="75" spans="1:10" ht="135" x14ac:dyDescent="0.25">
      <c r="A75" s="219">
        <v>332183</v>
      </c>
      <c r="B75" s="219" t="s">
        <v>702</v>
      </c>
      <c r="C75" s="219" t="s">
        <v>1461</v>
      </c>
      <c r="D75" s="219" t="s">
        <v>1436</v>
      </c>
      <c r="E75" s="219" t="s">
        <v>1429</v>
      </c>
      <c r="F75" s="220">
        <v>42975.197638888887</v>
      </c>
      <c r="G75" s="219">
        <v>1001</v>
      </c>
      <c r="H75" s="219" t="s">
        <v>1404</v>
      </c>
      <c r="I75" s="218" t="s">
        <v>1463</v>
      </c>
      <c r="J75" s="219"/>
    </row>
    <row r="76" spans="1:10" ht="105" x14ac:dyDescent="0.25">
      <c r="A76" s="219">
        <v>332182</v>
      </c>
      <c r="B76" s="219" t="s">
        <v>702</v>
      </c>
      <c r="C76" s="219" t="s">
        <v>1461</v>
      </c>
      <c r="D76" s="219" t="s">
        <v>1436</v>
      </c>
      <c r="E76" s="219" t="s">
        <v>1429</v>
      </c>
      <c r="F76" s="220">
        <v>42975.197627314818</v>
      </c>
      <c r="G76" s="219">
        <v>1001</v>
      </c>
      <c r="H76" s="219" t="s">
        <v>1404</v>
      </c>
      <c r="I76" s="218" t="s">
        <v>1464</v>
      </c>
      <c r="J76" s="219"/>
    </row>
    <row r="77" spans="1:10" x14ac:dyDescent="0.25">
      <c r="A77" s="219">
        <v>332181</v>
      </c>
      <c r="B77" s="219" t="s">
        <v>702</v>
      </c>
      <c r="C77" s="219" t="s">
        <v>1465</v>
      </c>
      <c r="D77" s="219" t="s">
        <v>1436</v>
      </c>
      <c r="E77" s="219" t="s">
        <v>1429</v>
      </c>
      <c r="F77" s="220">
        <v>42975.006898148145</v>
      </c>
      <c r="G77" s="219">
        <v>8224</v>
      </c>
      <c r="H77" s="219" t="s">
        <v>1404</v>
      </c>
      <c r="I77" s="218" t="s">
        <v>1466</v>
      </c>
      <c r="J77" s="219"/>
    </row>
  </sheetData>
  <conditionalFormatting sqref="A2:I2">
    <cfRule type="expression" dxfId="237" priority="5">
      <formula>$D2="ERROR"</formula>
    </cfRule>
    <cfRule type="expression" dxfId="236" priority="6">
      <formula>$D2="WARNING"</formula>
    </cfRule>
  </conditionalFormatting>
  <conditionalFormatting sqref="J3:J77">
    <cfRule type="expression" dxfId="235" priority="3">
      <formula>$D3="ERROR"</formula>
    </cfRule>
    <cfRule type="expression" dxfId="234" priority="4">
      <formula>$D3="WARNING"</formula>
    </cfRule>
  </conditionalFormatting>
  <conditionalFormatting sqref="A3:I77">
    <cfRule type="expression" dxfId="233" priority="1">
      <formula>$D3="ERROR"</formula>
    </cfRule>
    <cfRule type="expression" dxfId="232" priority="2">
      <formula>$D3="WARNING"</formula>
    </cfRule>
  </conditionalFormatting>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CC"/>
  </sheetPr>
  <dimension ref="A1:E37"/>
  <sheetViews>
    <sheetView topLeftCell="E1" workbookViewId="0">
      <pane ySplit="1" topLeftCell="A2" activePane="bottomLeft" state="frozen"/>
      <selection pane="bottomLeft" activeCell="J11" sqref="J11"/>
    </sheetView>
  </sheetViews>
  <sheetFormatPr defaultRowHeight="15" x14ac:dyDescent="0.25"/>
  <cols>
    <col min="1" max="1" width="150.75" bestFit="1" customWidth="1"/>
    <col min="2" max="2" width="10.375" bestFit="1" customWidth="1"/>
    <col min="3" max="3" width="9.875" bestFit="1" customWidth="1"/>
    <col min="4" max="4" width="100.625" bestFit="1" customWidth="1"/>
    <col min="5" max="5" width="87.25" bestFit="1" customWidth="1"/>
  </cols>
  <sheetData>
    <row r="1" spans="1:5" ht="18" x14ac:dyDescent="0.25">
      <c r="A1" s="151" t="s">
        <v>943</v>
      </c>
      <c r="B1" s="151" t="s">
        <v>944</v>
      </c>
      <c r="C1" s="151" t="s">
        <v>945</v>
      </c>
      <c r="D1" s="151" t="s">
        <v>946</v>
      </c>
      <c r="E1" s="151" t="s">
        <v>947</v>
      </c>
    </row>
    <row r="2" spans="1:5" x14ac:dyDescent="0.25">
      <c r="A2" t="s">
        <v>914</v>
      </c>
      <c r="B2" t="b">
        <v>1</v>
      </c>
      <c r="C2" t="b">
        <v>1</v>
      </c>
      <c r="D2" t="str">
        <f>IF(B2,IF(LEN($A2)&gt;0,$A2,""),"")</f>
        <v>using System.Reflection;</v>
      </c>
      <c r="E2" t="str">
        <f>IF(C2,IF(LEN($A2)&gt;0,$A2,""),"")</f>
        <v>using System.Reflection;</v>
      </c>
    </row>
    <row r="3" spans="1:5" x14ac:dyDescent="0.25">
      <c r="A3" t="s">
        <v>915</v>
      </c>
      <c r="B3" t="b">
        <v>1</v>
      </c>
      <c r="C3" t="b">
        <v>1</v>
      </c>
      <c r="D3" t="str">
        <f t="shared" ref="D3:E37" si="0">IF(B3,IF(LEN($A3)&gt;0,$A3,""),"")</f>
        <v>using System.Runtime.CompilerServices;</v>
      </c>
      <c r="E3" t="str">
        <f t="shared" si="0"/>
        <v>using System.Runtime.CompilerServices;</v>
      </c>
    </row>
    <row r="4" spans="1:5" x14ac:dyDescent="0.25">
      <c r="A4" t="s">
        <v>916</v>
      </c>
      <c r="B4" t="b">
        <v>1</v>
      </c>
      <c r="C4" t="b">
        <v>1</v>
      </c>
      <c r="D4" t="str">
        <f t="shared" si="0"/>
        <v>using System.Runtime.InteropServices;</v>
      </c>
      <c r="E4" t="str">
        <f t="shared" si="0"/>
        <v>using System.Runtime.InteropServices;</v>
      </c>
    </row>
    <row r="5" spans="1:5" x14ac:dyDescent="0.25">
      <c r="B5" t="b">
        <v>1</v>
      </c>
      <c r="C5" t="b">
        <v>1</v>
      </c>
      <c r="D5" t="str">
        <f t="shared" si="0"/>
        <v/>
      </c>
      <c r="E5" t="str">
        <f t="shared" si="0"/>
        <v/>
      </c>
    </row>
    <row r="6" spans="1:5" x14ac:dyDescent="0.25">
      <c r="A6" t="s">
        <v>917</v>
      </c>
      <c r="B6" t="b">
        <v>1</v>
      </c>
      <c r="C6" t="b">
        <v>1</v>
      </c>
      <c r="D6" t="str">
        <f t="shared" si="0"/>
        <v xml:space="preserve">// General Information about an assembly is controlled through the following </v>
      </c>
      <c r="E6" t="str">
        <f t="shared" si="0"/>
        <v xml:space="preserve">// General Information about an assembly is controlled through the following </v>
      </c>
    </row>
    <row r="7" spans="1:5" x14ac:dyDescent="0.25">
      <c r="A7" t="s">
        <v>918</v>
      </c>
      <c r="B7" t="b">
        <v>1</v>
      </c>
      <c r="C7" t="b">
        <v>1</v>
      </c>
      <c r="D7" t="str">
        <f t="shared" si="0"/>
        <v>// set of attributes. Change these attribute values to modify the information</v>
      </c>
      <c r="E7" t="str">
        <f t="shared" si="0"/>
        <v>// set of attributes. Change these attribute values to modify the information</v>
      </c>
    </row>
    <row r="8" spans="1:5" x14ac:dyDescent="0.25">
      <c r="A8" t="s">
        <v>919</v>
      </c>
      <c r="B8" t="b">
        <v>1</v>
      </c>
      <c r="C8" t="b">
        <v>1</v>
      </c>
      <c r="D8" t="str">
        <f t="shared" si="0"/>
        <v>// associated with an assembly.</v>
      </c>
      <c r="E8" t="str">
        <f t="shared" si="0"/>
        <v>// associated with an assembly.</v>
      </c>
    </row>
    <row r="9" spans="1:5" x14ac:dyDescent="0.25">
      <c r="A9" t="s">
        <v>920</v>
      </c>
      <c r="B9" t="b">
        <v>0</v>
      </c>
      <c r="C9" t="b">
        <v>1</v>
      </c>
      <c r="D9" t="str">
        <f t="shared" si="0"/>
        <v/>
      </c>
      <c r="E9" t="str">
        <f t="shared" si="0"/>
        <v>[assembly: AssemblyTitle ( "WizardWrx.AssemblyUtils" )]</v>
      </c>
    </row>
    <row r="10" spans="1:5" x14ac:dyDescent="0.25">
      <c r="A10" t="s">
        <v>921</v>
      </c>
      <c r="B10" t="b">
        <v>0</v>
      </c>
      <c r="C10" t="b">
        <v>1</v>
      </c>
      <c r="D10" t="str">
        <f t="shared" si="0"/>
        <v/>
      </c>
      <c r="E10" t="str">
        <f t="shared" si="0"/>
        <v>[assembly: AssemblyDescription ( "" )]</v>
      </c>
    </row>
    <row r="11" spans="1:5" x14ac:dyDescent="0.25">
      <c r="A11" t="s">
        <v>922</v>
      </c>
      <c r="B11" t="b">
        <v>0</v>
      </c>
      <c r="C11" t="b">
        <v>1</v>
      </c>
      <c r="D11" t="str">
        <f t="shared" si="0"/>
        <v/>
      </c>
      <c r="E11" t="str">
        <f t="shared" si="0"/>
        <v>[assembly: AssemblyConfiguration ( "" )]</v>
      </c>
    </row>
    <row r="12" spans="1:5" x14ac:dyDescent="0.25">
      <c r="A12" t="s">
        <v>923</v>
      </c>
      <c r="B12" t="b">
        <v>1</v>
      </c>
      <c r="C12" t="b">
        <v>0</v>
      </c>
      <c r="D12" t="str">
        <f t="shared" si="0"/>
        <v>[assembly: AssemblyCompany ( "David A. Gray" )]</v>
      </c>
      <c r="E12" t="str">
        <f t="shared" si="0"/>
        <v/>
      </c>
    </row>
    <row r="13" spans="1:5" x14ac:dyDescent="0.25">
      <c r="A13" t="s">
        <v>924</v>
      </c>
      <c r="B13" t="b">
        <v>1</v>
      </c>
      <c r="C13" t="b">
        <v>0</v>
      </c>
      <c r="D13" t="str">
        <f t="shared" si="0"/>
        <v>[assembly: AssemblyProduct ( "DLLServices" )]</v>
      </c>
      <c r="E13" t="str">
        <f t="shared" si="0"/>
        <v/>
      </c>
    </row>
    <row r="14" spans="1:5" x14ac:dyDescent="0.25">
      <c r="A14" t="s">
        <v>925</v>
      </c>
      <c r="B14" t="b">
        <v>1</v>
      </c>
      <c r="C14" t="b">
        <v>0</v>
      </c>
      <c r="D14" t="str">
        <f t="shared" si="0"/>
        <v>[assembly: AssemblyCopyright ( "Copyright © 2017, David A. Gray" )]</v>
      </c>
      <c r="E14" t="str">
        <f t="shared" si="0"/>
        <v/>
      </c>
    </row>
    <row r="15" spans="1:5" x14ac:dyDescent="0.25">
      <c r="A15" t="s">
        <v>926</v>
      </c>
      <c r="B15" t="b">
        <v>1</v>
      </c>
      <c r="C15" t="b">
        <v>0</v>
      </c>
      <c r="D15" t="str">
        <f t="shared" si="0"/>
        <v>[assembly: AssemblyTrademark ( "This library is distributed under a three-clause BSD license." )]</v>
      </c>
      <c r="E15" t="str">
        <f t="shared" si="0"/>
        <v/>
      </c>
    </row>
    <row r="16" spans="1:5" x14ac:dyDescent="0.25">
      <c r="A16" t="s">
        <v>927</v>
      </c>
      <c r="B16" t="b">
        <v>1</v>
      </c>
      <c r="C16" t="b">
        <v>0</v>
      </c>
      <c r="D16" t="str">
        <f t="shared" si="0"/>
        <v>[assembly: AssemblyCulture ( "" )]</v>
      </c>
      <c r="E16" t="str">
        <f t="shared" si="0"/>
        <v/>
      </c>
    </row>
    <row r="17" spans="1:5" x14ac:dyDescent="0.25">
      <c r="B17" t="b">
        <v>0</v>
      </c>
      <c r="C17" t="b">
        <v>1</v>
      </c>
      <c r="D17" t="str">
        <f t="shared" si="0"/>
        <v/>
      </c>
      <c r="E17" t="str">
        <f t="shared" si="0"/>
        <v/>
      </c>
    </row>
    <row r="18" spans="1:5" x14ac:dyDescent="0.25">
      <c r="A18" t="s">
        <v>928</v>
      </c>
      <c r="B18" t="b">
        <v>0</v>
      </c>
      <c r="C18" t="b">
        <v>1</v>
      </c>
      <c r="D18" t="str">
        <f t="shared" si="0"/>
        <v/>
      </c>
      <c r="E18" t="str">
        <f t="shared" si="0"/>
        <v xml:space="preserve">// Setting ComVisible to false makes the types in this assembly not visible </v>
      </c>
    </row>
    <row r="19" spans="1:5" x14ac:dyDescent="0.25">
      <c r="A19" t="s">
        <v>929</v>
      </c>
      <c r="B19" t="b">
        <v>0</v>
      </c>
      <c r="C19" t="b">
        <v>1</v>
      </c>
      <c r="D19" t="str">
        <f t="shared" si="0"/>
        <v/>
      </c>
      <c r="E19" t="str">
        <f t="shared" si="0"/>
        <v xml:space="preserve">// to COM components. If you need to access a type in this assembly from </v>
      </c>
    </row>
    <row r="20" spans="1:5" x14ac:dyDescent="0.25">
      <c r="A20" t="s">
        <v>930</v>
      </c>
      <c r="B20" t="b">
        <v>0</v>
      </c>
      <c r="C20" t="b">
        <v>1</v>
      </c>
      <c r="D20" t="str">
        <f t="shared" si="0"/>
        <v/>
      </c>
      <c r="E20" t="str">
        <f t="shared" si="0"/>
        <v>// COM, set the ComVisible attribute to true on that type.</v>
      </c>
    </row>
    <row r="21" spans="1:5" x14ac:dyDescent="0.25">
      <c r="A21" t="s">
        <v>931</v>
      </c>
      <c r="B21" t="b">
        <v>0</v>
      </c>
      <c r="C21" t="b">
        <v>1</v>
      </c>
      <c r="D21" t="str">
        <f t="shared" si="0"/>
        <v/>
      </c>
      <c r="E21" t="str">
        <f t="shared" si="0"/>
        <v>[assembly: ComVisible ( false )]</v>
      </c>
    </row>
    <row r="22" spans="1:5" x14ac:dyDescent="0.25">
      <c r="B22" t="b">
        <v>0</v>
      </c>
      <c r="C22" t="b">
        <v>1</v>
      </c>
      <c r="D22" t="str">
        <f t="shared" si="0"/>
        <v/>
      </c>
      <c r="E22" t="str">
        <f t="shared" si="0"/>
        <v/>
      </c>
    </row>
    <row r="23" spans="1:5" x14ac:dyDescent="0.25">
      <c r="A23" t="s">
        <v>932</v>
      </c>
      <c r="B23" t="b">
        <v>0</v>
      </c>
      <c r="C23" t="b">
        <v>1</v>
      </c>
      <c r="D23" t="str">
        <f t="shared" si="0"/>
        <v/>
      </c>
      <c r="E23" t="str">
        <f t="shared" si="0"/>
        <v>// The following GUID is for the ID of the typelib if this project is exposed to COM</v>
      </c>
    </row>
    <row r="24" spans="1:5" x14ac:dyDescent="0.25">
      <c r="A24" t="s">
        <v>933</v>
      </c>
      <c r="B24" t="b">
        <v>0</v>
      </c>
      <c r="C24" t="b">
        <v>1</v>
      </c>
      <c r="D24" t="str">
        <f t="shared" si="0"/>
        <v/>
      </c>
      <c r="E24" t="str">
        <f t="shared" si="0"/>
        <v>[assembly: Guid ( "2c6f30d9-f8c8-49e9-a427-1ba1499a69f9" )]</v>
      </c>
    </row>
    <row r="25" spans="1:5" x14ac:dyDescent="0.25">
      <c r="B25" t="b">
        <v>1</v>
      </c>
      <c r="C25" t="b">
        <v>1</v>
      </c>
      <c r="D25" t="str">
        <f t="shared" si="0"/>
        <v/>
      </c>
      <c r="E25" t="str">
        <f t="shared" si="0"/>
        <v/>
      </c>
    </row>
    <row r="26" spans="1:5" x14ac:dyDescent="0.25">
      <c r="A26" t="s">
        <v>934</v>
      </c>
      <c r="B26" t="b">
        <v>1</v>
      </c>
      <c r="C26" t="b">
        <v>1</v>
      </c>
      <c r="D26" t="str">
        <f t="shared" si="0"/>
        <v>// Version information for an assembly consists of the following four values:</v>
      </c>
      <c r="E26" t="str">
        <f t="shared" si="0"/>
        <v>// Version information for an assembly consists of the following four values:</v>
      </c>
    </row>
    <row r="27" spans="1:5" x14ac:dyDescent="0.25">
      <c r="A27" t="s">
        <v>863</v>
      </c>
      <c r="B27" t="b">
        <v>1</v>
      </c>
      <c r="C27" t="b">
        <v>1</v>
      </c>
      <c r="D27" t="str">
        <f t="shared" si="0"/>
        <v>//</v>
      </c>
      <c r="E27" t="str">
        <f t="shared" si="0"/>
        <v>//</v>
      </c>
    </row>
    <row r="28" spans="1:5" x14ac:dyDescent="0.25">
      <c r="A28" t="s">
        <v>935</v>
      </c>
      <c r="B28" t="b">
        <v>1</v>
      </c>
      <c r="C28" t="b">
        <v>1</v>
      </c>
      <c r="D28" t="str">
        <f t="shared" si="0"/>
        <v>//      Major Version</v>
      </c>
      <c r="E28" t="str">
        <f t="shared" si="0"/>
        <v>//      Major Version</v>
      </c>
    </row>
    <row r="29" spans="1:5" x14ac:dyDescent="0.25">
      <c r="A29" t="s">
        <v>936</v>
      </c>
      <c r="B29" t="b">
        <v>1</v>
      </c>
      <c r="C29" t="b">
        <v>1</v>
      </c>
      <c r="D29" t="str">
        <f t="shared" si="0"/>
        <v xml:space="preserve">//      Minor Version </v>
      </c>
      <c r="E29" t="str">
        <f t="shared" si="0"/>
        <v xml:space="preserve">//      Minor Version </v>
      </c>
    </row>
    <row r="30" spans="1:5" x14ac:dyDescent="0.25">
      <c r="A30" t="s">
        <v>937</v>
      </c>
      <c r="B30" t="b">
        <v>1</v>
      </c>
      <c r="C30" t="b">
        <v>1</v>
      </c>
      <c r="D30" t="str">
        <f t="shared" si="0"/>
        <v>//      Build Number</v>
      </c>
      <c r="E30" t="str">
        <f t="shared" si="0"/>
        <v>//      Build Number</v>
      </c>
    </row>
    <row r="31" spans="1:5" x14ac:dyDescent="0.25">
      <c r="A31" t="s">
        <v>938</v>
      </c>
      <c r="B31" t="b">
        <v>1</v>
      </c>
      <c r="C31" t="b">
        <v>1</v>
      </c>
      <c r="D31" t="str">
        <f t="shared" si="0"/>
        <v>//      Revision</v>
      </c>
      <c r="E31" t="str">
        <f t="shared" si="0"/>
        <v>//      Revision</v>
      </c>
    </row>
    <row r="32" spans="1:5" x14ac:dyDescent="0.25">
      <c r="A32" t="s">
        <v>863</v>
      </c>
      <c r="B32" t="b">
        <v>1</v>
      </c>
      <c r="C32" t="b">
        <v>1</v>
      </c>
      <c r="D32" t="str">
        <f t="shared" si="0"/>
        <v>//</v>
      </c>
      <c r="E32" t="str">
        <f t="shared" si="0"/>
        <v>//</v>
      </c>
    </row>
    <row r="33" spans="1:5" x14ac:dyDescent="0.25">
      <c r="A33" t="s">
        <v>939</v>
      </c>
      <c r="B33" t="b">
        <v>1</v>
      </c>
      <c r="C33" t="b">
        <v>1</v>
      </c>
      <c r="D33" t="str">
        <f t="shared" si="0"/>
        <v xml:space="preserve">// You can specify all the values or you can default the Build and Revision Numbers </v>
      </c>
      <c r="E33" t="str">
        <f t="shared" si="0"/>
        <v xml:space="preserve">// You can specify all the values or you can default the Build and Revision Numbers </v>
      </c>
    </row>
    <row r="34" spans="1:5" x14ac:dyDescent="0.25">
      <c r="A34" t="s">
        <v>940</v>
      </c>
      <c r="B34" t="b">
        <v>1</v>
      </c>
      <c r="C34" t="b">
        <v>1</v>
      </c>
      <c r="D34" t="str">
        <f t="shared" si="0"/>
        <v>// by using the '*' as shown below:</v>
      </c>
      <c r="E34" t="str">
        <f t="shared" si="0"/>
        <v>// by using the '*' as shown below:</v>
      </c>
    </row>
    <row r="35" spans="1:5" x14ac:dyDescent="0.25">
      <c r="A35" t="s">
        <v>941</v>
      </c>
      <c r="B35" t="b">
        <v>1</v>
      </c>
      <c r="C35" t="b">
        <v>1</v>
      </c>
      <c r="D35" t="str">
        <f t="shared" si="0"/>
        <v>// [assembly: AssemblyVersion ( "1.0.*" )]</v>
      </c>
      <c r="E35" t="str">
        <f t="shared" si="0"/>
        <v>// [assembly: AssemblyVersion ( "1.0.*" )]</v>
      </c>
    </row>
    <row r="36" spans="1:5" x14ac:dyDescent="0.25">
      <c r="A36" t="s">
        <v>942</v>
      </c>
      <c r="B36" t="b">
        <v>1</v>
      </c>
      <c r="C36" t="b">
        <v>0</v>
      </c>
      <c r="D36" t="str">
        <f t="shared" si="0"/>
        <v>[assembly: AssemblyVersion ( "7.0.62.*" )]</v>
      </c>
      <c r="E36" t="str">
        <f t="shared" si="0"/>
        <v/>
      </c>
    </row>
    <row r="37" spans="1:5" x14ac:dyDescent="0.25">
      <c r="A37" t="str">
        <f>SUBSTITUTE(A36,"AssemblyVersion","AssemblyFileVersion")</f>
        <v>[assembly: AssemblyFileVersion ( "7.0.62.*" )]</v>
      </c>
      <c r="B37" t="b">
        <v>0</v>
      </c>
      <c r="C37" t="b">
        <v>1</v>
      </c>
      <c r="D37" t="str">
        <f t="shared" si="0"/>
        <v/>
      </c>
      <c r="E37" t="str">
        <f t="shared" si="0"/>
        <v>[assembly: AssemblyFileVersion ( "7.0.62.*" )]</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A1:Y49"/>
  <sheetViews>
    <sheetView workbookViewId="0">
      <pane xSplit="1" ySplit="3" topLeftCell="J4" activePane="bottomRight" state="frozen"/>
      <selection pane="topRight" activeCell="B1" sqref="B1"/>
      <selection pane="bottomLeft" activeCell="A2" sqref="A2"/>
      <selection pane="bottomRight"/>
    </sheetView>
  </sheetViews>
  <sheetFormatPr defaultRowHeight="15" x14ac:dyDescent="0.25"/>
  <cols>
    <col min="1" max="1" width="58.375" bestFit="1" customWidth="1"/>
    <col min="2" max="2" width="36.625" bestFit="1" customWidth="1"/>
    <col min="3" max="3" width="21.25" bestFit="1" customWidth="1"/>
    <col min="4" max="4" width="17.125" bestFit="1" customWidth="1"/>
    <col min="5" max="5" width="37.75" bestFit="1" customWidth="1"/>
    <col min="6" max="6" width="15.375" bestFit="1" customWidth="1"/>
    <col min="7" max="7" width="33.625" bestFit="1" customWidth="1"/>
    <col min="8" max="8" width="13.75" bestFit="1" customWidth="1"/>
    <col min="9" max="9" width="21.25" bestFit="1" customWidth="1"/>
    <col min="10" max="10" width="19.75" bestFit="1" customWidth="1"/>
    <col min="12" max="12" width="8" bestFit="1" customWidth="1"/>
    <col min="13" max="13" width="11.625" bestFit="1" customWidth="1"/>
    <col min="14" max="14" width="39.75" bestFit="1" customWidth="1"/>
    <col min="15" max="15" width="21.25" bestFit="1" customWidth="1"/>
    <col min="16" max="16" width="17.125" bestFit="1" customWidth="1"/>
    <col min="17" max="17" width="38.25" bestFit="1" customWidth="1"/>
    <col min="18" max="18" width="35.625" bestFit="1" customWidth="1"/>
    <col min="20" max="20" width="9.125" customWidth="1"/>
    <col min="21" max="21" width="28.375" bestFit="1" customWidth="1"/>
    <col min="22" max="22" width="28.375" customWidth="1"/>
    <col min="23" max="23" width="25.625" bestFit="1" customWidth="1"/>
    <col min="24" max="24" width="37.75" bestFit="1" customWidth="1"/>
    <col min="25" max="25" width="33.625" customWidth="1"/>
  </cols>
  <sheetData>
    <row r="1" spans="1:25" x14ac:dyDescent="0.25">
      <c r="N1" s="118" t="s">
        <v>1476</v>
      </c>
    </row>
    <row r="3" spans="1:25" ht="18" x14ac:dyDescent="0.25">
      <c r="A3" s="226" t="s">
        <v>724</v>
      </c>
      <c r="B3" s="227" t="s">
        <v>7</v>
      </c>
      <c r="C3" s="227" t="s">
        <v>1477</v>
      </c>
      <c r="D3" s="227" t="s">
        <v>1478</v>
      </c>
      <c r="E3" s="227" t="s">
        <v>1479</v>
      </c>
      <c r="F3" s="228" t="s">
        <v>1480</v>
      </c>
      <c r="G3" s="228" t="s">
        <v>1481</v>
      </c>
      <c r="H3" s="229" t="s">
        <v>1482</v>
      </c>
      <c r="I3" s="229" t="s">
        <v>1483</v>
      </c>
      <c r="J3" s="229" t="s">
        <v>1484</v>
      </c>
      <c r="L3" s="228" t="s">
        <v>1485</v>
      </c>
      <c r="M3" s="228" t="s">
        <v>1486</v>
      </c>
      <c r="N3" s="229" t="str">
        <f>G3</f>
        <v>GUIDBytes</v>
      </c>
      <c r="O3" s="229" t="str">
        <f>C3</f>
        <v>Prefix to Trim</v>
      </c>
      <c r="P3" s="229" t="str">
        <f>D3</f>
        <v>Prefix Length</v>
      </c>
      <c r="Q3" s="229" t="s">
        <v>1487</v>
      </c>
      <c r="R3" s="229" t="s">
        <v>1488</v>
      </c>
      <c r="T3" s="230" t="str">
        <f t="shared" ref="T3:Y3" si="0">T44</f>
        <v>Choice</v>
      </c>
      <c r="U3" s="230" t="str">
        <f t="shared" si="0"/>
        <v>Encoder Name</v>
      </c>
      <c r="V3" s="230" t="str">
        <f t="shared" si="0"/>
        <v>EncoderName</v>
      </c>
      <c r="W3" s="230" t="str">
        <f t="shared" si="0"/>
        <v>Encoder Description</v>
      </c>
      <c r="X3" s="230" t="str">
        <f t="shared" si="0"/>
        <v>Encoder GUID</v>
      </c>
      <c r="Y3" s="230" t="str">
        <f t="shared" si="0"/>
        <v>Encoder GUID Bytes</v>
      </c>
    </row>
    <row r="4" spans="1:25" x14ac:dyDescent="0.25">
      <c r="A4" s="231" t="s">
        <v>1489</v>
      </c>
      <c r="B4" s="232" t="s">
        <v>1490</v>
      </c>
      <c r="C4" s="232" t="s">
        <v>1491</v>
      </c>
      <c r="D4" s="232">
        <f>IF(LEN(C4)&gt;0,LEN(SUBSTITUTE(C4,"\","")),"")</f>
        <v>2</v>
      </c>
      <c r="E4" s="232" t="s">
        <v>1492</v>
      </c>
      <c r="F4" s="233" t="s">
        <v>1493</v>
      </c>
      <c r="G4" s="233" t="s">
        <v>1494</v>
      </c>
      <c r="H4" s="234">
        <f>LEN(G4)/2</f>
        <v>16</v>
      </c>
      <c r="I4" s="234" t="b">
        <f>IFERROR(IF(FIND("Exception",A4),TRUE,FALSE),FALSE)</f>
        <v>1</v>
      </c>
      <c r="J4" s="234" t="b">
        <v>1</v>
      </c>
      <c r="L4" s="233">
        <f>IF(AND(I4,J4),IF(ISNUMBER(L3),L3+1,0),"")</f>
        <v>0</v>
      </c>
      <c r="M4" s="233" t="str">
        <f>IF(LEN(L4)&gt;0,DEC2HEX(L4,8),"")</f>
        <v>00000000</v>
      </c>
      <c r="N4" s="234" t="str">
        <f>IF(LEN(L4)&gt;0,CONCATENATE("{",E4,"}"),"")</f>
        <v>{a1c0a095-df97-3441-bfc1-c9f194e494db}</v>
      </c>
      <c r="O4" s="234" t="str">
        <f>IF(LEN(L4)&gt;0,C4,"")</f>
        <v>\r\n</v>
      </c>
      <c r="P4" s="234">
        <f>IF(LEN(L4)&gt;0,D4,"")</f>
        <v>2</v>
      </c>
      <c r="Q4" s="234" t="str">
        <f t="shared" ref="Q4:Q49" si="1">IF(LEN(L4)&gt;0,A4,"")</f>
        <v>System.Exception</v>
      </c>
      <c r="R4" s="234" t="str">
        <f>SUBSTITUTE(Q4,".","_")</f>
        <v>System_Exception</v>
      </c>
    </row>
    <row r="5" spans="1:25" x14ac:dyDescent="0.25">
      <c r="A5" s="235" t="s">
        <v>1495</v>
      </c>
      <c r="B5" s="236" t="s">
        <v>1496</v>
      </c>
      <c r="C5" s="236" t="s">
        <v>1497</v>
      </c>
      <c r="D5" s="236">
        <f t="shared" ref="D5:D49" si="2">IF(LEN(C5)&gt;0,LEN(SUBSTITUTE(C5,"\","")),"")</f>
        <v>18</v>
      </c>
      <c r="E5" s="236" t="s">
        <v>1498</v>
      </c>
      <c r="F5" s="237" t="s">
        <v>1499</v>
      </c>
      <c r="G5" s="237" t="s">
        <v>1500</v>
      </c>
      <c r="H5" s="238">
        <f t="shared" ref="H5:H49" si="3">LEN(G5)/2</f>
        <v>16</v>
      </c>
      <c r="I5" s="238" t="b">
        <f t="shared" ref="I5:I49" si="4">IFERROR(IF(FIND("Exception",A5),TRUE,FALSE),FALSE)</f>
        <v>1</v>
      </c>
      <c r="J5" s="238" t="b">
        <v>1</v>
      </c>
      <c r="L5" s="237">
        <f t="shared" ref="L5:L49" si="5">IF(AND(I5,J5),IF(ISNUMBER(L4),L4+1,0),"")</f>
        <v>1</v>
      </c>
      <c r="M5" s="237" t="str">
        <f t="shared" ref="M5:M44" si="6">IF(LEN(L5)&gt;0,DEC2HEX(L5,8),"")</f>
        <v>00000001</v>
      </c>
      <c r="N5" s="238" t="str">
        <f t="shared" ref="N5:N49" si="7">IF(LEN(L5)&gt;0,CONCATENATE("{",E5,"}"),"")</f>
        <v>{3fdceec6-b14b-37e2-bb69-abc7ca0da22f}</v>
      </c>
      <c r="O5" s="238" t="str">
        <f t="shared" ref="O5:O49" si="8">IF(LEN(L5)&gt;0,C5,"")</f>
        <v xml:space="preserve">\r\nParameter name: </v>
      </c>
      <c r="P5" s="238">
        <f t="shared" ref="P5:P49" si="9">IF(LEN(L5)&gt;0,D5,"")</f>
        <v>18</v>
      </c>
      <c r="Q5" s="238" t="str">
        <f t="shared" si="1"/>
        <v>System.ArgumentException</v>
      </c>
      <c r="R5" s="238" t="str">
        <f t="shared" ref="R5:R48" si="10">SUBSTITUTE(Q5,".","_")</f>
        <v>System_ArgumentException</v>
      </c>
    </row>
    <row r="6" spans="1:25" x14ac:dyDescent="0.25">
      <c r="A6" s="231" t="s">
        <v>1501</v>
      </c>
      <c r="B6" s="232" t="s">
        <v>1502</v>
      </c>
      <c r="C6" s="232" t="s">
        <v>1497</v>
      </c>
      <c r="D6" s="232">
        <f t="shared" si="2"/>
        <v>18</v>
      </c>
      <c r="E6" s="232" t="s">
        <v>1503</v>
      </c>
      <c r="F6" s="233" t="s">
        <v>1504</v>
      </c>
      <c r="G6" s="233" t="s">
        <v>1505</v>
      </c>
      <c r="H6" s="234">
        <f t="shared" si="3"/>
        <v>16</v>
      </c>
      <c r="I6" s="234" t="b">
        <f t="shared" si="4"/>
        <v>1</v>
      </c>
      <c r="J6" s="234" t="b">
        <v>1</v>
      </c>
      <c r="L6" s="233">
        <f t="shared" si="5"/>
        <v>2</v>
      </c>
      <c r="M6" s="233" t="str">
        <f t="shared" si="6"/>
        <v>00000002</v>
      </c>
      <c r="N6" s="234" t="str">
        <f t="shared" si="7"/>
        <v>{74bdd0b9-38d7-3fda-a67e-d404ee684f24}</v>
      </c>
      <c r="O6" s="234" t="str">
        <f t="shared" si="8"/>
        <v xml:space="preserve">\r\nParameter name: </v>
      </c>
      <c r="P6" s="234">
        <f t="shared" si="9"/>
        <v>18</v>
      </c>
      <c r="Q6" s="234" t="str">
        <f t="shared" si="1"/>
        <v>System.ArgumentOutOfRangeException</v>
      </c>
      <c r="R6" s="234" t="str">
        <f t="shared" si="10"/>
        <v>System_ArgumentOutOfRangeException</v>
      </c>
    </row>
    <row r="7" spans="1:25" x14ac:dyDescent="0.25">
      <c r="A7" s="235" t="s">
        <v>1506</v>
      </c>
      <c r="B7" s="236" t="s">
        <v>1507</v>
      </c>
      <c r="C7" s="236" t="s">
        <v>1497</v>
      </c>
      <c r="D7" s="236">
        <f t="shared" si="2"/>
        <v>18</v>
      </c>
      <c r="E7" s="236" t="s">
        <v>1508</v>
      </c>
      <c r="F7" s="237" t="s">
        <v>1509</v>
      </c>
      <c r="G7" s="237" t="s">
        <v>1510</v>
      </c>
      <c r="H7" s="238">
        <f t="shared" si="3"/>
        <v>16</v>
      </c>
      <c r="I7" s="238" t="b">
        <f t="shared" si="4"/>
        <v>1</v>
      </c>
      <c r="J7" s="238" t="b">
        <v>1</v>
      </c>
      <c r="L7" s="237">
        <f t="shared" si="5"/>
        <v>3</v>
      </c>
      <c r="M7" s="237" t="str">
        <f t="shared" si="6"/>
        <v>00000003</v>
      </c>
      <c r="N7" s="238" t="str">
        <f t="shared" si="7"/>
        <v>{3bd1f243-9bc4-305d-9b1c-0d10c80329fc}</v>
      </c>
      <c r="O7" s="238" t="str">
        <f t="shared" si="8"/>
        <v xml:space="preserve">\r\nParameter name: </v>
      </c>
      <c r="P7" s="238">
        <f t="shared" si="9"/>
        <v>18</v>
      </c>
      <c r="Q7" s="238" t="str">
        <f t="shared" si="1"/>
        <v>System.ArgumentNullException</v>
      </c>
      <c r="R7" s="238" t="str">
        <f t="shared" si="10"/>
        <v>System_ArgumentNullException</v>
      </c>
    </row>
    <row r="8" spans="1:25" x14ac:dyDescent="0.25">
      <c r="A8" s="231" t="s">
        <v>1511</v>
      </c>
      <c r="B8" s="232" t="s">
        <v>1512</v>
      </c>
      <c r="C8" s="232" t="s">
        <v>1513</v>
      </c>
      <c r="D8" s="232">
        <f t="shared" si="2"/>
        <v>15</v>
      </c>
      <c r="E8" s="232" t="s">
        <v>1514</v>
      </c>
      <c r="F8" s="233" t="s">
        <v>1515</v>
      </c>
      <c r="G8" s="233" t="s">
        <v>1516</v>
      </c>
      <c r="H8" s="234">
        <f t="shared" si="3"/>
        <v>16</v>
      </c>
      <c r="I8" s="234" t="b">
        <f t="shared" si="4"/>
        <v>1</v>
      </c>
      <c r="J8" s="234" t="b">
        <v>1</v>
      </c>
      <c r="L8" s="233">
        <f t="shared" si="5"/>
        <v>4</v>
      </c>
      <c r="M8" s="233" t="str">
        <f t="shared" si="6"/>
        <v>00000004</v>
      </c>
      <c r="N8" s="234" t="str">
        <f t="shared" si="7"/>
        <v>{f17baaf6-d35c-3c6e-acd3-d0d49a5022c4}</v>
      </c>
      <c r="O8" s="234" t="str">
        <f t="shared" si="8"/>
        <v xml:space="preserve">\r\nObject name: </v>
      </c>
      <c r="P8" s="234">
        <f t="shared" si="9"/>
        <v>15</v>
      </c>
      <c r="Q8" s="234" t="str">
        <f t="shared" si="1"/>
        <v>System.ObjectDisposedException</v>
      </c>
      <c r="R8" s="234" t="str">
        <f t="shared" si="10"/>
        <v>System_ObjectDisposedException</v>
      </c>
    </row>
    <row r="9" spans="1:25" x14ac:dyDescent="0.25">
      <c r="A9" s="235" t="s">
        <v>1517</v>
      </c>
      <c r="B9" s="236" t="s">
        <v>1518</v>
      </c>
      <c r="C9" s="236" t="s">
        <v>1491</v>
      </c>
      <c r="D9" s="236">
        <f t="shared" si="2"/>
        <v>2</v>
      </c>
      <c r="E9" s="236" t="s">
        <v>1519</v>
      </c>
      <c r="F9" s="237" t="s">
        <v>1520</v>
      </c>
      <c r="G9" s="237" t="s">
        <v>1521</v>
      </c>
      <c r="H9" s="238">
        <f t="shared" si="3"/>
        <v>16</v>
      </c>
      <c r="I9" s="238" t="b">
        <f t="shared" si="4"/>
        <v>1</v>
      </c>
      <c r="J9" s="238" t="b">
        <v>1</v>
      </c>
      <c r="L9" s="237">
        <f t="shared" si="5"/>
        <v>5</v>
      </c>
      <c r="M9" s="237" t="str">
        <f t="shared" si="6"/>
        <v>00000005</v>
      </c>
      <c r="N9" s="238" t="str">
        <f t="shared" si="7"/>
        <v>{a164c0bf-67ae-3c7e-bc05-bfe24a8cdb62}</v>
      </c>
      <c r="O9" s="238" t="str">
        <f t="shared" si="8"/>
        <v>\r\n</v>
      </c>
      <c r="P9" s="238">
        <f t="shared" si="9"/>
        <v>2</v>
      </c>
      <c r="Q9" s="238" t="str">
        <f t="shared" si="1"/>
        <v>System.IO.IOException</v>
      </c>
      <c r="R9" s="238" t="str">
        <f t="shared" si="10"/>
        <v>System_IO_IOException</v>
      </c>
    </row>
    <row r="10" spans="1:25" x14ac:dyDescent="0.25">
      <c r="A10" s="231" t="s">
        <v>1522</v>
      </c>
      <c r="B10" s="232" t="s">
        <v>1523</v>
      </c>
      <c r="C10" s="232" t="s">
        <v>1491</v>
      </c>
      <c r="D10" s="232">
        <f t="shared" si="2"/>
        <v>2</v>
      </c>
      <c r="E10" s="232" t="s">
        <v>1524</v>
      </c>
      <c r="F10" s="233" t="s">
        <v>1525</v>
      </c>
      <c r="G10" s="233" t="s">
        <v>1526</v>
      </c>
      <c r="H10" s="234">
        <f t="shared" si="3"/>
        <v>16</v>
      </c>
      <c r="I10" s="234" t="b">
        <f t="shared" si="4"/>
        <v>1</v>
      </c>
      <c r="J10" s="234" t="b">
        <v>1</v>
      </c>
      <c r="L10" s="233">
        <f t="shared" si="5"/>
        <v>6</v>
      </c>
      <c r="M10" s="233" t="str">
        <f t="shared" si="6"/>
        <v>00000006</v>
      </c>
      <c r="N10" s="234" t="str">
        <f t="shared" si="7"/>
        <v>{964aa3bd-4b12-3e23-9d7f-99342afae812}</v>
      </c>
      <c r="O10" s="234" t="str">
        <f t="shared" si="8"/>
        <v>\r\n</v>
      </c>
      <c r="P10" s="234">
        <f t="shared" si="9"/>
        <v>2</v>
      </c>
      <c r="Q10" s="234" t="str">
        <f t="shared" si="1"/>
        <v>System.FormatException</v>
      </c>
      <c r="R10" s="234" t="str">
        <f t="shared" si="10"/>
        <v>System_FormatException</v>
      </c>
    </row>
    <row r="11" spans="1:25" x14ac:dyDescent="0.25">
      <c r="A11" s="235" t="s">
        <v>1527</v>
      </c>
      <c r="B11" s="236" t="s">
        <v>1528</v>
      </c>
      <c r="C11" s="236"/>
      <c r="D11" s="236" t="str">
        <f t="shared" si="2"/>
        <v/>
      </c>
      <c r="E11" s="236" t="s">
        <v>1529</v>
      </c>
      <c r="F11" s="237" t="s">
        <v>1530</v>
      </c>
      <c r="G11" s="237" t="s">
        <v>1531</v>
      </c>
      <c r="H11" s="238">
        <f t="shared" si="3"/>
        <v>16</v>
      </c>
      <c r="I11" s="238" t="b">
        <f t="shared" si="4"/>
        <v>1</v>
      </c>
      <c r="J11" s="238" t="b">
        <v>0</v>
      </c>
      <c r="L11" s="237" t="str">
        <f t="shared" si="5"/>
        <v/>
      </c>
      <c r="M11" s="237" t="str">
        <f t="shared" si="6"/>
        <v/>
      </c>
      <c r="N11" s="238" t="str">
        <f t="shared" si="7"/>
        <v/>
      </c>
      <c r="O11" s="238" t="str">
        <f t="shared" si="8"/>
        <v/>
      </c>
      <c r="P11" s="238" t="str">
        <f t="shared" si="9"/>
        <v/>
      </c>
      <c r="Q11" s="238" t="str">
        <f t="shared" si="1"/>
        <v/>
      </c>
      <c r="R11" s="238" t="str">
        <f t="shared" si="10"/>
        <v/>
      </c>
    </row>
    <row r="12" spans="1:25" x14ac:dyDescent="0.25">
      <c r="A12" s="231" t="s">
        <v>1532</v>
      </c>
      <c r="B12" s="232" t="s">
        <v>1533</v>
      </c>
      <c r="C12" s="232"/>
      <c r="D12" s="232" t="str">
        <f t="shared" si="2"/>
        <v/>
      </c>
      <c r="E12" s="232" t="s">
        <v>1534</v>
      </c>
      <c r="F12" s="233" t="s">
        <v>1535</v>
      </c>
      <c r="G12" s="233" t="s">
        <v>1536</v>
      </c>
      <c r="H12" s="234">
        <f t="shared" si="3"/>
        <v>16</v>
      </c>
      <c r="I12" s="234" t="b">
        <f t="shared" si="4"/>
        <v>1</v>
      </c>
      <c r="J12" s="234" t="b">
        <v>0</v>
      </c>
      <c r="L12" s="233" t="str">
        <f t="shared" si="5"/>
        <v/>
      </c>
      <c r="M12" s="233" t="str">
        <f t="shared" si="6"/>
        <v/>
      </c>
      <c r="N12" s="234" t="str">
        <f t="shared" si="7"/>
        <v/>
      </c>
      <c r="O12" s="234" t="str">
        <f t="shared" si="8"/>
        <v/>
      </c>
      <c r="P12" s="234" t="str">
        <f t="shared" si="9"/>
        <v/>
      </c>
      <c r="Q12" s="234" t="str">
        <f t="shared" si="1"/>
        <v/>
      </c>
      <c r="R12" s="234" t="str">
        <f t="shared" si="10"/>
        <v/>
      </c>
    </row>
    <row r="13" spans="1:25" x14ac:dyDescent="0.25">
      <c r="A13" s="235" t="s">
        <v>1537</v>
      </c>
      <c r="B13" s="236" t="s">
        <v>1538</v>
      </c>
      <c r="C13" s="236"/>
      <c r="D13" s="236" t="str">
        <f t="shared" si="2"/>
        <v/>
      </c>
      <c r="E13" s="236" t="s">
        <v>1539</v>
      </c>
      <c r="F13" s="237" t="s">
        <v>1540</v>
      </c>
      <c r="G13" s="237" t="s">
        <v>1541</v>
      </c>
      <c r="H13" s="238">
        <f t="shared" si="3"/>
        <v>16</v>
      </c>
      <c r="I13" s="238" t="b">
        <f t="shared" si="4"/>
        <v>1</v>
      </c>
      <c r="J13" s="238" t="b">
        <v>0</v>
      </c>
      <c r="L13" s="237" t="str">
        <f t="shared" si="5"/>
        <v/>
      </c>
      <c r="M13" s="237" t="str">
        <f t="shared" si="6"/>
        <v/>
      </c>
      <c r="N13" s="238" t="str">
        <f t="shared" si="7"/>
        <v/>
      </c>
      <c r="O13" s="238" t="str">
        <f t="shared" si="8"/>
        <v/>
      </c>
      <c r="P13" s="238" t="str">
        <f t="shared" si="9"/>
        <v/>
      </c>
      <c r="Q13" s="238" t="str">
        <f t="shared" si="1"/>
        <v/>
      </c>
      <c r="R13" s="238" t="str">
        <f t="shared" si="10"/>
        <v/>
      </c>
    </row>
    <row r="14" spans="1:25" x14ac:dyDescent="0.25">
      <c r="A14" s="231" t="s">
        <v>1542</v>
      </c>
      <c r="B14" s="232" t="s">
        <v>1543</v>
      </c>
      <c r="C14" s="232"/>
      <c r="D14" s="232" t="str">
        <f t="shared" si="2"/>
        <v/>
      </c>
      <c r="E14" s="232" t="s">
        <v>1544</v>
      </c>
      <c r="F14" s="233" t="s">
        <v>1545</v>
      </c>
      <c r="G14" s="233" t="s">
        <v>1546</v>
      </c>
      <c r="H14" s="234">
        <f t="shared" si="3"/>
        <v>16</v>
      </c>
      <c r="I14" s="234" t="b">
        <f t="shared" si="4"/>
        <v>1</v>
      </c>
      <c r="J14" s="234" t="b">
        <v>0</v>
      </c>
      <c r="L14" s="233" t="str">
        <f t="shared" si="5"/>
        <v/>
      </c>
      <c r="M14" s="233" t="str">
        <f t="shared" si="6"/>
        <v/>
      </c>
      <c r="N14" s="234" t="str">
        <f t="shared" si="7"/>
        <v/>
      </c>
      <c r="O14" s="234" t="str">
        <f t="shared" si="8"/>
        <v/>
      </c>
      <c r="P14" s="234" t="str">
        <f t="shared" si="9"/>
        <v/>
      </c>
      <c r="Q14" s="234" t="str">
        <f t="shared" si="1"/>
        <v/>
      </c>
      <c r="R14" s="234" t="str">
        <f t="shared" si="10"/>
        <v/>
      </c>
    </row>
    <row r="15" spans="1:25" x14ac:dyDescent="0.25">
      <c r="A15" s="235" t="s">
        <v>1547</v>
      </c>
      <c r="B15" s="236" t="s">
        <v>1548</v>
      </c>
      <c r="C15" s="236"/>
      <c r="D15" s="236" t="str">
        <f t="shared" si="2"/>
        <v/>
      </c>
      <c r="E15" s="236" t="s">
        <v>1549</v>
      </c>
      <c r="F15" s="237" t="s">
        <v>1550</v>
      </c>
      <c r="G15" s="237" t="s">
        <v>1551</v>
      </c>
      <c r="H15" s="238">
        <f t="shared" si="3"/>
        <v>16</v>
      </c>
      <c r="I15" s="238" t="b">
        <f t="shared" si="4"/>
        <v>1</v>
      </c>
      <c r="J15" s="238" t="b">
        <v>0</v>
      </c>
      <c r="L15" s="237" t="str">
        <f t="shared" si="5"/>
        <v/>
      </c>
      <c r="M15" s="237" t="str">
        <f t="shared" si="6"/>
        <v/>
      </c>
      <c r="N15" s="238" t="str">
        <f t="shared" si="7"/>
        <v/>
      </c>
      <c r="O15" s="238" t="str">
        <f t="shared" si="8"/>
        <v/>
      </c>
      <c r="P15" s="238" t="str">
        <f t="shared" si="9"/>
        <v/>
      </c>
      <c r="Q15" s="238" t="str">
        <f t="shared" si="1"/>
        <v/>
      </c>
      <c r="R15" s="238" t="str">
        <f t="shared" si="10"/>
        <v/>
      </c>
    </row>
    <row r="16" spans="1:25" x14ac:dyDescent="0.25">
      <c r="A16" s="231" t="s">
        <v>1552</v>
      </c>
      <c r="B16" s="232" t="s">
        <v>1553</v>
      </c>
      <c r="C16" s="232"/>
      <c r="D16" s="232" t="str">
        <f t="shared" si="2"/>
        <v/>
      </c>
      <c r="E16" s="232" t="s">
        <v>1554</v>
      </c>
      <c r="F16" s="233" t="s">
        <v>1555</v>
      </c>
      <c r="G16" s="233" t="s">
        <v>1556</v>
      </c>
      <c r="H16" s="234">
        <f t="shared" si="3"/>
        <v>16</v>
      </c>
      <c r="I16" s="234" t="b">
        <f t="shared" si="4"/>
        <v>1</v>
      </c>
      <c r="J16" s="234" t="b">
        <v>0</v>
      </c>
      <c r="L16" s="233" t="str">
        <f t="shared" si="5"/>
        <v/>
      </c>
      <c r="M16" s="233" t="str">
        <f t="shared" si="6"/>
        <v/>
      </c>
      <c r="N16" s="234" t="str">
        <f t="shared" si="7"/>
        <v/>
      </c>
      <c r="O16" s="234" t="str">
        <f t="shared" si="8"/>
        <v/>
      </c>
      <c r="P16" s="234" t="str">
        <f t="shared" si="9"/>
        <v/>
      </c>
      <c r="Q16" s="234" t="str">
        <f t="shared" si="1"/>
        <v/>
      </c>
      <c r="R16" s="234" t="str">
        <f t="shared" si="10"/>
        <v/>
      </c>
    </row>
    <row r="17" spans="1:18" x14ac:dyDescent="0.25">
      <c r="A17" s="235" t="s">
        <v>1557</v>
      </c>
      <c r="B17" s="236" t="s">
        <v>1558</v>
      </c>
      <c r="C17" s="236"/>
      <c r="D17" s="236" t="str">
        <f t="shared" si="2"/>
        <v/>
      </c>
      <c r="E17" s="236" t="s">
        <v>1559</v>
      </c>
      <c r="F17" s="237" t="s">
        <v>1560</v>
      </c>
      <c r="G17" s="237" t="s">
        <v>1561</v>
      </c>
      <c r="H17" s="238">
        <f t="shared" si="3"/>
        <v>16</v>
      </c>
      <c r="I17" s="238" t="b">
        <f t="shared" si="4"/>
        <v>1</v>
      </c>
      <c r="J17" s="238" t="b">
        <v>0</v>
      </c>
      <c r="L17" s="237" t="str">
        <f t="shared" si="5"/>
        <v/>
      </c>
      <c r="M17" s="237" t="str">
        <f t="shared" si="6"/>
        <v/>
      </c>
      <c r="N17" s="238" t="str">
        <f t="shared" si="7"/>
        <v/>
      </c>
      <c r="O17" s="238" t="str">
        <f t="shared" si="8"/>
        <v/>
      </c>
      <c r="P17" s="238" t="str">
        <f t="shared" si="9"/>
        <v/>
      </c>
      <c r="Q17" s="238" t="str">
        <f t="shared" si="1"/>
        <v/>
      </c>
      <c r="R17" s="238" t="str">
        <f t="shared" si="10"/>
        <v/>
      </c>
    </row>
    <row r="18" spans="1:18" x14ac:dyDescent="0.25">
      <c r="A18" s="231" t="s">
        <v>1562</v>
      </c>
      <c r="B18" s="232" t="s">
        <v>1563</v>
      </c>
      <c r="C18" s="232"/>
      <c r="D18" s="232" t="str">
        <f t="shared" si="2"/>
        <v/>
      </c>
      <c r="E18" s="232" t="s">
        <v>1564</v>
      </c>
      <c r="F18" s="233" t="s">
        <v>1565</v>
      </c>
      <c r="G18" s="233" t="s">
        <v>1566</v>
      </c>
      <c r="H18" s="234">
        <f t="shared" si="3"/>
        <v>16</v>
      </c>
      <c r="I18" s="234" t="b">
        <f t="shared" si="4"/>
        <v>1</v>
      </c>
      <c r="J18" s="234" t="b">
        <v>0</v>
      </c>
      <c r="L18" s="233" t="str">
        <f t="shared" si="5"/>
        <v/>
      </c>
      <c r="M18" s="233" t="str">
        <f t="shared" si="6"/>
        <v/>
      </c>
      <c r="N18" s="234" t="str">
        <f t="shared" si="7"/>
        <v/>
      </c>
      <c r="O18" s="234" t="str">
        <f t="shared" si="8"/>
        <v/>
      </c>
      <c r="P18" s="234" t="str">
        <f t="shared" si="9"/>
        <v/>
      </c>
      <c r="Q18" s="234" t="str">
        <f t="shared" si="1"/>
        <v/>
      </c>
      <c r="R18" s="234" t="str">
        <f t="shared" si="10"/>
        <v/>
      </c>
    </row>
    <row r="19" spans="1:18" x14ac:dyDescent="0.25">
      <c r="A19" s="235" t="s">
        <v>1567</v>
      </c>
      <c r="B19" s="236" t="s">
        <v>1568</v>
      </c>
      <c r="C19" s="236"/>
      <c r="D19" s="236" t="str">
        <f t="shared" si="2"/>
        <v/>
      </c>
      <c r="E19" s="236" t="s">
        <v>1569</v>
      </c>
      <c r="F19" s="237" t="s">
        <v>1570</v>
      </c>
      <c r="G19" s="237" t="s">
        <v>1571</v>
      </c>
      <c r="H19" s="238">
        <f t="shared" si="3"/>
        <v>16</v>
      </c>
      <c r="I19" s="238" t="b">
        <f t="shared" si="4"/>
        <v>1</v>
      </c>
      <c r="J19" s="238" t="b">
        <v>0</v>
      </c>
      <c r="L19" s="237" t="str">
        <f t="shared" si="5"/>
        <v/>
      </c>
      <c r="M19" s="237" t="str">
        <f t="shared" si="6"/>
        <v/>
      </c>
      <c r="N19" s="238" t="str">
        <f t="shared" si="7"/>
        <v/>
      </c>
      <c r="O19" s="238" t="str">
        <f t="shared" si="8"/>
        <v/>
      </c>
      <c r="P19" s="238" t="str">
        <f t="shared" si="9"/>
        <v/>
      </c>
      <c r="Q19" s="238" t="str">
        <f t="shared" si="1"/>
        <v/>
      </c>
      <c r="R19" s="238" t="str">
        <f t="shared" si="10"/>
        <v/>
      </c>
    </row>
    <row r="20" spans="1:18" x14ac:dyDescent="0.25">
      <c r="A20" s="231" t="s">
        <v>1572</v>
      </c>
      <c r="B20" s="232" t="s">
        <v>1573</v>
      </c>
      <c r="C20" s="232"/>
      <c r="D20" s="232" t="str">
        <f t="shared" si="2"/>
        <v/>
      </c>
      <c r="E20" s="232" t="s">
        <v>1574</v>
      </c>
      <c r="F20" s="233" t="s">
        <v>1575</v>
      </c>
      <c r="G20" s="233" t="s">
        <v>1576</v>
      </c>
      <c r="H20" s="234">
        <f t="shared" si="3"/>
        <v>16</v>
      </c>
      <c r="I20" s="234" t="b">
        <f t="shared" si="4"/>
        <v>1</v>
      </c>
      <c r="J20" s="234" t="b">
        <v>0</v>
      </c>
      <c r="L20" s="233" t="str">
        <f t="shared" si="5"/>
        <v/>
      </c>
      <c r="M20" s="233" t="str">
        <f t="shared" si="6"/>
        <v/>
      </c>
      <c r="N20" s="234" t="str">
        <f t="shared" si="7"/>
        <v/>
      </c>
      <c r="O20" s="234" t="str">
        <f t="shared" si="8"/>
        <v/>
      </c>
      <c r="P20" s="234" t="str">
        <f t="shared" si="9"/>
        <v/>
      </c>
      <c r="Q20" s="234" t="str">
        <f t="shared" si="1"/>
        <v/>
      </c>
      <c r="R20" s="234" t="str">
        <f t="shared" si="10"/>
        <v/>
      </c>
    </row>
    <row r="21" spans="1:18" x14ac:dyDescent="0.25">
      <c r="A21" s="235" t="s">
        <v>1577</v>
      </c>
      <c r="B21" s="236" t="s">
        <v>1578</v>
      </c>
      <c r="C21" s="236"/>
      <c r="D21" s="236" t="str">
        <f t="shared" si="2"/>
        <v/>
      </c>
      <c r="E21" s="236" t="s">
        <v>1579</v>
      </c>
      <c r="F21" s="237" t="s">
        <v>1580</v>
      </c>
      <c r="G21" s="237" t="s">
        <v>1581</v>
      </c>
      <c r="H21" s="238">
        <f t="shared" si="3"/>
        <v>16</v>
      </c>
      <c r="I21" s="238" t="b">
        <f t="shared" si="4"/>
        <v>1</v>
      </c>
      <c r="J21" s="238" t="b">
        <v>0</v>
      </c>
      <c r="L21" s="237" t="str">
        <f t="shared" si="5"/>
        <v/>
      </c>
      <c r="M21" s="237" t="str">
        <f t="shared" si="6"/>
        <v/>
      </c>
      <c r="N21" s="238" t="str">
        <f t="shared" si="7"/>
        <v/>
      </c>
      <c r="O21" s="238" t="str">
        <f t="shared" si="8"/>
        <v/>
      </c>
      <c r="P21" s="238" t="str">
        <f t="shared" si="9"/>
        <v/>
      </c>
      <c r="Q21" s="238" t="str">
        <f t="shared" si="1"/>
        <v/>
      </c>
      <c r="R21" s="238" t="str">
        <f t="shared" si="10"/>
        <v/>
      </c>
    </row>
    <row r="22" spans="1:18" x14ac:dyDescent="0.25">
      <c r="A22" s="231" t="s">
        <v>1582</v>
      </c>
      <c r="B22" s="232" t="s">
        <v>1583</v>
      </c>
      <c r="C22" s="232"/>
      <c r="D22" s="232" t="str">
        <f t="shared" si="2"/>
        <v/>
      </c>
      <c r="E22" s="232" t="s">
        <v>1584</v>
      </c>
      <c r="F22" s="233" t="s">
        <v>1585</v>
      </c>
      <c r="G22" s="233" t="s">
        <v>1586</v>
      </c>
      <c r="H22" s="234">
        <f t="shared" si="3"/>
        <v>16</v>
      </c>
      <c r="I22" s="234" t="b">
        <f t="shared" si="4"/>
        <v>1</v>
      </c>
      <c r="J22" s="234" t="b">
        <v>0</v>
      </c>
      <c r="L22" s="233" t="str">
        <f t="shared" si="5"/>
        <v/>
      </c>
      <c r="M22" s="233" t="str">
        <f t="shared" si="6"/>
        <v/>
      </c>
      <c r="N22" s="234" t="str">
        <f t="shared" si="7"/>
        <v/>
      </c>
      <c r="O22" s="234" t="str">
        <f t="shared" si="8"/>
        <v/>
      </c>
      <c r="P22" s="234" t="str">
        <f t="shared" si="9"/>
        <v/>
      </c>
      <c r="Q22" s="234" t="str">
        <f t="shared" si="1"/>
        <v/>
      </c>
      <c r="R22" s="234" t="str">
        <f t="shared" si="10"/>
        <v/>
      </c>
    </row>
    <row r="23" spans="1:18" x14ac:dyDescent="0.25">
      <c r="A23" s="235" t="s">
        <v>1587</v>
      </c>
      <c r="B23" s="236" t="s">
        <v>1588</v>
      </c>
      <c r="C23" s="236"/>
      <c r="D23" s="236" t="str">
        <f t="shared" si="2"/>
        <v/>
      </c>
      <c r="E23" s="236" t="s">
        <v>1589</v>
      </c>
      <c r="F23" s="237" t="s">
        <v>1590</v>
      </c>
      <c r="G23" s="237" t="s">
        <v>1591</v>
      </c>
      <c r="H23" s="238">
        <f t="shared" si="3"/>
        <v>16</v>
      </c>
      <c r="I23" s="238" t="b">
        <f t="shared" si="4"/>
        <v>1</v>
      </c>
      <c r="J23" s="238" t="b">
        <v>0</v>
      </c>
      <c r="L23" s="237" t="str">
        <f t="shared" si="5"/>
        <v/>
      </c>
      <c r="M23" s="237" t="str">
        <f t="shared" si="6"/>
        <v/>
      </c>
      <c r="N23" s="238" t="str">
        <f t="shared" si="7"/>
        <v/>
      </c>
      <c r="O23" s="238" t="str">
        <f t="shared" si="8"/>
        <v/>
      </c>
      <c r="P23" s="238" t="str">
        <f t="shared" si="9"/>
        <v/>
      </c>
      <c r="Q23" s="238" t="str">
        <f t="shared" si="1"/>
        <v/>
      </c>
      <c r="R23" s="238" t="str">
        <f t="shared" si="10"/>
        <v/>
      </c>
    </row>
    <row r="24" spans="1:18" x14ac:dyDescent="0.25">
      <c r="A24" s="231" t="s">
        <v>1592</v>
      </c>
      <c r="B24" s="232" t="s">
        <v>1593</v>
      </c>
      <c r="C24" s="232"/>
      <c r="D24" s="232" t="str">
        <f t="shared" si="2"/>
        <v/>
      </c>
      <c r="E24" s="232" t="s">
        <v>1594</v>
      </c>
      <c r="F24" s="233" t="s">
        <v>1595</v>
      </c>
      <c r="G24" s="233" t="s">
        <v>1596</v>
      </c>
      <c r="H24" s="234">
        <f t="shared" si="3"/>
        <v>16</v>
      </c>
      <c r="I24" s="234" t="b">
        <f t="shared" si="4"/>
        <v>1</v>
      </c>
      <c r="J24" s="234" t="b">
        <v>0</v>
      </c>
      <c r="L24" s="233" t="str">
        <f t="shared" si="5"/>
        <v/>
      </c>
      <c r="M24" s="233" t="str">
        <f t="shared" si="6"/>
        <v/>
      </c>
      <c r="N24" s="234" t="str">
        <f t="shared" si="7"/>
        <v/>
      </c>
      <c r="O24" s="234" t="str">
        <f t="shared" si="8"/>
        <v/>
      </c>
      <c r="P24" s="234" t="str">
        <f t="shared" si="9"/>
        <v/>
      </c>
      <c r="Q24" s="234" t="str">
        <f t="shared" si="1"/>
        <v/>
      </c>
      <c r="R24" s="234" t="str">
        <f t="shared" si="10"/>
        <v/>
      </c>
    </row>
    <row r="25" spans="1:18" x14ac:dyDescent="0.25">
      <c r="A25" s="235" t="s">
        <v>1597</v>
      </c>
      <c r="B25" s="236" t="s">
        <v>1598</v>
      </c>
      <c r="C25" s="236"/>
      <c r="D25" s="236" t="str">
        <f t="shared" si="2"/>
        <v/>
      </c>
      <c r="E25" s="236" t="s">
        <v>1599</v>
      </c>
      <c r="F25" s="237" t="s">
        <v>1600</v>
      </c>
      <c r="G25" s="237" t="s">
        <v>1601</v>
      </c>
      <c r="H25" s="238">
        <f t="shared" si="3"/>
        <v>16</v>
      </c>
      <c r="I25" s="238" t="b">
        <f t="shared" si="4"/>
        <v>1</v>
      </c>
      <c r="J25" s="238" t="b">
        <v>0</v>
      </c>
      <c r="L25" s="237" t="str">
        <f t="shared" si="5"/>
        <v/>
      </c>
      <c r="M25" s="237" t="str">
        <f t="shared" si="6"/>
        <v/>
      </c>
      <c r="N25" s="238" t="str">
        <f t="shared" si="7"/>
        <v/>
      </c>
      <c r="O25" s="238" t="str">
        <f t="shared" si="8"/>
        <v/>
      </c>
      <c r="P25" s="238" t="str">
        <f t="shared" si="9"/>
        <v/>
      </c>
      <c r="Q25" s="238" t="str">
        <f t="shared" si="1"/>
        <v/>
      </c>
      <c r="R25" s="238" t="str">
        <f t="shared" si="10"/>
        <v/>
      </c>
    </row>
    <row r="26" spans="1:18" x14ac:dyDescent="0.25">
      <c r="A26" s="231" t="s">
        <v>1602</v>
      </c>
      <c r="B26" s="232" t="s">
        <v>1603</v>
      </c>
      <c r="C26" s="232"/>
      <c r="D26" s="232" t="str">
        <f t="shared" si="2"/>
        <v/>
      </c>
      <c r="E26" s="232" t="s">
        <v>1604</v>
      </c>
      <c r="F26" s="233" t="s">
        <v>1605</v>
      </c>
      <c r="G26" s="233" t="s">
        <v>1606</v>
      </c>
      <c r="H26" s="234">
        <f t="shared" si="3"/>
        <v>16</v>
      </c>
      <c r="I26" s="234" t="b">
        <f t="shared" si="4"/>
        <v>1</v>
      </c>
      <c r="J26" s="234" t="b">
        <v>0</v>
      </c>
      <c r="L26" s="233" t="str">
        <f t="shared" si="5"/>
        <v/>
      </c>
      <c r="M26" s="233" t="str">
        <f t="shared" si="6"/>
        <v/>
      </c>
      <c r="N26" s="234" t="str">
        <f t="shared" si="7"/>
        <v/>
      </c>
      <c r="O26" s="234" t="str">
        <f t="shared" si="8"/>
        <v/>
      </c>
      <c r="P26" s="234" t="str">
        <f t="shared" si="9"/>
        <v/>
      </c>
      <c r="Q26" s="234" t="str">
        <f t="shared" si="1"/>
        <v/>
      </c>
      <c r="R26" s="234" t="str">
        <f t="shared" si="10"/>
        <v/>
      </c>
    </row>
    <row r="27" spans="1:18" x14ac:dyDescent="0.25">
      <c r="A27" s="235" t="s">
        <v>1607</v>
      </c>
      <c r="B27" s="236" t="s">
        <v>1608</v>
      </c>
      <c r="C27" s="236"/>
      <c r="D27" s="236" t="str">
        <f t="shared" si="2"/>
        <v/>
      </c>
      <c r="E27" s="236" t="s">
        <v>1609</v>
      </c>
      <c r="F27" s="237" t="s">
        <v>1610</v>
      </c>
      <c r="G27" s="237" t="s">
        <v>1611</v>
      </c>
      <c r="H27" s="238">
        <f t="shared" si="3"/>
        <v>16</v>
      </c>
      <c r="I27" s="238" t="b">
        <f t="shared" si="4"/>
        <v>1</v>
      </c>
      <c r="J27" s="238" t="b">
        <v>0</v>
      </c>
      <c r="L27" s="237" t="str">
        <f t="shared" si="5"/>
        <v/>
      </c>
      <c r="M27" s="237" t="str">
        <f t="shared" si="6"/>
        <v/>
      </c>
      <c r="N27" s="238" t="str">
        <f t="shared" si="7"/>
        <v/>
      </c>
      <c r="O27" s="238" t="str">
        <f t="shared" si="8"/>
        <v/>
      </c>
      <c r="P27" s="238" t="str">
        <f t="shared" si="9"/>
        <v/>
      </c>
      <c r="Q27" s="238" t="str">
        <f t="shared" si="1"/>
        <v/>
      </c>
      <c r="R27" s="238" t="str">
        <f t="shared" si="10"/>
        <v/>
      </c>
    </row>
    <row r="28" spans="1:18" x14ac:dyDescent="0.25">
      <c r="A28" s="231" t="s">
        <v>1612</v>
      </c>
      <c r="B28" s="232" t="s">
        <v>1613</v>
      </c>
      <c r="C28" s="232"/>
      <c r="D28" s="232" t="str">
        <f t="shared" si="2"/>
        <v/>
      </c>
      <c r="E28" s="232" t="s">
        <v>1614</v>
      </c>
      <c r="F28" s="233" t="s">
        <v>1615</v>
      </c>
      <c r="G28" s="233" t="s">
        <v>1616</v>
      </c>
      <c r="H28" s="234">
        <f t="shared" si="3"/>
        <v>16</v>
      </c>
      <c r="I28" s="234" t="b">
        <f t="shared" si="4"/>
        <v>1</v>
      </c>
      <c r="J28" s="234" t="b">
        <v>0</v>
      </c>
      <c r="L28" s="233" t="str">
        <f t="shared" si="5"/>
        <v/>
      </c>
      <c r="M28" s="233" t="str">
        <f t="shared" si="6"/>
        <v/>
      </c>
      <c r="N28" s="234" t="str">
        <f t="shared" si="7"/>
        <v/>
      </c>
      <c r="O28" s="234" t="str">
        <f t="shared" si="8"/>
        <v/>
      </c>
      <c r="P28" s="234" t="str">
        <f t="shared" si="9"/>
        <v/>
      </c>
      <c r="Q28" s="234" t="str">
        <f t="shared" si="1"/>
        <v/>
      </c>
      <c r="R28" s="234" t="str">
        <f t="shared" si="10"/>
        <v/>
      </c>
    </row>
    <row r="29" spans="1:18" x14ac:dyDescent="0.25">
      <c r="A29" s="235" t="s">
        <v>1617</v>
      </c>
      <c r="B29" s="236" t="s">
        <v>1618</v>
      </c>
      <c r="C29" s="236"/>
      <c r="D29" s="236" t="str">
        <f t="shared" si="2"/>
        <v/>
      </c>
      <c r="E29" s="236" t="s">
        <v>1619</v>
      </c>
      <c r="F29" s="237" t="s">
        <v>1620</v>
      </c>
      <c r="G29" s="237" t="s">
        <v>1621</v>
      </c>
      <c r="H29" s="238">
        <f t="shared" si="3"/>
        <v>16</v>
      </c>
      <c r="I29" s="238" t="b">
        <f t="shared" si="4"/>
        <v>1</v>
      </c>
      <c r="J29" s="238" t="b">
        <v>0</v>
      </c>
      <c r="L29" s="237" t="str">
        <f t="shared" si="5"/>
        <v/>
      </c>
      <c r="M29" s="237" t="str">
        <f t="shared" si="6"/>
        <v/>
      </c>
      <c r="N29" s="238" t="str">
        <f t="shared" si="7"/>
        <v/>
      </c>
      <c r="O29" s="238" t="str">
        <f t="shared" si="8"/>
        <v/>
      </c>
      <c r="P29" s="238" t="str">
        <f t="shared" si="9"/>
        <v/>
      </c>
      <c r="Q29" s="238" t="str">
        <f t="shared" si="1"/>
        <v/>
      </c>
      <c r="R29" s="238" t="str">
        <f t="shared" si="10"/>
        <v/>
      </c>
    </row>
    <row r="30" spans="1:18" x14ac:dyDescent="0.25">
      <c r="A30" s="231" t="s">
        <v>1622</v>
      </c>
      <c r="B30" s="232" t="s">
        <v>1623</v>
      </c>
      <c r="C30" s="232"/>
      <c r="D30" s="232" t="str">
        <f t="shared" si="2"/>
        <v/>
      </c>
      <c r="E30" s="232" t="s">
        <v>1624</v>
      </c>
      <c r="F30" s="233" t="s">
        <v>1625</v>
      </c>
      <c r="G30" s="233" t="s">
        <v>1626</v>
      </c>
      <c r="H30" s="234">
        <f t="shared" si="3"/>
        <v>16</v>
      </c>
      <c r="I30" s="234" t="b">
        <f t="shared" si="4"/>
        <v>1</v>
      </c>
      <c r="J30" s="234" t="b">
        <v>0</v>
      </c>
      <c r="L30" s="233" t="str">
        <f t="shared" si="5"/>
        <v/>
      </c>
      <c r="M30" s="233" t="str">
        <f t="shared" si="6"/>
        <v/>
      </c>
      <c r="N30" s="234" t="str">
        <f t="shared" si="7"/>
        <v/>
      </c>
      <c r="O30" s="234" t="str">
        <f t="shared" si="8"/>
        <v/>
      </c>
      <c r="P30" s="234" t="str">
        <f t="shared" si="9"/>
        <v/>
      </c>
      <c r="Q30" s="234" t="str">
        <f t="shared" si="1"/>
        <v/>
      </c>
      <c r="R30" s="234" t="str">
        <f t="shared" si="10"/>
        <v/>
      </c>
    </row>
    <row r="31" spans="1:18" x14ac:dyDescent="0.25">
      <c r="A31" s="235" t="s">
        <v>1627</v>
      </c>
      <c r="B31" s="236" t="s">
        <v>1628</v>
      </c>
      <c r="C31" s="236"/>
      <c r="D31" s="236" t="str">
        <f t="shared" si="2"/>
        <v/>
      </c>
      <c r="E31" s="236" t="s">
        <v>1629</v>
      </c>
      <c r="F31" s="237" t="s">
        <v>1630</v>
      </c>
      <c r="G31" s="237" t="s">
        <v>1631</v>
      </c>
      <c r="H31" s="238">
        <f t="shared" si="3"/>
        <v>16</v>
      </c>
      <c r="I31" s="238" t="b">
        <f t="shared" si="4"/>
        <v>1</v>
      </c>
      <c r="J31" s="238" t="b">
        <v>0</v>
      </c>
      <c r="L31" s="237" t="str">
        <f t="shared" si="5"/>
        <v/>
      </c>
      <c r="M31" s="237" t="str">
        <f t="shared" si="6"/>
        <v/>
      </c>
      <c r="N31" s="238" t="str">
        <f t="shared" si="7"/>
        <v/>
      </c>
      <c r="O31" s="238" t="str">
        <f t="shared" si="8"/>
        <v/>
      </c>
      <c r="P31" s="238" t="str">
        <f t="shared" si="9"/>
        <v/>
      </c>
      <c r="Q31" s="238" t="str">
        <f t="shared" si="1"/>
        <v/>
      </c>
      <c r="R31" s="238" t="str">
        <f t="shared" si="10"/>
        <v/>
      </c>
    </row>
    <row r="32" spans="1:18" x14ac:dyDescent="0.25">
      <c r="A32" s="231" t="s">
        <v>1632</v>
      </c>
      <c r="B32" s="232" t="s">
        <v>1633</v>
      </c>
      <c r="C32" s="232"/>
      <c r="D32" s="232" t="str">
        <f t="shared" si="2"/>
        <v/>
      </c>
      <c r="E32" s="232" t="s">
        <v>1634</v>
      </c>
      <c r="F32" s="233" t="s">
        <v>1635</v>
      </c>
      <c r="G32" s="233" t="s">
        <v>1636</v>
      </c>
      <c r="H32" s="234">
        <f t="shared" si="3"/>
        <v>16</v>
      </c>
      <c r="I32" s="234" t="b">
        <f t="shared" si="4"/>
        <v>1</v>
      </c>
      <c r="J32" s="234" t="b">
        <v>0</v>
      </c>
      <c r="L32" s="233" t="str">
        <f t="shared" si="5"/>
        <v/>
      </c>
      <c r="M32" s="233" t="str">
        <f t="shared" si="6"/>
        <v/>
      </c>
      <c r="N32" s="234" t="str">
        <f t="shared" si="7"/>
        <v/>
      </c>
      <c r="O32" s="234" t="str">
        <f t="shared" si="8"/>
        <v/>
      </c>
      <c r="P32" s="234" t="str">
        <f t="shared" si="9"/>
        <v/>
      </c>
      <c r="Q32" s="234" t="str">
        <f t="shared" si="1"/>
        <v/>
      </c>
      <c r="R32" s="234" t="str">
        <f t="shared" si="10"/>
        <v/>
      </c>
    </row>
    <row r="33" spans="1:25" x14ac:dyDescent="0.25">
      <c r="A33" s="235" t="s">
        <v>1637</v>
      </c>
      <c r="B33" s="236" t="s">
        <v>1638</v>
      </c>
      <c r="C33" s="236"/>
      <c r="D33" s="236" t="str">
        <f t="shared" si="2"/>
        <v/>
      </c>
      <c r="E33" s="236" t="s">
        <v>1639</v>
      </c>
      <c r="F33" s="237" t="s">
        <v>1640</v>
      </c>
      <c r="G33" s="237" t="s">
        <v>1641</v>
      </c>
      <c r="H33" s="238">
        <f t="shared" si="3"/>
        <v>16</v>
      </c>
      <c r="I33" s="238" t="b">
        <f t="shared" si="4"/>
        <v>1</v>
      </c>
      <c r="J33" s="238" t="b">
        <v>0</v>
      </c>
      <c r="L33" s="237" t="str">
        <f t="shared" si="5"/>
        <v/>
      </c>
      <c r="M33" s="237" t="str">
        <f t="shared" si="6"/>
        <v/>
      </c>
      <c r="N33" s="238" t="str">
        <f t="shared" si="7"/>
        <v/>
      </c>
      <c r="O33" s="238" t="str">
        <f t="shared" si="8"/>
        <v/>
      </c>
      <c r="P33" s="238" t="str">
        <f t="shared" si="9"/>
        <v/>
      </c>
      <c r="Q33" s="238" t="str">
        <f t="shared" si="1"/>
        <v/>
      </c>
      <c r="R33" s="238" t="str">
        <f t="shared" si="10"/>
        <v/>
      </c>
    </row>
    <row r="34" spans="1:25" x14ac:dyDescent="0.25">
      <c r="A34" s="231" t="s">
        <v>1642</v>
      </c>
      <c r="B34" s="232" t="s">
        <v>1643</v>
      </c>
      <c r="C34" s="232"/>
      <c r="D34" s="232" t="str">
        <f t="shared" si="2"/>
        <v/>
      </c>
      <c r="E34" s="232" t="s">
        <v>1644</v>
      </c>
      <c r="F34" s="233" t="s">
        <v>1645</v>
      </c>
      <c r="G34" s="233" t="s">
        <v>1646</v>
      </c>
      <c r="H34" s="234">
        <f t="shared" si="3"/>
        <v>16</v>
      </c>
      <c r="I34" s="234" t="b">
        <f t="shared" si="4"/>
        <v>1</v>
      </c>
      <c r="J34" s="234" t="b">
        <v>0</v>
      </c>
      <c r="L34" s="233" t="str">
        <f t="shared" si="5"/>
        <v/>
      </c>
      <c r="M34" s="233" t="str">
        <f t="shared" si="6"/>
        <v/>
      </c>
      <c r="N34" s="234" t="str">
        <f t="shared" si="7"/>
        <v/>
      </c>
      <c r="O34" s="234" t="str">
        <f t="shared" si="8"/>
        <v/>
      </c>
      <c r="P34" s="234" t="str">
        <f t="shared" si="9"/>
        <v/>
      </c>
      <c r="Q34" s="234" t="str">
        <f t="shared" si="1"/>
        <v/>
      </c>
      <c r="R34" s="234" t="str">
        <f t="shared" si="10"/>
        <v/>
      </c>
    </row>
    <row r="35" spans="1:25" x14ac:dyDescent="0.25">
      <c r="A35" s="235" t="s">
        <v>1647</v>
      </c>
      <c r="B35" s="236" t="s">
        <v>1648</v>
      </c>
      <c r="C35" s="236"/>
      <c r="D35" s="236" t="str">
        <f t="shared" si="2"/>
        <v/>
      </c>
      <c r="E35" s="236" t="s">
        <v>1649</v>
      </c>
      <c r="F35" s="237" t="s">
        <v>1650</v>
      </c>
      <c r="G35" s="237" t="s">
        <v>1651</v>
      </c>
      <c r="H35" s="238">
        <f t="shared" si="3"/>
        <v>16</v>
      </c>
      <c r="I35" s="238" t="b">
        <f t="shared" si="4"/>
        <v>1</v>
      </c>
      <c r="J35" s="238" t="b">
        <v>0</v>
      </c>
      <c r="L35" s="237" t="str">
        <f t="shared" si="5"/>
        <v/>
      </c>
      <c r="M35" s="237" t="str">
        <f t="shared" si="6"/>
        <v/>
      </c>
      <c r="N35" s="238" t="str">
        <f t="shared" si="7"/>
        <v/>
      </c>
      <c r="O35" s="238" t="str">
        <f t="shared" si="8"/>
        <v/>
      </c>
      <c r="P35" s="238" t="str">
        <f t="shared" si="9"/>
        <v/>
      </c>
      <c r="Q35" s="238" t="str">
        <f t="shared" si="1"/>
        <v/>
      </c>
      <c r="R35" s="238" t="str">
        <f t="shared" si="10"/>
        <v/>
      </c>
    </row>
    <row r="36" spans="1:25" x14ac:dyDescent="0.25">
      <c r="A36" s="231" t="s">
        <v>1652</v>
      </c>
      <c r="B36" s="232" t="s">
        <v>1653</v>
      </c>
      <c r="C36" s="232"/>
      <c r="D36" s="232" t="str">
        <f t="shared" si="2"/>
        <v/>
      </c>
      <c r="E36" s="232" t="s">
        <v>1654</v>
      </c>
      <c r="F36" s="233" t="s">
        <v>1655</v>
      </c>
      <c r="G36" s="233" t="s">
        <v>1656</v>
      </c>
      <c r="H36" s="234">
        <f t="shared" si="3"/>
        <v>16</v>
      </c>
      <c r="I36" s="234" t="b">
        <f t="shared" si="4"/>
        <v>1</v>
      </c>
      <c r="J36" s="234" t="b">
        <v>0</v>
      </c>
      <c r="L36" s="233" t="str">
        <f t="shared" si="5"/>
        <v/>
      </c>
      <c r="M36" s="233" t="str">
        <f t="shared" si="6"/>
        <v/>
      </c>
      <c r="N36" s="234" t="str">
        <f t="shared" si="7"/>
        <v/>
      </c>
      <c r="O36" s="234" t="str">
        <f t="shared" si="8"/>
        <v/>
      </c>
      <c r="P36" s="234" t="str">
        <f t="shared" si="9"/>
        <v/>
      </c>
      <c r="Q36" s="234" t="str">
        <f t="shared" si="1"/>
        <v/>
      </c>
      <c r="R36" s="234" t="str">
        <f t="shared" si="10"/>
        <v/>
      </c>
    </row>
    <row r="37" spans="1:25" x14ac:dyDescent="0.25">
      <c r="A37" s="235" t="s">
        <v>1657</v>
      </c>
      <c r="B37" s="236" t="s">
        <v>1658</v>
      </c>
      <c r="C37" s="236"/>
      <c r="D37" s="236" t="str">
        <f t="shared" si="2"/>
        <v/>
      </c>
      <c r="E37" s="236" t="s">
        <v>1659</v>
      </c>
      <c r="F37" s="237" t="s">
        <v>1660</v>
      </c>
      <c r="G37" s="237" t="s">
        <v>1661</v>
      </c>
      <c r="H37" s="238">
        <f t="shared" si="3"/>
        <v>16</v>
      </c>
      <c r="I37" s="238" t="b">
        <f t="shared" si="4"/>
        <v>1</v>
      </c>
      <c r="J37" s="238" t="b">
        <v>0</v>
      </c>
      <c r="L37" s="237" t="str">
        <f t="shared" si="5"/>
        <v/>
      </c>
      <c r="M37" s="237" t="str">
        <f t="shared" si="6"/>
        <v/>
      </c>
      <c r="N37" s="238" t="str">
        <f t="shared" si="7"/>
        <v/>
      </c>
      <c r="O37" s="238" t="str">
        <f t="shared" si="8"/>
        <v/>
      </c>
      <c r="P37" s="238" t="str">
        <f t="shared" si="9"/>
        <v/>
      </c>
      <c r="Q37" s="238" t="str">
        <f t="shared" si="1"/>
        <v/>
      </c>
      <c r="R37" s="238" t="str">
        <f t="shared" si="10"/>
        <v/>
      </c>
    </row>
    <row r="38" spans="1:25" x14ac:dyDescent="0.25">
      <c r="A38" s="231" t="s">
        <v>1662</v>
      </c>
      <c r="B38" s="232" t="s">
        <v>1663</v>
      </c>
      <c r="C38" s="232"/>
      <c r="D38" s="232" t="str">
        <f t="shared" si="2"/>
        <v/>
      </c>
      <c r="E38" s="232" t="s">
        <v>1664</v>
      </c>
      <c r="F38" s="233" t="s">
        <v>1665</v>
      </c>
      <c r="G38" s="233" t="s">
        <v>1666</v>
      </c>
      <c r="H38" s="234">
        <f t="shared" si="3"/>
        <v>16</v>
      </c>
      <c r="I38" s="234" t="b">
        <f t="shared" si="4"/>
        <v>1</v>
      </c>
      <c r="J38" s="234" t="b">
        <v>0</v>
      </c>
      <c r="L38" s="233" t="str">
        <f t="shared" si="5"/>
        <v/>
      </c>
      <c r="M38" s="233" t="str">
        <f t="shared" si="6"/>
        <v/>
      </c>
      <c r="N38" s="234" t="str">
        <f t="shared" si="7"/>
        <v/>
      </c>
      <c r="O38" s="234" t="str">
        <f t="shared" si="8"/>
        <v/>
      </c>
      <c r="P38" s="234" t="str">
        <f t="shared" si="9"/>
        <v/>
      </c>
      <c r="Q38" s="234" t="str">
        <f t="shared" si="1"/>
        <v/>
      </c>
      <c r="R38" s="234" t="str">
        <f t="shared" si="10"/>
        <v/>
      </c>
    </row>
    <row r="39" spans="1:25" x14ac:dyDescent="0.25">
      <c r="A39" s="235" t="s">
        <v>1667</v>
      </c>
      <c r="B39" s="236" t="s">
        <v>1668</v>
      </c>
      <c r="C39" s="236"/>
      <c r="D39" s="236" t="str">
        <f t="shared" si="2"/>
        <v/>
      </c>
      <c r="E39" s="236" t="s">
        <v>1669</v>
      </c>
      <c r="F39" s="237" t="s">
        <v>1670</v>
      </c>
      <c r="G39" s="237" t="s">
        <v>1671</v>
      </c>
      <c r="H39" s="238">
        <f t="shared" si="3"/>
        <v>16</v>
      </c>
      <c r="I39" s="238" t="b">
        <f t="shared" si="4"/>
        <v>1</v>
      </c>
      <c r="J39" s="238" t="b">
        <v>0</v>
      </c>
      <c r="L39" s="237" t="str">
        <f t="shared" si="5"/>
        <v/>
      </c>
      <c r="M39" s="237" t="str">
        <f t="shared" si="6"/>
        <v/>
      </c>
      <c r="N39" s="238" t="str">
        <f t="shared" si="7"/>
        <v/>
      </c>
      <c r="O39" s="238" t="str">
        <f t="shared" si="8"/>
        <v/>
      </c>
      <c r="P39" s="238" t="str">
        <f t="shared" si="9"/>
        <v/>
      </c>
      <c r="Q39" s="238" t="str">
        <f t="shared" si="1"/>
        <v/>
      </c>
      <c r="R39" s="238" t="str">
        <f t="shared" si="10"/>
        <v/>
      </c>
    </row>
    <row r="40" spans="1:25" x14ac:dyDescent="0.25">
      <c r="A40" s="231" t="s">
        <v>1672</v>
      </c>
      <c r="B40" s="232" t="s">
        <v>1673</v>
      </c>
      <c r="C40" s="232"/>
      <c r="D40" s="232" t="str">
        <f t="shared" si="2"/>
        <v/>
      </c>
      <c r="E40" s="232" t="s">
        <v>1674</v>
      </c>
      <c r="F40" s="233" t="s">
        <v>1675</v>
      </c>
      <c r="G40" s="233" t="s">
        <v>1676</v>
      </c>
      <c r="H40" s="234">
        <f t="shared" si="3"/>
        <v>16</v>
      </c>
      <c r="I40" s="234" t="b">
        <f t="shared" si="4"/>
        <v>1</v>
      </c>
      <c r="J40" s="234" t="b">
        <v>0</v>
      </c>
      <c r="L40" s="233" t="str">
        <f t="shared" si="5"/>
        <v/>
      </c>
      <c r="M40" s="233" t="str">
        <f t="shared" si="6"/>
        <v/>
      </c>
      <c r="N40" s="234" t="str">
        <f t="shared" si="7"/>
        <v/>
      </c>
      <c r="O40" s="234" t="str">
        <f t="shared" si="8"/>
        <v/>
      </c>
      <c r="P40" s="234" t="str">
        <f t="shared" si="9"/>
        <v/>
      </c>
      <c r="Q40" s="234" t="str">
        <f t="shared" si="1"/>
        <v/>
      </c>
      <c r="R40" s="234" t="str">
        <f t="shared" si="10"/>
        <v/>
      </c>
    </row>
    <row r="41" spans="1:25" x14ac:dyDescent="0.25">
      <c r="A41" s="235" t="s">
        <v>1677</v>
      </c>
      <c r="B41" s="236" t="s">
        <v>1678</v>
      </c>
      <c r="C41" s="236"/>
      <c r="D41" s="236" t="str">
        <f t="shared" si="2"/>
        <v/>
      </c>
      <c r="E41" s="236" t="s">
        <v>1679</v>
      </c>
      <c r="F41" s="237" t="s">
        <v>1680</v>
      </c>
      <c r="G41" s="237" t="s">
        <v>1681</v>
      </c>
      <c r="H41" s="238">
        <f t="shared" si="3"/>
        <v>16</v>
      </c>
      <c r="I41" s="238" t="b">
        <f t="shared" si="4"/>
        <v>1</v>
      </c>
      <c r="J41" s="238" t="b">
        <v>0</v>
      </c>
      <c r="L41" s="237" t="str">
        <f t="shared" si="5"/>
        <v/>
      </c>
      <c r="M41" s="237" t="str">
        <f t="shared" si="6"/>
        <v/>
      </c>
      <c r="N41" s="238" t="str">
        <f t="shared" si="7"/>
        <v/>
      </c>
      <c r="O41" s="238" t="str">
        <f t="shared" si="8"/>
        <v/>
      </c>
      <c r="P41" s="238" t="str">
        <f t="shared" si="9"/>
        <v/>
      </c>
      <c r="Q41" s="238" t="str">
        <f t="shared" si="1"/>
        <v/>
      </c>
      <c r="R41" s="238" t="str">
        <f t="shared" si="10"/>
        <v/>
      </c>
    </row>
    <row r="42" spans="1:25" x14ac:dyDescent="0.25">
      <c r="A42" s="231" t="s">
        <v>1682</v>
      </c>
      <c r="B42" s="232" t="s">
        <v>1683</v>
      </c>
      <c r="C42" s="232"/>
      <c r="D42" s="232" t="str">
        <f t="shared" si="2"/>
        <v/>
      </c>
      <c r="E42" s="232" t="s">
        <v>1684</v>
      </c>
      <c r="F42" s="233" t="s">
        <v>1685</v>
      </c>
      <c r="G42" s="233" t="s">
        <v>1686</v>
      </c>
      <c r="H42" s="234">
        <f t="shared" si="3"/>
        <v>16</v>
      </c>
      <c r="I42" s="234" t="b">
        <f t="shared" si="4"/>
        <v>1</v>
      </c>
      <c r="J42" s="234" t="b">
        <v>0</v>
      </c>
      <c r="L42" s="233" t="str">
        <f t="shared" si="5"/>
        <v/>
      </c>
      <c r="M42" s="233" t="str">
        <f t="shared" si="6"/>
        <v/>
      </c>
      <c r="N42" s="234" t="str">
        <f t="shared" si="7"/>
        <v/>
      </c>
      <c r="O42" s="234" t="str">
        <f t="shared" si="8"/>
        <v/>
      </c>
      <c r="P42" s="234" t="str">
        <f t="shared" si="9"/>
        <v/>
      </c>
      <c r="Q42" s="234" t="str">
        <f t="shared" si="1"/>
        <v/>
      </c>
      <c r="R42" s="234" t="str">
        <f t="shared" si="10"/>
        <v/>
      </c>
    </row>
    <row r="43" spans="1:25" x14ac:dyDescent="0.25">
      <c r="A43" s="235" t="s">
        <v>1687</v>
      </c>
      <c r="B43" s="236" t="s">
        <v>1688</v>
      </c>
      <c r="C43" s="236"/>
      <c r="D43" s="236" t="str">
        <f t="shared" si="2"/>
        <v/>
      </c>
      <c r="E43" s="236" t="s">
        <v>1689</v>
      </c>
      <c r="F43" s="237" t="s">
        <v>1690</v>
      </c>
      <c r="G43" s="237" t="s">
        <v>1691</v>
      </c>
      <c r="H43" s="238">
        <f t="shared" si="3"/>
        <v>16</v>
      </c>
      <c r="I43" s="238" t="b">
        <f t="shared" si="4"/>
        <v>1</v>
      </c>
      <c r="J43" s="238" t="b">
        <v>0</v>
      </c>
      <c r="L43" s="237" t="str">
        <f t="shared" si="5"/>
        <v/>
      </c>
      <c r="M43" s="237" t="str">
        <f t="shared" si="6"/>
        <v/>
      </c>
      <c r="N43" s="238" t="str">
        <f t="shared" si="7"/>
        <v/>
      </c>
      <c r="O43" s="238" t="str">
        <f t="shared" si="8"/>
        <v/>
      </c>
      <c r="P43" s="238" t="str">
        <f t="shared" si="9"/>
        <v/>
      </c>
      <c r="Q43" s="238" t="str">
        <f t="shared" si="1"/>
        <v/>
      </c>
      <c r="R43" s="238" t="str">
        <f t="shared" si="10"/>
        <v/>
      </c>
    </row>
    <row r="44" spans="1:25" ht="18" x14ac:dyDescent="0.25">
      <c r="A44" s="231" t="s">
        <v>1692</v>
      </c>
      <c r="B44" s="232" t="s">
        <v>1693</v>
      </c>
      <c r="C44" s="232"/>
      <c r="D44" s="232" t="str">
        <f t="shared" si="2"/>
        <v/>
      </c>
      <c r="E44" s="232" t="s">
        <v>1694</v>
      </c>
      <c r="F44" s="233" t="s">
        <v>1695</v>
      </c>
      <c r="G44" s="233" t="s">
        <v>1696</v>
      </c>
      <c r="H44" s="234">
        <f t="shared" si="3"/>
        <v>16</v>
      </c>
      <c r="I44" s="234" t="b">
        <f t="shared" si="4"/>
        <v>1</v>
      </c>
      <c r="J44" s="234" t="b">
        <v>0</v>
      </c>
      <c r="L44" s="233" t="str">
        <f t="shared" si="5"/>
        <v/>
      </c>
      <c r="M44" s="233" t="str">
        <f t="shared" si="6"/>
        <v/>
      </c>
      <c r="N44" s="234" t="str">
        <f t="shared" si="7"/>
        <v/>
      </c>
      <c r="O44" s="234" t="str">
        <f t="shared" si="8"/>
        <v/>
      </c>
      <c r="P44" s="234" t="str">
        <f t="shared" si="9"/>
        <v/>
      </c>
      <c r="Q44" s="234" t="str">
        <f t="shared" si="1"/>
        <v/>
      </c>
      <c r="R44" s="234" t="str">
        <f t="shared" si="10"/>
        <v/>
      </c>
      <c r="T44" s="230" t="s">
        <v>1697</v>
      </c>
      <c r="U44" s="239" t="s">
        <v>1698</v>
      </c>
      <c r="V44" s="239" t="s">
        <v>1699</v>
      </c>
      <c r="W44" s="239" t="s">
        <v>1700</v>
      </c>
      <c r="X44" s="239" t="s">
        <v>1701</v>
      </c>
      <c r="Y44" s="240" t="s">
        <v>1702</v>
      </c>
    </row>
    <row r="45" spans="1:25" x14ac:dyDescent="0.25">
      <c r="A45" s="235" t="s">
        <v>1703</v>
      </c>
      <c r="B45" s="236" t="s">
        <v>1704</v>
      </c>
      <c r="C45" s="236"/>
      <c r="D45" s="236" t="str">
        <f t="shared" si="2"/>
        <v/>
      </c>
      <c r="E45" s="236" t="s">
        <v>1705</v>
      </c>
      <c r="F45" s="237" t="s">
        <v>1706</v>
      </c>
      <c r="G45" s="237" t="s">
        <v>1707</v>
      </c>
      <c r="H45" s="238">
        <f t="shared" si="3"/>
        <v>16</v>
      </c>
      <c r="I45" s="238" t="b">
        <f t="shared" si="4"/>
        <v>0</v>
      </c>
      <c r="J45" s="238"/>
      <c r="L45" s="237" t="str">
        <f t="shared" si="5"/>
        <v/>
      </c>
      <c r="M45" s="237"/>
      <c r="N45" s="238" t="str">
        <f t="shared" si="7"/>
        <v/>
      </c>
      <c r="O45" s="238" t="str">
        <f t="shared" si="8"/>
        <v/>
      </c>
      <c r="P45" s="238" t="str">
        <f t="shared" si="9"/>
        <v/>
      </c>
      <c r="Q45" s="238" t="str">
        <f t="shared" si="1"/>
        <v/>
      </c>
      <c r="R45" s="238" t="str">
        <f t="shared" si="10"/>
        <v/>
      </c>
      <c r="T45" s="241">
        <f>IF(ISNUMBER(T44),T44+1,1)</f>
        <v>1</v>
      </c>
      <c r="U45" s="242" t="str">
        <f>A45</f>
        <v>System.Text.ASCIIEncoding</v>
      </c>
      <c r="V45" s="242" t="str">
        <f>SUBSTITUTE(U45,".","_")</f>
        <v>System_Text_ASCIIEncoding</v>
      </c>
      <c r="W45" s="242" t="s">
        <v>1708</v>
      </c>
      <c r="X45" s="242" t="str">
        <f>E45</f>
        <v>9e28ef95-9c6f-3a00-b525-36a76178cc9c</v>
      </c>
      <c r="Y45" s="243" t="str">
        <f>G45</f>
        <v>95EF289E6F9C003AB52536A76178CC9C</v>
      </c>
    </row>
    <row r="46" spans="1:25" x14ac:dyDescent="0.25">
      <c r="A46" s="231" t="s">
        <v>1709</v>
      </c>
      <c r="B46" s="232" t="s">
        <v>1710</v>
      </c>
      <c r="C46" s="232"/>
      <c r="D46" s="232" t="str">
        <f t="shared" si="2"/>
        <v/>
      </c>
      <c r="E46" s="232" t="s">
        <v>1711</v>
      </c>
      <c r="F46" s="233" t="s">
        <v>1712</v>
      </c>
      <c r="G46" s="233" t="s">
        <v>1713</v>
      </c>
      <c r="H46" s="234">
        <f t="shared" si="3"/>
        <v>16</v>
      </c>
      <c r="I46" s="234" t="b">
        <f t="shared" si="4"/>
        <v>0</v>
      </c>
      <c r="J46" s="234"/>
      <c r="L46" s="233" t="str">
        <f t="shared" si="5"/>
        <v/>
      </c>
      <c r="M46" s="233"/>
      <c r="N46" s="234" t="str">
        <f t="shared" si="7"/>
        <v/>
      </c>
      <c r="O46" s="234" t="str">
        <f t="shared" si="8"/>
        <v/>
      </c>
      <c r="P46" s="234" t="str">
        <f t="shared" si="9"/>
        <v/>
      </c>
      <c r="Q46" s="234" t="str">
        <f t="shared" si="1"/>
        <v/>
      </c>
      <c r="R46" s="234" t="str">
        <f t="shared" si="10"/>
        <v/>
      </c>
      <c r="T46" s="244">
        <f>IF(ISNUMBER(T45),T45+1,1)</f>
        <v>2</v>
      </c>
      <c r="U46" s="245" t="str">
        <f>A46</f>
        <v>System.Text.UnicodeEncoding</v>
      </c>
      <c r="V46" s="245" t="str">
        <f>SUBSTITUTE(U46,".","_")</f>
        <v>System_Text_UnicodeEncoding</v>
      </c>
      <c r="W46" s="245" t="s">
        <v>1714</v>
      </c>
      <c r="X46" s="245" t="str">
        <f>E46</f>
        <v>a0f5f5dc-337b-38d7-b1a3-fb1b95666bbf</v>
      </c>
      <c r="Y46" s="246" t="str">
        <f>G46</f>
        <v>DCF5F5A07B33D738B1A3FB1B95666BBF</v>
      </c>
    </row>
    <row r="47" spans="1:25" x14ac:dyDescent="0.25">
      <c r="A47" s="235" t="s">
        <v>1715</v>
      </c>
      <c r="B47" s="236" t="s">
        <v>1716</v>
      </c>
      <c r="C47" s="236"/>
      <c r="D47" s="236" t="str">
        <f t="shared" si="2"/>
        <v/>
      </c>
      <c r="E47" s="236" t="s">
        <v>1717</v>
      </c>
      <c r="F47" s="237" t="s">
        <v>1718</v>
      </c>
      <c r="G47" s="237" t="s">
        <v>1719</v>
      </c>
      <c r="H47" s="238">
        <f t="shared" si="3"/>
        <v>16</v>
      </c>
      <c r="I47" s="238" t="b">
        <f t="shared" si="4"/>
        <v>0</v>
      </c>
      <c r="J47" s="238"/>
      <c r="L47" s="237" t="str">
        <f t="shared" si="5"/>
        <v/>
      </c>
      <c r="M47" s="237"/>
      <c r="N47" s="238" t="str">
        <f t="shared" si="7"/>
        <v/>
      </c>
      <c r="O47" s="238" t="str">
        <f t="shared" si="8"/>
        <v/>
      </c>
      <c r="P47" s="238" t="str">
        <f t="shared" si="9"/>
        <v/>
      </c>
      <c r="Q47" s="238" t="str">
        <f t="shared" si="1"/>
        <v/>
      </c>
      <c r="R47" s="238" t="str">
        <f t="shared" si="10"/>
        <v/>
      </c>
      <c r="T47" s="241">
        <f>IF(ISNUMBER(T46),T46+1,1)</f>
        <v>3</v>
      </c>
      <c r="U47" s="242" t="str">
        <f>A47</f>
        <v>System.Text.UTF7Encoding</v>
      </c>
      <c r="V47" s="242" t="str">
        <f>SUBSTITUTE(U47,".","_")</f>
        <v>System_Text_UTF7Encoding</v>
      </c>
      <c r="W47" s="242" t="s">
        <v>1720</v>
      </c>
      <c r="X47" s="242" t="str">
        <f>E47</f>
        <v>3c9dca8b-4410-3143-b801-559553eb6725</v>
      </c>
      <c r="Y47" s="243" t="str">
        <f>G47</f>
        <v>8BCA9D3C10444331B801559553EB6725</v>
      </c>
    </row>
    <row r="48" spans="1:25" x14ac:dyDescent="0.25">
      <c r="A48" s="231" t="s">
        <v>1721</v>
      </c>
      <c r="B48" s="232" t="s">
        <v>1722</v>
      </c>
      <c r="C48" s="232"/>
      <c r="D48" s="232" t="str">
        <f t="shared" si="2"/>
        <v/>
      </c>
      <c r="E48" s="232" t="s">
        <v>1723</v>
      </c>
      <c r="F48" s="233" t="s">
        <v>1724</v>
      </c>
      <c r="G48" s="233" t="s">
        <v>1725</v>
      </c>
      <c r="H48" s="234">
        <f t="shared" si="3"/>
        <v>16</v>
      </c>
      <c r="I48" s="234" t="b">
        <f t="shared" si="4"/>
        <v>0</v>
      </c>
      <c r="J48" s="234"/>
      <c r="L48" s="233" t="str">
        <f t="shared" si="5"/>
        <v/>
      </c>
      <c r="M48" s="233"/>
      <c r="N48" s="234" t="str">
        <f t="shared" si="7"/>
        <v/>
      </c>
      <c r="O48" s="234" t="str">
        <f t="shared" si="8"/>
        <v/>
      </c>
      <c r="P48" s="234" t="str">
        <f t="shared" si="9"/>
        <v/>
      </c>
      <c r="Q48" s="234" t="str">
        <f t="shared" si="1"/>
        <v/>
      </c>
      <c r="R48" s="234" t="str">
        <f t="shared" si="10"/>
        <v/>
      </c>
      <c r="T48" s="244">
        <f>IF(ISNUMBER(T47),T47+1,1)</f>
        <v>4</v>
      </c>
      <c r="U48" s="245" t="str">
        <f>A48</f>
        <v>System.Text.UTF8Encoding</v>
      </c>
      <c r="V48" s="245" t="str">
        <f>SUBSTITUTE(U48,".","_")</f>
        <v>System_Text_UTF8Encoding</v>
      </c>
      <c r="W48" s="245" t="s">
        <v>1726</v>
      </c>
      <c r="X48" s="245" t="str">
        <f>E48</f>
        <v>8c40d44a-4ede-3760-9b61-50255056d3c7</v>
      </c>
      <c r="Y48" s="246" t="str">
        <f>G48</f>
        <v>4AD4408CDE4E60379B6150255056D3C7</v>
      </c>
    </row>
    <row r="49" spans="1:25" x14ac:dyDescent="0.25">
      <c r="A49" s="247" t="s">
        <v>1727</v>
      </c>
      <c r="B49" s="248" t="s">
        <v>1728</v>
      </c>
      <c r="C49" s="248"/>
      <c r="D49" s="248" t="str">
        <f t="shared" si="2"/>
        <v/>
      </c>
      <c r="E49" s="248" t="s">
        <v>1729</v>
      </c>
      <c r="F49" s="249" t="s">
        <v>1730</v>
      </c>
      <c r="G49" s="249" t="s">
        <v>1731</v>
      </c>
      <c r="H49" s="238">
        <f t="shared" si="3"/>
        <v>16</v>
      </c>
      <c r="I49" s="238" t="b">
        <f t="shared" si="4"/>
        <v>0</v>
      </c>
      <c r="J49" s="238"/>
      <c r="L49" s="249" t="str">
        <f t="shared" si="5"/>
        <v/>
      </c>
      <c r="M49" s="249"/>
      <c r="N49" s="238" t="str">
        <f t="shared" si="7"/>
        <v/>
      </c>
      <c r="O49" s="238" t="str">
        <f t="shared" si="8"/>
        <v/>
      </c>
      <c r="P49" s="238" t="str">
        <f t="shared" si="9"/>
        <v/>
      </c>
      <c r="Q49" s="238" t="str">
        <f t="shared" si="1"/>
        <v/>
      </c>
      <c r="R49" s="238"/>
      <c r="T49" s="250">
        <f>IF(ISNUMBER(T48),T48+1,1)</f>
        <v>5</v>
      </c>
      <c r="U49" s="251" t="str">
        <f>A49</f>
        <v>System.Text.UTF32Encoding</v>
      </c>
      <c r="V49" s="251" t="str">
        <f>SUBSTITUTE(U49,".","_")</f>
        <v>System_Text_UTF32Encoding</v>
      </c>
      <c r="W49" s="251" t="s">
        <v>1732</v>
      </c>
      <c r="X49" s="251" t="str">
        <f>E49</f>
        <v>ae62c05d-0a02-30e7-9b51-e9d4dd157207</v>
      </c>
      <c r="Y49" s="252" t="str">
        <f>G49</f>
        <v>5DC062AE020AE7309B51E9D4DD157207</v>
      </c>
    </row>
  </sheetData>
  <hyperlinks>
    <hyperlink ref="N1" location="OutputDirectoryName" display="OutputDirectoryName"/>
  </hyperlinks>
  <pageMargins left="0.7" right="0.7" top="0.75" bottom="0.75" header="0.3" footer="0.3"/>
  <pageSetup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AH16"/>
  <sheetViews>
    <sheetView workbookViewId="0">
      <pane xSplit="1" ySplit="1" topLeftCell="V2" activePane="bottomRight" state="frozen"/>
      <selection pane="topRight" activeCell="B1" sqref="B1"/>
      <selection pane="bottomLeft" activeCell="A2" sqref="A2"/>
      <selection pane="bottomRight" activeCell="X16" sqref="X16"/>
    </sheetView>
  </sheetViews>
  <sheetFormatPr defaultRowHeight="15" outlineLevelRow="2" x14ac:dyDescent="0.25"/>
  <cols>
    <col min="1" max="1" width="97.5" bestFit="1" customWidth="1"/>
    <col min="2" max="2" width="34.625" bestFit="1" customWidth="1"/>
    <col min="3" max="3" width="38.75" bestFit="1" customWidth="1"/>
    <col min="4" max="4" width="37.75" bestFit="1" customWidth="1"/>
    <col min="5" max="6" width="81" bestFit="1" customWidth="1"/>
    <col min="7" max="7" width="22.25" bestFit="1" customWidth="1"/>
    <col min="8" max="8" width="39.75" bestFit="1" customWidth="1"/>
    <col min="9" max="9" width="49" bestFit="1" customWidth="1"/>
    <col min="10" max="11" width="47" bestFit="1" customWidth="1"/>
    <col min="12" max="12" width="48" bestFit="1" customWidth="1"/>
    <col min="13" max="13" width="63.5" bestFit="1" customWidth="1"/>
    <col min="14" max="14" width="29.5" bestFit="1" customWidth="1"/>
    <col min="15" max="15" width="20.25" bestFit="1" customWidth="1"/>
    <col min="16" max="16" width="20.5" bestFit="1" customWidth="1"/>
    <col min="17" max="17" width="40.75" bestFit="1" customWidth="1"/>
    <col min="22" max="23" width="8" bestFit="1" customWidth="1"/>
    <col min="24" max="24" width="6.5" bestFit="1" customWidth="1"/>
    <col min="25" max="25" width="11.875" bestFit="1" customWidth="1"/>
    <col min="26" max="26" width="9.875" bestFit="1" customWidth="1"/>
    <col min="27" max="27" width="28.5" bestFit="1" customWidth="1"/>
    <col min="32" max="32" width="22.875" bestFit="1" customWidth="1"/>
    <col min="33" max="33" width="22.375" bestFit="1" customWidth="1"/>
  </cols>
  <sheetData>
    <row r="1" spans="1:34" ht="18" x14ac:dyDescent="0.25">
      <c r="A1" s="133" t="s">
        <v>724</v>
      </c>
      <c r="B1" s="133" t="s">
        <v>725</v>
      </c>
      <c r="C1" s="133" t="s">
        <v>726</v>
      </c>
      <c r="D1" s="133" t="s">
        <v>727</v>
      </c>
      <c r="E1" s="133" t="s">
        <v>728</v>
      </c>
      <c r="F1" s="134" t="s">
        <v>729</v>
      </c>
      <c r="G1" s="133" t="s">
        <v>730</v>
      </c>
      <c r="H1" s="133" t="s">
        <v>731</v>
      </c>
      <c r="I1" s="133" t="s">
        <v>732</v>
      </c>
      <c r="J1" s="133" t="s">
        <v>733</v>
      </c>
      <c r="K1" s="133" t="s">
        <v>734</v>
      </c>
      <c r="L1" s="133" t="s">
        <v>735</v>
      </c>
      <c r="M1" s="133" t="s">
        <v>736</v>
      </c>
      <c r="N1" s="133" t="s">
        <v>737</v>
      </c>
      <c r="O1" s="133" t="s">
        <v>738</v>
      </c>
      <c r="P1" s="133" t="s">
        <v>739</v>
      </c>
      <c r="Q1" s="133" t="s">
        <v>740</v>
      </c>
      <c r="R1" s="133" t="s">
        <v>902</v>
      </c>
      <c r="S1" s="133" t="s">
        <v>903</v>
      </c>
      <c r="T1" s="133" t="str">
        <f>S1</f>
        <v>.</v>
      </c>
      <c r="U1" s="133" t="str">
        <f>T1</f>
        <v>.</v>
      </c>
      <c r="V1" s="133" t="s">
        <v>904</v>
      </c>
      <c r="W1" s="133" t="s">
        <v>905</v>
      </c>
      <c r="X1" s="133" t="s">
        <v>906</v>
      </c>
      <c r="Y1" s="133" t="s">
        <v>907</v>
      </c>
      <c r="Z1" s="133" t="s">
        <v>758</v>
      </c>
      <c r="AA1" s="133" t="s">
        <v>911</v>
      </c>
      <c r="AB1" s="133" t="s">
        <v>910</v>
      </c>
      <c r="AC1" s="133" t="s">
        <v>912</v>
      </c>
      <c r="AD1" s="133" t="s">
        <v>913</v>
      </c>
      <c r="AE1" s="133" t="s">
        <v>13</v>
      </c>
      <c r="AF1" s="133" t="s">
        <v>950</v>
      </c>
      <c r="AG1" s="133" t="s">
        <v>949</v>
      </c>
      <c r="AH1" s="133" t="s">
        <v>948</v>
      </c>
    </row>
    <row r="2" spans="1:34" outlineLevel="2" x14ac:dyDescent="0.25">
      <c r="A2" s="131" t="s">
        <v>741</v>
      </c>
      <c r="B2" s="131" t="s">
        <v>742</v>
      </c>
      <c r="C2" s="131" t="s">
        <v>743</v>
      </c>
      <c r="D2" s="131" t="s">
        <v>744</v>
      </c>
      <c r="E2" s="131" t="s">
        <v>873</v>
      </c>
      <c r="F2" s="132" t="s">
        <v>746</v>
      </c>
      <c r="G2" s="131" t="s">
        <v>747</v>
      </c>
      <c r="H2" s="131" t="s">
        <v>748</v>
      </c>
      <c r="I2" s="131" t="s">
        <v>749</v>
      </c>
      <c r="J2" s="131" t="s">
        <v>2312</v>
      </c>
      <c r="K2" s="131" t="s">
        <v>2313</v>
      </c>
      <c r="L2" s="131" t="s">
        <v>752</v>
      </c>
      <c r="M2" s="131"/>
      <c r="N2" s="131" t="s">
        <v>753</v>
      </c>
      <c r="O2" s="131" t="s">
        <v>754</v>
      </c>
      <c r="P2" s="131" t="s">
        <v>755</v>
      </c>
      <c r="Q2" s="131" t="s">
        <v>2314</v>
      </c>
      <c r="R2" s="131" t="str">
        <f>IFERROR(LEFT(Q2,FIND(CHAR(32),Q2)-1),Q2)</f>
        <v>2.0.50727.8762</v>
      </c>
      <c r="S2" s="131">
        <f t="shared" ref="S2:U5" si="0">IF(R$1=S$1,FIND(S$1,$R2,R2+1),FIND(S$1,$R2))</f>
        <v>2</v>
      </c>
      <c r="T2" s="131">
        <f t="shared" si="0"/>
        <v>4</v>
      </c>
      <c r="U2" s="131">
        <f t="shared" si="0"/>
        <v>10</v>
      </c>
      <c r="V2" s="131">
        <f>INT(LEFT(R2,S2-1))</f>
        <v>2</v>
      </c>
      <c r="W2" s="131">
        <f>INT(MID(R2,S2+1,T2-S2-1))</f>
        <v>0</v>
      </c>
      <c r="X2" s="131">
        <f>INT(MID(R2,T2+1,U2-T2-1))</f>
        <v>50727</v>
      </c>
      <c r="Y2" s="131" t="str">
        <f>RIGHT(R2,LEN(R2)-U2)</f>
        <v>8762</v>
      </c>
      <c r="Z2" s="131" t="b">
        <f t="shared" ref="Z2" si="1">OR(LEFT(E2,LEN(Program_Files_Root_Directory_Name))=Program_Files_Root_Directory_Name,LEFT(E2,LEN(Windows_Root_Directory_Name))=Windows_Root_Directory_Name)</f>
        <v>1</v>
      </c>
      <c r="AA2" s="131" t="str">
        <f>IF(Z2,"",RIGHT(B2,LEN(B2)-FIND(".",B2)))</f>
        <v/>
      </c>
      <c r="AB2" s="131" t="str">
        <f>IF(Z2,"",CONCATENATE(SUBSTITUTE(LEFT(E2,FIND("\bin\",LOWER(E2))-1),[1]!GetLeafDirectoryName(LEFT(E2,FIND("\bin\",LOWER(E2))-1)),""),AA2,"\Properties\"))</f>
        <v/>
      </c>
      <c r="AC2" s="131" t="str">
        <f>IF(Z2,"",CONCATENATE(AB2,"AssemblyInfo.cs"))</f>
        <v/>
      </c>
      <c r="AD2" s="131" t="str">
        <f>IF(Z2,"",[1]!FileExists(AC2))</f>
        <v/>
      </c>
      <c r="AE2" s="149" t="str">
        <f>IF(Z2,"",[1]!lngFileSize(AC2))</f>
        <v/>
      </c>
      <c r="AF2" s="149"/>
      <c r="AG2" s="150" t="str">
        <f>IF(Z2,"",[1]!dtmFileDateInfo(AC2))</f>
        <v/>
      </c>
      <c r="AH2" s="131"/>
    </row>
    <row r="3" spans="1:34" outlineLevel="2" x14ac:dyDescent="0.25">
      <c r="A3" s="131" t="s">
        <v>757</v>
      </c>
      <c r="B3" s="131" t="s">
        <v>758</v>
      </c>
      <c r="C3" s="131" t="s">
        <v>759</v>
      </c>
      <c r="D3" s="131"/>
      <c r="E3" s="131" t="s">
        <v>760</v>
      </c>
      <c r="F3" s="132" t="s">
        <v>746</v>
      </c>
      <c r="G3" s="131" t="s">
        <v>747</v>
      </c>
      <c r="H3" s="131" t="s">
        <v>748</v>
      </c>
      <c r="I3" s="131" t="s">
        <v>761</v>
      </c>
      <c r="J3" s="131" t="s">
        <v>874</v>
      </c>
      <c r="K3" s="131" t="s">
        <v>877</v>
      </c>
      <c r="L3" s="131" t="s">
        <v>752</v>
      </c>
      <c r="M3" s="131"/>
      <c r="N3" s="131" t="s">
        <v>753</v>
      </c>
      <c r="O3" s="131" t="s">
        <v>754</v>
      </c>
      <c r="P3" s="131" t="s">
        <v>755</v>
      </c>
      <c r="Q3" s="131" t="s">
        <v>878</v>
      </c>
      <c r="R3" s="131" t="str">
        <f>IFERROR(LEFT(Q3,FIND(CHAR(32),Q3)-1),Q3)</f>
        <v>2.0.50727.8759</v>
      </c>
      <c r="S3" s="131">
        <f t="shared" si="0"/>
        <v>2</v>
      </c>
      <c r="T3" s="131">
        <f t="shared" si="0"/>
        <v>4</v>
      </c>
      <c r="U3" s="131">
        <f t="shared" si="0"/>
        <v>10</v>
      </c>
      <c r="V3" s="131">
        <f>INT(LEFT(R3,S3-1))</f>
        <v>2</v>
      </c>
      <c r="W3" s="131">
        <f>INT(MID(R3,S3+1,T3-S3-1))</f>
        <v>0</v>
      </c>
      <c r="X3" s="131">
        <f>INT(MID(R3,T3+1,U3-T3-1))</f>
        <v>50727</v>
      </c>
      <c r="Y3" s="131" t="str">
        <f>RIGHT(R3,LEN(R3)-U3)</f>
        <v>8759</v>
      </c>
      <c r="Z3" s="131" t="b">
        <f t="shared" ref="Z3:Z14" si="2">OR(LEFT(E3,LEN(Program_Files_Root_Directory_Name))=Program_Files_Root_Directory_Name,LEFT(E3,LEN(Windows_Root_Directory_Name))=Windows_Root_Directory_Name)</f>
        <v>1</v>
      </c>
      <c r="AA3" s="131" t="str">
        <f>IF(Z3,"",RIGHT(B3,LEN(B3)-FIND(".",B3)))</f>
        <v/>
      </c>
      <c r="AB3" s="131" t="str">
        <f>IF(Z3,"",CONCATENATE(SUBSTITUTE(LEFT(E3,FIND("\bin\",LOWER(E3))-1),[1]!GetLeafDirectoryName(LEFT(E3,FIND("\bin\",LOWER(E3))-1)),""),AA3,"\Properties\"))</f>
        <v/>
      </c>
      <c r="AC3" s="131" t="str">
        <f>IF(Z3,"",CONCATENATE(AB3,"AssemblyInfo.cs"))</f>
        <v/>
      </c>
      <c r="AD3" s="131" t="str">
        <f>IF(Z3,"",[1]!FileExists(AC3))</f>
        <v/>
      </c>
      <c r="AE3" s="149" t="str">
        <f>IF(Z3,"",[1]!lngFileSize(AC3))</f>
        <v/>
      </c>
      <c r="AF3" s="149"/>
      <c r="AG3" s="150" t="str">
        <f>IF(Z3,"",[1]!dtmFileDateInfo(AC3))</f>
        <v/>
      </c>
      <c r="AH3" s="131"/>
    </row>
    <row r="4" spans="1:34" outlineLevel="2" x14ac:dyDescent="0.25">
      <c r="A4" s="131" t="s">
        <v>765</v>
      </c>
      <c r="B4" s="131" t="s">
        <v>766</v>
      </c>
      <c r="C4" s="131" t="s">
        <v>767</v>
      </c>
      <c r="D4" s="131"/>
      <c r="E4" s="131" t="s">
        <v>768</v>
      </c>
      <c r="F4" s="132" t="s">
        <v>746</v>
      </c>
      <c r="G4" s="131" t="s">
        <v>747</v>
      </c>
      <c r="H4" s="131" t="s">
        <v>748</v>
      </c>
      <c r="I4" s="131" t="s">
        <v>761</v>
      </c>
      <c r="J4" s="131" t="s">
        <v>769</v>
      </c>
      <c r="K4" s="131" t="s">
        <v>769</v>
      </c>
      <c r="L4" s="131" t="s">
        <v>752</v>
      </c>
      <c r="M4" s="131"/>
      <c r="N4" s="131" t="s">
        <v>753</v>
      </c>
      <c r="O4" s="131" t="s">
        <v>754</v>
      </c>
      <c r="P4" s="131" t="s">
        <v>755</v>
      </c>
      <c r="Q4" s="131" t="s">
        <v>770</v>
      </c>
      <c r="R4" s="131" t="str">
        <f>IFERROR(LEFT(Q4,FIND(CHAR(32),Q4)-1),Q4)</f>
        <v>3.5.30729.5420</v>
      </c>
      <c r="S4" s="131">
        <f t="shared" si="0"/>
        <v>2</v>
      </c>
      <c r="T4" s="131">
        <f t="shared" si="0"/>
        <v>4</v>
      </c>
      <c r="U4" s="131">
        <f t="shared" si="0"/>
        <v>10</v>
      </c>
      <c r="V4" s="131">
        <f>INT(LEFT(R4,S4-1))</f>
        <v>3</v>
      </c>
      <c r="W4" s="131">
        <f>INT(MID(R4,S4+1,T4-S4-1))</f>
        <v>5</v>
      </c>
      <c r="X4" s="131">
        <f>INT(MID(R4,T4+1,U4-T4-1))</f>
        <v>30729</v>
      </c>
      <c r="Y4" s="131" t="str">
        <f>RIGHT(R4,LEN(R4)-U4)</f>
        <v>5420</v>
      </c>
      <c r="Z4" s="131" t="b">
        <f t="shared" si="2"/>
        <v>1</v>
      </c>
      <c r="AA4" s="131" t="str">
        <f>IF(Z4,"",RIGHT(B4,LEN(B4)-FIND(".",B4)))</f>
        <v/>
      </c>
      <c r="AB4" s="131" t="str">
        <f>IF(Z4,"",CONCATENATE(SUBSTITUTE(LEFT(E4,FIND("\bin\",LOWER(E4))-1),[1]!GetLeafDirectoryName(LEFT(E4,FIND("\bin\",LOWER(E4))-1)),""),AA4,"\Properties\"))</f>
        <v/>
      </c>
      <c r="AC4" s="131" t="str">
        <f>IF(Z4,"",CONCATENATE(AB4,"AssemblyInfo.cs"))</f>
        <v/>
      </c>
      <c r="AD4" s="131" t="str">
        <f>IF(Z4,"",[1]!FileExists(AC4))</f>
        <v/>
      </c>
      <c r="AE4" s="149" t="str">
        <f>IF(Z4,"",[1]!lngFileSize(AC4))</f>
        <v/>
      </c>
      <c r="AF4" s="149"/>
      <c r="AG4" s="150" t="str">
        <f>IF(Z4,"",[1]!dtmFileDateInfo(AC4))</f>
        <v/>
      </c>
      <c r="AH4" s="131"/>
    </row>
    <row r="5" spans="1:34" outlineLevel="2" x14ac:dyDescent="0.25">
      <c r="A5" s="131" t="s">
        <v>771</v>
      </c>
      <c r="B5" s="131" t="s">
        <v>772</v>
      </c>
      <c r="C5" s="131" t="s">
        <v>773</v>
      </c>
      <c r="D5" s="131"/>
      <c r="E5" s="131" t="s">
        <v>774</v>
      </c>
      <c r="F5" s="132" t="s">
        <v>746</v>
      </c>
      <c r="G5" s="131" t="s">
        <v>747</v>
      </c>
      <c r="H5" s="131" t="s">
        <v>748</v>
      </c>
      <c r="I5" s="131" t="s">
        <v>761</v>
      </c>
      <c r="J5" s="131" t="s">
        <v>775</v>
      </c>
      <c r="K5" s="131" t="s">
        <v>776</v>
      </c>
      <c r="L5" s="131" t="s">
        <v>752</v>
      </c>
      <c r="M5" s="131"/>
      <c r="N5" s="131" t="s">
        <v>753</v>
      </c>
      <c r="O5" s="131" t="s">
        <v>754</v>
      </c>
      <c r="P5" s="131" t="s">
        <v>755</v>
      </c>
      <c r="Q5" s="131" t="s">
        <v>777</v>
      </c>
      <c r="R5" s="131" t="str">
        <f>IFERROR(LEFT(Q5,FIND(CHAR(32),Q5)-1),Q5)</f>
        <v>2.0.50727.5494</v>
      </c>
      <c r="S5" s="131">
        <f t="shared" si="0"/>
        <v>2</v>
      </c>
      <c r="T5" s="131">
        <f t="shared" si="0"/>
        <v>4</v>
      </c>
      <c r="U5" s="131">
        <f t="shared" si="0"/>
        <v>10</v>
      </c>
      <c r="V5" s="131">
        <f>INT(LEFT(R5,S5-1))</f>
        <v>2</v>
      </c>
      <c r="W5" s="131">
        <f>INT(MID(R5,S5+1,T5-S5-1))</f>
        <v>0</v>
      </c>
      <c r="X5" s="131">
        <f>INT(MID(R5,T5+1,U5-T5-1))</f>
        <v>50727</v>
      </c>
      <c r="Y5" s="131" t="str">
        <f>RIGHT(R5,LEN(R5)-U5)</f>
        <v>5494</v>
      </c>
      <c r="Z5" s="131" t="b">
        <f t="shared" si="2"/>
        <v>1</v>
      </c>
      <c r="AA5" s="131" t="str">
        <f>IF(Z5,"",RIGHT(B5,LEN(B5)-FIND(".",B5)))</f>
        <v/>
      </c>
      <c r="AB5" s="131" t="str">
        <f>IF(Z5,"",CONCATENATE(SUBSTITUTE(LEFT(E5,FIND("\bin\",LOWER(E5))-1),[1]!GetLeafDirectoryName(LEFT(E5,FIND("\bin\",LOWER(E5))-1)),""),AA5,"\Properties\"))</f>
        <v/>
      </c>
      <c r="AC5" s="131" t="str">
        <f>IF(Z5,"",CONCATENATE(AB5,"AssemblyInfo.cs"))</f>
        <v/>
      </c>
      <c r="AD5" s="131" t="str">
        <f>IF(Z5,"",[1]!FileExists(AC5))</f>
        <v/>
      </c>
      <c r="AE5" s="149" t="str">
        <f>IF(Z5,"",[1]!lngFileSize(AC5))</f>
        <v/>
      </c>
      <c r="AF5" s="149"/>
      <c r="AG5" s="150" t="str">
        <f>IF(Z5,"",[1]!dtmFileDateInfo(AC5))</f>
        <v/>
      </c>
      <c r="AH5" s="131"/>
    </row>
    <row r="6" spans="1:34" outlineLevel="1" x14ac:dyDescent="0.25">
      <c r="A6" s="131"/>
      <c r="B6" s="131"/>
      <c r="C6" s="131"/>
      <c r="D6" s="131"/>
      <c r="E6" s="131"/>
      <c r="F6" s="132"/>
      <c r="G6" s="131"/>
      <c r="H6" s="131"/>
      <c r="I6" s="131"/>
      <c r="J6" s="131"/>
      <c r="K6" s="131"/>
      <c r="L6" s="131"/>
      <c r="M6" s="131"/>
      <c r="N6" s="131"/>
      <c r="O6" s="131"/>
      <c r="P6" s="131"/>
      <c r="Q6" s="131"/>
      <c r="R6" s="131"/>
      <c r="S6" s="131"/>
      <c r="T6" s="131"/>
      <c r="U6" s="131"/>
      <c r="V6" s="131"/>
      <c r="W6" s="131"/>
      <c r="X6" s="131"/>
      <c r="Y6" s="268" t="s">
        <v>908</v>
      </c>
      <c r="Z6" s="131">
        <f>SUBTOTAL(3,Z2:Z5)</f>
        <v>4</v>
      </c>
      <c r="AA6" s="131"/>
      <c r="AB6" s="131"/>
      <c r="AC6" s="131"/>
      <c r="AD6" s="131"/>
      <c r="AE6" s="149"/>
      <c r="AF6" s="149"/>
      <c r="AG6" s="150"/>
      <c r="AH6" s="131"/>
    </row>
    <row r="7" spans="1:34" outlineLevel="2" x14ac:dyDescent="0.25">
      <c r="A7" s="131" t="s">
        <v>2315</v>
      </c>
      <c r="B7" s="131" t="s">
        <v>2316</v>
      </c>
      <c r="C7" s="131" t="s">
        <v>2317</v>
      </c>
      <c r="D7" s="131" t="s">
        <v>2318</v>
      </c>
      <c r="E7" s="131" t="s">
        <v>2319</v>
      </c>
      <c r="F7" s="132" t="s">
        <v>2320</v>
      </c>
      <c r="G7" s="131" t="s">
        <v>782</v>
      </c>
      <c r="H7" s="131" t="s">
        <v>748</v>
      </c>
      <c r="I7" s="131" t="s">
        <v>2321</v>
      </c>
      <c r="J7" s="131" t="s">
        <v>2322</v>
      </c>
      <c r="K7" s="131" t="s">
        <v>2323</v>
      </c>
      <c r="L7" s="131" t="s">
        <v>2324</v>
      </c>
      <c r="M7" s="131" t="s">
        <v>786</v>
      </c>
      <c r="N7" s="131" t="s">
        <v>2321</v>
      </c>
      <c r="O7" s="131"/>
      <c r="P7" s="131" t="s">
        <v>755</v>
      </c>
      <c r="Q7" s="131" t="s">
        <v>2325</v>
      </c>
      <c r="R7" s="131" t="str">
        <f t="shared" ref="R7:R14" si="3">IFERROR(LEFT(Q7,FIND(CHAR(32),Q7)-1),Q7)</f>
        <v>7.0.76.3375</v>
      </c>
      <c r="S7" s="131">
        <f t="shared" ref="S7:U14" si="4">IF(R$1=S$1,FIND(S$1,$R7,R7+1),FIND(S$1,$R7))</f>
        <v>2</v>
      </c>
      <c r="T7" s="131">
        <f t="shared" si="4"/>
        <v>4</v>
      </c>
      <c r="U7" s="131">
        <f t="shared" si="4"/>
        <v>7</v>
      </c>
      <c r="V7" s="131">
        <f t="shared" ref="V7:V14" si="5">INT(LEFT(R7,S7-1))</f>
        <v>7</v>
      </c>
      <c r="W7" s="131">
        <f t="shared" ref="W7:W14" si="6">INT(MID(R7,S7+1,T7-S7-1))</f>
        <v>0</v>
      </c>
      <c r="X7" s="131">
        <f t="shared" ref="X7:X14" si="7">INT(MID(R7,T7+1,U7-T7-1))</f>
        <v>76</v>
      </c>
      <c r="Y7" s="131" t="str">
        <f t="shared" ref="Y7:Y14" si="8">RIGHT(R7,LEN(R7)-U7)</f>
        <v>3375</v>
      </c>
      <c r="Z7" s="131" t="b">
        <f t="shared" si="2"/>
        <v>0</v>
      </c>
      <c r="AA7" s="131" t="str">
        <f t="shared" ref="AA7:AA14" si="9">IF(Z7,"",RIGHT(B7,LEN(B7)-FIND(".",B7)))</f>
        <v>ASCIIInfo</v>
      </c>
      <c r="AB7" s="131" t="str">
        <f>IF(Z7,"",CONCATENATE(SUBSTITUTE(LEFT(E7,FIND("\bin\",LOWER(E7))-1),[1]!GetLeafDirectoryName(LEFT(E7,FIND("\bin\",LOWER(E7))-1)),""),AA7,"\Properties\"))</f>
        <v>C:\Users\DAVE\Documents\Visual Studio 2013\Projects\WizardWrx_Libs\Wizardwrx\ASCIIInfo\Properties\</v>
      </c>
      <c r="AC7" s="131" t="str">
        <f t="shared" ref="AC7:AC14" si="10">IF(Z7,"",CONCATENATE(AB7,"AssemblyInfo.cs"))</f>
        <v>C:\Users\DAVE\Documents\Visual Studio 2013\Projects\WizardWrx_Libs\Wizardwrx\ASCIIInfo\Properties\AssemblyInfo.cs</v>
      </c>
      <c r="AD7" s="131" t="b">
        <f>IF(Z7,"",[1]!FileExists(AC7))</f>
        <v>1</v>
      </c>
      <c r="AE7" s="149">
        <f>IF(Z7,"",[1]!lngFileSize(AC7))</f>
        <v>1591</v>
      </c>
      <c r="AF7" s="149"/>
      <c r="AG7" s="150">
        <f>IF(Z7,"",[1]!dtmFileDateInfo(AC7))</f>
        <v>43028.064745370371</v>
      </c>
      <c r="AH7" s="131"/>
    </row>
    <row r="8" spans="1:34" outlineLevel="2" x14ac:dyDescent="0.25">
      <c r="A8" s="131" t="s">
        <v>2326</v>
      </c>
      <c r="B8" s="131" t="s">
        <v>779</v>
      </c>
      <c r="C8" s="131" t="s">
        <v>780</v>
      </c>
      <c r="D8" s="131" t="s">
        <v>781</v>
      </c>
      <c r="E8" s="131" t="s">
        <v>2319</v>
      </c>
      <c r="F8" s="132"/>
      <c r="G8" s="131" t="s">
        <v>782</v>
      </c>
      <c r="H8" s="131" t="s">
        <v>748</v>
      </c>
      <c r="I8" s="131" t="s">
        <v>779</v>
      </c>
      <c r="J8" s="131" t="s">
        <v>2322</v>
      </c>
      <c r="K8" s="131" t="s">
        <v>2327</v>
      </c>
      <c r="L8" s="131" t="s">
        <v>800</v>
      </c>
      <c r="M8" s="131" t="s">
        <v>786</v>
      </c>
      <c r="N8" s="131" t="s">
        <v>787</v>
      </c>
      <c r="O8" s="131"/>
      <c r="P8" s="131" t="s">
        <v>755</v>
      </c>
      <c r="Q8" s="131" t="s">
        <v>2328</v>
      </c>
      <c r="R8" s="131" t="str">
        <f t="shared" si="3"/>
        <v>7.0.101.40729</v>
      </c>
      <c r="S8" s="131">
        <f t="shared" si="4"/>
        <v>2</v>
      </c>
      <c r="T8" s="131">
        <f t="shared" si="4"/>
        <v>4</v>
      </c>
      <c r="U8" s="131">
        <f t="shared" si="4"/>
        <v>8</v>
      </c>
      <c r="V8" s="131">
        <f t="shared" si="5"/>
        <v>7</v>
      </c>
      <c r="W8" s="131">
        <f t="shared" si="6"/>
        <v>0</v>
      </c>
      <c r="X8" s="131">
        <f t="shared" si="7"/>
        <v>101</v>
      </c>
      <c r="Y8" s="131" t="str">
        <f t="shared" si="8"/>
        <v>40729</v>
      </c>
      <c r="Z8" s="131" t="b">
        <f t="shared" si="2"/>
        <v>0</v>
      </c>
      <c r="AA8" s="131" t="str">
        <f t="shared" si="9"/>
        <v>AssemblyUtils</v>
      </c>
      <c r="AB8" s="131" t="str">
        <f>IF(Z8,"",CONCATENATE(SUBSTITUTE(LEFT(E8,FIND("\bin\",LOWER(E8))-1),[1]!GetLeafDirectoryName(LEFT(E8,FIND("\bin\",LOWER(E8))-1)),""),AA8,"\Properties\"))</f>
        <v>C:\Users\DAVE\Documents\Visual Studio 2013\Projects\WizardWrx_Libs\Wizardwrx\AssemblyUtils\Properties\</v>
      </c>
      <c r="AC8" s="131" t="str">
        <f t="shared" si="10"/>
        <v>C:\Users\DAVE\Documents\Visual Studio 2013\Projects\WizardWrx_Libs\Wizardwrx\AssemblyUtils\Properties\AssemblyInfo.cs</v>
      </c>
      <c r="AD8" s="131" t="b">
        <f>IF(Z8,"",[1]!FileExists(AC8))</f>
        <v>1</v>
      </c>
      <c r="AE8" s="149">
        <f>IF(Z8,"",[1]!lngFileSize(AC8))</f>
        <v>1571</v>
      </c>
      <c r="AF8" s="149"/>
      <c r="AG8" s="150">
        <f>IF(Z8,"",[1]!dtmFileDateInfo(AC8))</f>
        <v>43028.064872685187</v>
      </c>
      <c r="AH8" s="131"/>
    </row>
    <row r="9" spans="1:34" outlineLevel="2" x14ac:dyDescent="0.25">
      <c r="A9" s="131" t="s">
        <v>2329</v>
      </c>
      <c r="B9" s="131" t="s">
        <v>790</v>
      </c>
      <c r="C9" s="131" t="s">
        <v>791</v>
      </c>
      <c r="D9" s="131" t="s">
        <v>792</v>
      </c>
      <c r="E9" s="131" t="s">
        <v>2319</v>
      </c>
      <c r="F9" s="132"/>
      <c r="G9" s="131" t="s">
        <v>782</v>
      </c>
      <c r="H9" s="131" t="s">
        <v>748</v>
      </c>
      <c r="I9" s="131" t="s">
        <v>790</v>
      </c>
      <c r="J9" s="131" t="s">
        <v>2322</v>
      </c>
      <c r="K9" s="131" t="s">
        <v>2330</v>
      </c>
      <c r="L9" s="131" t="s">
        <v>785</v>
      </c>
      <c r="M9" s="131" t="s">
        <v>786</v>
      </c>
      <c r="N9" s="131" t="s">
        <v>787</v>
      </c>
      <c r="O9" s="131"/>
      <c r="P9" s="131" t="s">
        <v>755</v>
      </c>
      <c r="Q9" s="131" t="s">
        <v>2331</v>
      </c>
      <c r="R9" s="131" t="str">
        <f t="shared" si="3"/>
        <v>7.0.97.3123</v>
      </c>
      <c r="S9" s="131">
        <f t="shared" si="4"/>
        <v>2</v>
      </c>
      <c r="T9" s="131">
        <f t="shared" si="4"/>
        <v>4</v>
      </c>
      <c r="U9" s="131">
        <f t="shared" si="4"/>
        <v>7</v>
      </c>
      <c r="V9" s="131">
        <f t="shared" si="5"/>
        <v>7</v>
      </c>
      <c r="W9" s="131">
        <f t="shared" si="6"/>
        <v>0</v>
      </c>
      <c r="X9" s="131">
        <f t="shared" si="7"/>
        <v>97</v>
      </c>
      <c r="Y9" s="131" t="str">
        <f t="shared" si="8"/>
        <v>3123</v>
      </c>
      <c r="Z9" s="131" t="b">
        <f t="shared" si="2"/>
        <v>0</v>
      </c>
      <c r="AA9" s="131" t="str">
        <f t="shared" si="9"/>
        <v>Common</v>
      </c>
      <c r="AB9" s="131" t="str">
        <f>IF(Z9,"",CONCATENATE(SUBSTITUTE(LEFT(E9,FIND("\bin\",LOWER(E9))-1),[1]!GetLeafDirectoryName(LEFT(E9,FIND("\bin\",LOWER(E9))-1)),""),AA9,"\Properties\"))</f>
        <v>C:\Users\DAVE\Documents\Visual Studio 2013\Projects\WizardWrx_Libs\Wizardwrx\Common\Properties\</v>
      </c>
      <c r="AC9" s="131" t="str">
        <f t="shared" si="10"/>
        <v>C:\Users\DAVE\Documents\Visual Studio 2013\Projects\WizardWrx_Libs\Wizardwrx\Common\Properties\AssemblyInfo.cs</v>
      </c>
      <c r="AD9" s="131" t="b">
        <f>IF(Z9,"",[1]!FileExists(AC9))</f>
        <v>1</v>
      </c>
      <c r="AE9" s="149">
        <f>IF(Z9,"",[1]!lngFileSize(AC9))</f>
        <v>1562</v>
      </c>
      <c r="AF9" s="149"/>
      <c r="AG9" s="150">
        <f>IF(Z9,"",[1]!dtmFileDateInfo(AC9))</f>
        <v>42988.754212962966</v>
      </c>
      <c r="AH9" s="131"/>
    </row>
    <row r="10" spans="1:34" outlineLevel="2" x14ac:dyDescent="0.25">
      <c r="A10" s="131" t="s">
        <v>2332</v>
      </c>
      <c r="B10" s="131" t="s">
        <v>796</v>
      </c>
      <c r="C10" s="131" t="s">
        <v>797</v>
      </c>
      <c r="D10" s="131" t="s">
        <v>798</v>
      </c>
      <c r="E10" s="131" t="s">
        <v>2319</v>
      </c>
      <c r="F10" s="132"/>
      <c r="G10" s="131" t="s">
        <v>782</v>
      </c>
      <c r="H10" s="131" t="s">
        <v>748</v>
      </c>
      <c r="I10" s="131" t="s">
        <v>796</v>
      </c>
      <c r="J10" s="131" t="s">
        <v>2322</v>
      </c>
      <c r="K10" s="131" t="s">
        <v>2333</v>
      </c>
      <c r="L10" s="131" t="s">
        <v>800</v>
      </c>
      <c r="M10" s="131" t="s">
        <v>786</v>
      </c>
      <c r="N10" s="131" t="s">
        <v>787</v>
      </c>
      <c r="O10" s="131"/>
      <c r="P10" s="131" t="s">
        <v>755</v>
      </c>
      <c r="Q10" s="131" t="s">
        <v>2334</v>
      </c>
      <c r="R10" s="131" t="str">
        <f t="shared" si="3"/>
        <v>7.0.178.40731</v>
      </c>
      <c r="S10" s="131">
        <f t="shared" si="4"/>
        <v>2</v>
      </c>
      <c r="T10" s="131">
        <f t="shared" si="4"/>
        <v>4</v>
      </c>
      <c r="U10" s="131">
        <f t="shared" si="4"/>
        <v>8</v>
      </c>
      <c r="V10" s="131">
        <f t="shared" si="5"/>
        <v>7</v>
      </c>
      <c r="W10" s="131">
        <f t="shared" si="6"/>
        <v>0</v>
      </c>
      <c r="X10" s="131">
        <f t="shared" si="7"/>
        <v>178</v>
      </c>
      <c r="Y10" s="131" t="str">
        <f t="shared" si="8"/>
        <v>40731</v>
      </c>
      <c r="Z10" s="131" t="b">
        <f t="shared" si="2"/>
        <v>0</v>
      </c>
      <c r="AA10" s="131" t="str">
        <f t="shared" si="9"/>
        <v>ConsoleStreams</v>
      </c>
      <c r="AB10" s="131" t="str">
        <f>IF(Z10,"",CONCATENATE(SUBSTITUTE(LEFT(E10,FIND("\bin\",LOWER(E10))-1),[1]!GetLeafDirectoryName(LEFT(E10,FIND("\bin\",LOWER(E10))-1)),""),AA10,"\Properties\"))</f>
        <v>C:\Users\DAVE\Documents\Visual Studio 2013\Projects\WizardWrx_Libs\Wizardwrx\ConsoleStreams\Properties\</v>
      </c>
      <c r="AC10" s="131" t="str">
        <f t="shared" si="10"/>
        <v>C:\Users\DAVE\Documents\Visual Studio 2013\Projects\WizardWrx_Libs\Wizardwrx\ConsoleStreams\Properties\AssemblyInfo.cs</v>
      </c>
      <c r="AD10" s="131" t="b">
        <f>IF(Z10,"",[1]!FileExists(AC10))</f>
        <v>1</v>
      </c>
      <c r="AE10" s="149">
        <f>IF(Z10,"",[1]!lngFileSize(AC10))</f>
        <v>1564</v>
      </c>
      <c r="AF10" s="149"/>
      <c r="AG10" s="150">
        <f>IF(Z10,"",[1]!dtmFileDateInfo(AC10))</f>
        <v>43028.064918981479</v>
      </c>
      <c r="AH10" s="131"/>
    </row>
    <row r="11" spans="1:34" outlineLevel="2" x14ac:dyDescent="0.25">
      <c r="A11" s="131" t="s">
        <v>2335</v>
      </c>
      <c r="B11" s="131" t="s">
        <v>803</v>
      </c>
      <c r="C11" s="131" t="s">
        <v>804</v>
      </c>
      <c r="D11" s="131" t="s">
        <v>805</v>
      </c>
      <c r="E11" s="131" t="s">
        <v>2319</v>
      </c>
      <c r="F11" s="132"/>
      <c r="G11" s="131" t="s">
        <v>782</v>
      </c>
      <c r="H11" s="131" t="s">
        <v>748</v>
      </c>
      <c r="I11" s="131" t="s">
        <v>803</v>
      </c>
      <c r="J11" s="131" t="s">
        <v>2322</v>
      </c>
      <c r="K11" s="131" t="s">
        <v>2336</v>
      </c>
      <c r="L11" s="131" t="s">
        <v>800</v>
      </c>
      <c r="M11" s="131" t="s">
        <v>786</v>
      </c>
      <c r="N11" s="131" t="s">
        <v>787</v>
      </c>
      <c r="O11" s="131"/>
      <c r="P11" s="131" t="s">
        <v>755</v>
      </c>
      <c r="Q11" s="131" t="s">
        <v>2337</v>
      </c>
      <c r="R11" s="131" t="str">
        <f t="shared" si="3"/>
        <v>7.0.138.40727</v>
      </c>
      <c r="S11" s="131">
        <f t="shared" si="4"/>
        <v>2</v>
      </c>
      <c r="T11" s="131">
        <f t="shared" si="4"/>
        <v>4</v>
      </c>
      <c r="U11" s="131">
        <f t="shared" si="4"/>
        <v>8</v>
      </c>
      <c r="V11" s="131">
        <f t="shared" si="5"/>
        <v>7</v>
      </c>
      <c r="W11" s="131">
        <f t="shared" si="6"/>
        <v>0</v>
      </c>
      <c r="X11" s="131">
        <f t="shared" si="7"/>
        <v>138</v>
      </c>
      <c r="Y11" s="131" t="str">
        <f t="shared" si="8"/>
        <v>40727</v>
      </c>
      <c r="Z11" s="131" t="b">
        <f t="shared" si="2"/>
        <v>0</v>
      </c>
      <c r="AA11" s="131" t="str">
        <f t="shared" si="9"/>
        <v>Core</v>
      </c>
      <c r="AB11" s="131" t="str">
        <f>IF(Z11,"",CONCATENATE(SUBSTITUTE(LEFT(E11,FIND("\bin\",LOWER(E11))-1),[1]!GetLeafDirectoryName(LEFT(E11,FIND("\bin\",LOWER(E11))-1)),""),AA11,"\Properties\"))</f>
        <v>C:\Users\DAVE\Documents\Visual Studio 2013\Projects\WizardWrx_Libs\Wizardwrx\Core\Properties\</v>
      </c>
      <c r="AC11" s="131" t="str">
        <f t="shared" si="10"/>
        <v>C:\Users\DAVE\Documents\Visual Studio 2013\Projects\WizardWrx_Libs\Wizardwrx\Core\Properties\AssemblyInfo.cs</v>
      </c>
      <c r="AD11" s="131" t="b">
        <f>IF(Z11,"",[1]!FileExists(AC11))</f>
        <v>1</v>
      </c>
      <c r="AE11" s="149">
        <f>IF(Z11,"",[1]!lngFileSize(AC11))</f>
        <v>1556</v>
      </c>
      <c r="AF11" s="149"/>
      <c r="AG11" s="150">
        <f>IF(Z11,"",[1]!dtmFileDateInfo(AC11))</f>
        <v>43028.064826388887</v>
      </c>
      <c r="AH11" s="131"/>
    </row>
    <row r="12" spans="1:34" outlineLevel="2" x14ac:dyDescent="0.25">
      <c r="A12" s="131" t="s">
        <v>2338</v>
      </c>
      <c r="B12" s="131" t="s">
        <v>809</v>
      </c>
      <c r="C12" s="131" t="s">
        <v>810</v>
      </c>
      <c r="D12" s="131" t="s">
        <v>811</v>
      </c>
      <c r="E12" s="131" t="s">
        <v>2319</v>
      </c>
      <c r="F12" s="132"/>
      <c r="G12" s="131" t="s">
        <v>782</v>
      </c>
      <c r="H12" s="131" t="s">
        <v>748</v>
      </c>
      <c r="I12" s="131" t="s">
        <v>809</v>
      </c>
      <c r="J12" s="131" t="s">
        <v>2322</v>
      </c>
      <c r="K12" s="131" t="s">
        <v>2339</v>
      </c>
      <c r="L12" s="131" t="s">
        <v>800</v>
      </c>
      <c r="M12" s="131" t="s">
        <v>786</v>
      </c>
      <c r="N12" s="131" t="s">
        <v>787</v>
      </c>
      <c r="O12" s="131"/>
      <c r="P12" s="131" t="s">
        <v>755</v>
      </c>
      <c r="Q12" s="131" t="s">
        <v>2340</v>
      </c>
      <c r="R12" s="131" t="str">
        <f t="shared" si="3"/>
        <v>7.0.194.29377</v>
      </c>
      <c r="S12" s="131">
        <f t="shared" si="4"/>
        <v>2</v>
      </c>
      <c r="T12" s="131">
        <f t="shared" si="4"/>
        <v>4</v>
      </c>
      <c r="U12" s="131">
        <f t="shared" si="4"/>
        <v>8</v>
      </c>
      <c r="V12" s="131">
        <f t="shared" si="5"/>
        <v>7</v>
      </c>
      <c r="W12" s="131">
        <f t="shared" si="6"/>
        <v>0</v>
      </c>
      <c r="X12" s="131">
        <f t="shared" si="7"/>
        <v>194</v>
      </c>
      <c r="Y12" s="131" t="str">
        <f t="shared" si="8"/>
        <v>29377</v>
      </c>
      <c r="Z12" s="131" t="b">
        <f t="shared" si="2"/>
        <v>0</v>
      </c>
      <c r="AA12" s="131" t="str">
        <f t="shared" si="9"/>
        <v>DLLConfigurationManager</v>
      </c>
      <c r="AB12" s="131" t="str">
        <f>IF(Z12,"",CONCATENATE(SUBSTITUTE(LEFT(E12,FIND("\bin\",LOWER(E12))-1),[1]!GetLeafDirectoryName(LEFT(E12,FIND("\bin\",LOWER(E12))-1)),""),AA12,"\Properties\"))</f>
        <v>C:\Users\DAVE\Documents\Visual Studio 2013\Projects\WizardWrx_Libs\Wizardwrx\DLLConfigurationManager\Properties\</v>
      </c>
      <c r="AC12" s="131" t="str">
        <f t="shared" si="10"/>
        <v>C:\Users\DAVE\Documents\Visual Studio 2013\Projects\WizardWrx_Libs\Wizardwrx\DLLConfigurationManager\Properties\AssemblyInfo.cs</v>
      </c>
      <c r="AD12" s="131" t="b">
        <f>IF(Z12,"",[1]!FileExists(AC12))</f>
        <v>1</v>
      </c>
      <c r="AE12" s="149">
        <f>IF(Z12,"",[1]!lngFileSize(AC12))</f>
        <v>1578</v>
      </c>
      <c r="AF12" s="149"/>
      <c r="AG12" s="150">
        <f>IF(Z12,"",[1]!dtmFileDateInfo(AC12))</f>
        <v>43028.064965277779</v>
      </c>
      <c r="AH12" s="131"/>
    </row>
    <row r="13" spans="1:34" ht="45" outlineLevel="2" x14ac:dyDescent="0.25">
      <c r="A13" s="131" t="s">
        <v>2341</v>
      </c>
      <c r="B13" s="131" t="s">
        <v>815</v>
      </c>
      <c r="C13" s="131" t="s">
        <v>816</v>
      </c>
      <c r="D13" s="131" t="s">
        <v>817</v>
      </c>
      <c r="E13" s="131" t="s">
        <v>2319</v>
      </c>
      <c r="F13" s="132" t="s">
        <v>818</v>
      </c>
      <c r="G13" s="131" t="s">
        <v>782</v>
      </c>
      <c r="H13" s="131" t="s">
        <v>748</v>
      </c>
      <c r="I13" s="131" t="s">
        <v>815</v>
      </c>
      <c r="J13" s="131" t="s">
        <v>2322</v>
      </c>
      <c r="K13" s="131" t="s">
        <v>2342</v>
      </c>
      <c r="L13" s="131" t="s">
        <v>821</v>
      </c>
      <c r="M13" s="131" t="s">
        <v>786</v>
      </c>
      <c r="N13" s="131" t="s">
        <v>787</v>
      </c>
      <c r="O13" s="131"/>
      <c r="P13" s="131" t="s">
        <v>755</v>
      </c>
      <c r="Q13" s="131" t="s">
        <v>2343</v>
      </c>
      <c r="R13" s="131" t="str">
        <f t="shared" si="3"/>
        <v>7.0.77.40736</v>
      </c>
      <c r="S13" s="131">
        <f t="shared" si="4"/>
        <v>2</v>
      </c>
      <c r="T13" s="131">
        <f t="shared" si="4"/>
        <v>4</v>
      </c>
      <c r="U13" s="131">
        <f t="shared" si="4"/>
        <v>7</v>
      </c>
      <c r="V13" s="131">
        <f t="shared" si="5"/>
        <v>7</v>
      </c>
      <c r="W13" s="131">
        <f t="shared" si="6"/>
        <v>0</v>
      </c>
      <c r="X13" s="131">
        <f t="shared" si="7"/>
        <v>77</v>
      </c>
      <c r="Y13" s="131" t="str">
        <f t="shared" si="8"/>
        <v>40736</v>
      </c>
      <c r="Z13" s="131" t="b">
        <f t="shared" si="2"/>
        <v>0</v>
      </c>
      <c r="AA13" s="131" t="str">
        <f t="shared" si="9"/>
        <v>EmbeddedTextFile</v>
      </c>
      <c r="AB13" s="131" t="str">
        <f>IF(Z13,"",CONCATENATE(SUBSTITUTE(LEFT(E13,FIND("\bin\",LOWER(E13))-1),[1]!GetLeafDirectoryName(LEFT(E13,FIND("\bin\",LOWER(E13))-1)),""),AA13,"\Properties\"))</f>
        <v>C:\Users\DAVE\Documents\Visual Studio 2013\Projects\WizardWrx_Libs\Wizardwrx\EmbeddedTextFile\Properties\</v>
      </c>
      <c r="AC13" s="131" t="str">
        <f t="shared" si="10"/>
        <v>C:\Users\DAVE\Documents\Visual Studio 2013\Projects\WizardWrx_Libs\Wizardwrx\EmbeddedTextFile\Properties\AssemblyInfo.cs</v>
      </c>
      <c r="AD13" s="131" t="b">
        <f>IF(Z13,"",[1]!FileExists(AC13))</f>
        <v>1</v>
      </c>
      <c r="AE13" s="149">
        <f>IF(Z13,"",[1]!lngFileSize(AC13))</f>
        <v>1723</v>
      </c>
      <c r="AF13" s="149"/>
      <c r="AG13" s="150">
        <f>IF(Z13,"",[1]!dtmFileDateInfo(AC13))</f>
        <v>43028.065011574072</v>
      </c>
      <c r="AH13" s="131"/>
    </row>
    <row r="14" spans="1:34" outlineLevel="2" x14ac:dyDescent="0.25">
      <c r="A14" s="131" t="s">
        <v>2344</v>
      </c>
      <c r="B14" s="131" t="s">
        <v>2345</v>
      </c>
      <c r="C14" s="131" t="s">
        <v>2346</v>
      </c>
      <c r="D14" s="131" t="s">
        <v>2347</v>
      </c>
      <c r="E14" s="131" t="s">
        <v>2319</v>
      </c>
      <c r="F14" s="132"/>
      <c r="G14" s="131" t="s">
        <v>782</v>
      </c>
      <c r="H14" s="131" t="s">
        <v>748</v>
      </c>
      <c r="I14" s="131" t="s">
        <v>2348</v>
      </c>
      <c r="J14" s="131" t="s">
        <v>2322</v>
      </c>
      <c r="K14" s="131" t="s">
        <v>2349</v>
      </c>
      <c r="L14" s="131" t="s">
        <v>2324</v>
      </c>
      <c r="M14" s="131" t="s">
        <v>786</v>
      </c>
      <c r="N14" s="131" t="s">
        <v>2350</v>
      </c>
      <c r="O14" s="131"/>
      <c r="P14" s="131" t="s">
        <v>755</v>
      </c>
      <c r="Q14" s="131" t="s">
        <v>2351</v>
      </c>
      <c r="R14" s="131" t="str">
        <f t="shared" si="3"/>
        <v>7.0.149.3125</v>
      </c>
      <c r="S14" s="131">
        <f t="shared" si="4"/>
        <v>2</v>
      </c>
      <c r="T14" s="131">
        <f t="shared" si="4"/>
        <v>4</v>
      </c>
      <c r="U14" s="131">
        <f t="shared" si="4"/>
        <v>8</v>
      </c>
      <c r="V14" s="131">
        <f t="shared" si="5"/>
        <v>7</v>
      </c>
      <c r="W14" s="131">
        <f t="shared" si="6"/>
        <v>0</v>
      </c>
      <c r="X14" s="131">
        <f t="shared" si="7"/>
        <v>149</v>
      </c>
      <c r="Y14" s="131" t="str">
        <f t="shared" si="8"/>
        <v>3125</v>
      </c>
      <c r="Z14" s="131" t="b">
        <f t="shared" si="2"/>
        <v>0</v>
      </c>
      <c r="AA14" s="131" t="str">
        <f t="shared" si="9"/>
        <v>FormatStringEngine</v>
      </c>
      <c r="AB14" s="131" t="str">
        <f>IF(Z14,"",CONCATENATE(SUBSTITUTE(LEFT(E14,FIND("\bin\",LOWER(E14))-1),[1]!GetLeafDirectoryName(LEFT(E14,FIND("\bin\",LOWER(E14))-1)),""),AA14,"\Properties\"))</f>
        <v>C:\Users\DAVE\Documents\Visual Studio 2013\Projects\WizardWrx_Libs\Wizardwrx\FormatStringEngine\Properties\</v>
      </c>
      <c r="AC14" s="131" t="str">
        <f t="shared" si="10"/>
        <v>C:\Users\DAVE\Documents\Visual Studio 2013\Projects\WizardWrx_Libs\Wizardwrx\FormatStringEngine\Properties\AssemblyInfo.cs</v>
      </c>
      <c r="AD14" s="131" t="b">
        <f>IF(Z14,"",[1]!FileExists(AC14))</f>
        <v>1</v>
      </c>
      <c r="AE14" s="149">
        <f>IF(Z14,"",[1]!lngFileSize(AC14))</f>
        <v>1606</v>
      </c>
      <c r="AF14" s="149"/>
      <c r="AG14" s="150">
        <f>IF(Z14,"",[1]!dtmFileDateInfo(AC14))</f>
        <v>43028.064791666664</v>
      </c>
      <c r="AH14" s="131"/>
    </row>
    <row r="15" spans="1:34" outlineLevel="1" x14ac:dyDescent="0.25">
      <c r="A15" s="106"/>
      <c r="B15" s="106"/>
      <c r="C15" s="106"/>
      <c r="D15" s="106"/>
      <c r="E15" s="106"/>
      <c r="F15" s="269"/>
      <c r="G15" s="106"/>
      <c r="H15" s="106"/>
      <c r="I15" s="106"/>
      <c r="J15" s="106"/>
      <c r="K15" s="106"/>
      <c r="L15" s="106"/>
      <c r="M15" s="106"/>
      <c r="N15" s="106"/>
      <c r="O15" s="106"/>
      <c r="P15" s="106"/>
      <c r="Q15" s="106"/>
      <c r="R15" s="106"/>
      <c r="S15" s="106"/>
      <c r="T15" s="106"/>
      <c r="U15" s="106"/>
      <c r="V15" s="106"/>
      <c r="W15" s="106"/>
      <c r="X15" s="106"/>
      <c r="Y15" s="270" t="s">
        <v>909</v>
      </c>
      <c r="Z15" s="106">
        <f>SUBTOTAL(3,Z7:Z14)</f>
        <v>8</v>
      </c>
      <c r="AA15" s="106"/>
      <c r="AB15" s="106"/>
      <c r="AC15" s="106"/>
      <c r="AD15" s="106"/>
      <c r="AE15" s="46"/>
      <c r="AF15" s="46"/>
      <c r="AG15" s="45"/>
      <c r="AH15" s="106"/>
    </row>
    <row r="16" spans="1:34" x14ac:dyDescent="0.25">
      <c r="A16" s="106"/>
      <c r="B16" s="106"/>
      <c r="C16" s="106"/>
      <c r="D16" s="106"/>
      <c r="E16" s="106"/>
      <c r="F16" s="269"/>
      <c r="G16" s="106"/>
      <c r="H16" s="106"/>
      <c r="I16" s="106"/>
      <c r="J16" s="106"/>
      <c r="K16" s="106"/>
      <c r="L16" s="106"/>
      <c r="M16" s="106"/>
      <c r="N16" s="106"/>
      <c r="O16" s="106"/>
      <c r="P16" s="106"/>
      <c r="Q16" s="106"/>
      <c r="R16" s="106"/>
      <c r="S16" s="106"/>
      <c r="T16" s="106"/>
      <c r="U16" s="106"/>
      <c r="V16" s="106"/>
      <c r="W16" s="106"/>
      <c r="X16" s="106">
        <f>MAX(X6:X15)</f>
        <v>194</v>
      </c>
      <c r="Y16" s="270" t="s">
        <v>142</v>
      </c>
      <c r="Z16" s="106">
        <f>SUBTOTAL(3,Z2:Z14)</f>
        <v>12</v>
      </c>
      <c r="AA16" s="106"/>
      <c r="AB16" s="106"/>
      <c r="AC16" s="106"/>
      <c r="AD16" s="106"/>
      <c r="AE16" s="46"/>
      <c r="AF16" s="46"/>
      <c r="AG16" s="45"/>
      <c r="AH16" s="106"/>
    </row>
  </sheetData>
  <conditionalFormatting sqref="A2:AD2">
    <cfRule type="expression" dxfId="231" priority="65">
      <formula>FIND("Count",$Y2)</formula>
    </cfRule>
  </conditionalFormatting>
  <conditionalFormatting sqref="AE2:AF2">
    <cfRule type="expression" dxfId="230" priority="64">
      <formula>FIND("Count",$Y2)</formula>
    </cfRule>
  </conditionalFormatting>
  <conditionalFormatting sqref="AG2">
    <cfRule type="expression" dxfId="229" priority="63">
      <formula>FIND("Count",$Y2)</formula>
    </cfRule>
  </conditionalFormatting>
  <conditionalFormatting sqref="AH2">
    <cfRule type="expression" dxfId="228" priority="62">
      <formula>FIND("Count",$Y2)</formula>
    </cfRule>
  </conditionalFormatting>
  <conditionalFormatting sqref="A3:Q16">
    <cfRule type="expression" dxfId="227" priority="61">
      <formula>FIND("Count",$Y3)</formula>
    </cfRule>
  </conditionalFormatting>
  <conditionalFormatting sqref="AH14:AH16">
    <cfRule type="expression" dxfId="226" priority="1">
      <formula>FIND("Count",$Y14)</formula>
    </cfRule>
  </conditionalFormatting>
  <conditionalFormatting sqref="AH12">
    <cfRule type="expression" dxfId="225" priority="9">
      <formula>FIND("Count",$Y12)</formula>
    </cfRule>
  </conditionalFormatting>
  <conditionalFormatting sqref="R13:AD13">
    <cfRule type="expression" dxfId="224" priority="8">
      <formula>FIND("Count",$Y13)</formula>
    </cfRule>
  </conditionalFormatting>
  <conditionalFormatting sqref="AE13:AF13">
    <cfRule type="expression" dxfId="223" priority="7">
      <formula>FIND("Count",$Y13)</formula>
    </cfRule>
  </conditionalFormatting>
  <conditionalFormatting sqref="AG13">
    <cfRule type="expression" dxfId="222" priority="6">
      <formula>FIND("Count",$Y13)</formula>
    </cfRule>
  </conditionalFormatting>
  <conditionalFormatting sqref="R4:AD4">
    <cfRule type="expression" dxfId="221" priority="40">
      <formula>FIND("Count",$Y4)</formula>
    </cfRule>
  </conditionalFormatting>
  <conditionalFormatting sqref="AE4:AF4">
    <cfRule type="expression" dxfId="220" priority="39">
      <formula>FIND("Count",$Y4)</formula>
    </cfRule>
  </conditionalFormatting>
  <conditionalFormatting sqref="AG4">
    <cfRule type="expression" dxfId="219" priority="38">
      <formula>FIND("Count",$Y4)</formula>
    </cfRule>
  </conditionalFormatting>
  <conditionalFormatting sqref="AH4">
    <cfRule type="expression" dxfId="218" priority="37">
      <formula>FIND("Count",$Y4)</formula>
    </cfRule>
  </conditionalFormatting>
  <conditionalFormatting sqref="R3:AD3">
    <cfRule type="expression" dxfId="217" priority="44">
      <formula>FIND("Count",$Y3)</formula>
    </cfRule>
  </conditionalFormatting>
  <conditionalFormatting sqref="AE3:AF3">
    <cfRule type="expression" dxfId="216" priority="43">
      <formula>FIND("Count",$Y3)</formula>
    </cfRule>
  </conditionalFormatting>
  <conditionalFormatting sqref="AG3">
    <cfRule type="expression" dxfId="215" priority="42">
      <formula>FIND("Count",$Y3)</formula>
    </cfRule>
  </conditionalFormatting>
  <conditionalFormatting sqref="AH3">
    <cfRule type="expression" dxfId="214" priority="41">
      <formula>FIND("Count",$Y3)</formula>
    </cfRule>
  </conditionalFormatting>
  <conditionalFormatting sqref="R5:AD6">
    <cfRule type="expression" dxfId="213" priority="36">
      <formula>FIND("Count",$Y5)</formula>
    </cfRule>
  </conditionalFormatting>
  <conditionalFormatting sqref="AE5:AF6">
    <cfRule type="expression" dxfId="212" priority="35">
      <formula>FIND("Count",$Y5)</formula>
    </cfRule>
  </conditionalFormatting>
  <conditionalFormatting sqref="AG5:AG6">
    <cfRule type="expression" dxfId="211" priority="34">
      <formula>FIND("Count",$Y5)</formula>
    </cfRule>
  </conditionalFormatting>
  <conditionalFormatting sqref="AH5:AH6">
    <cfRule type="expression" dxfId="210" priority="33">
      <formula>FIND("Count",$Y5)</formula>
    </cfRule>
  </conditionalFormatting>
  <conditionalFormatting sqref="R7:AD7">
    <cfRule type="expression" dxfId="209" priority="32">
      <formula>FIND("Count",$Y7)</formula>
    </cfRule>
  </conditionalFormatting>
  <conditionalFormatting sqref="AE7:AF7">
    <cfRule type="expression" dxfId="208" priority="31">
      <formula>FIND("Count",$Y7)</formula>
    </cfRule>
  </conditionalFormatting>
  <conditionalFormatting sqref="AG7">
    <cfRule type="expression" dxfId="207" priority="30">
      <formula>FIND("Count",$Y7)</formula>
    </cfRule>
  </conditionalFormatting>
  <conditionalFormatting sqref="AH7">
    <cfRule type="expression" dxfId="206" priority="29">
      <formula>FIND("Count",$Y7)</formula>
    </cfRule>
  </conditionalFormatting>
  <conditionalFormatting sqref="R8:AD8">
    <cfRule type="expression" dxfId="205" priority="28">
      <formula>FIND("Count",$Y8)</formula>
    </cfRule>
  </conditionalFormatting>
  <conditionalFormatting sqref="AE8:AF8">
    <cfRule type="expression" dxfId="204" priority="27">
      <formula>FIND("Count",$Y8)</formula>
    </cfRule>
  </conditionalFormatting>
  <conditionalFormatting sqref="AG8">
    <cfRule type="expression" dxfId="203" priority="26">
      <formula>FIND("Count",$Y8)</formula>
    </cfRule>
  </conditionalFormatting>
  <conditionalFormatting sqref="AH8">
    <cfRule type="expression" dxfId="202" priority="25">
      <formula>FIND("Count",$Y8)</formula>
    </cfRule>
  </conditionalFormatting>
  <conditionalFormatting sqref="R9:AD9">
    <cfRule type="expression" dxfId="201" priority="24">
      <formula>FIND("Count",$Y9)</formula>
    </cfRule>
  </conditionalFormatting>
  <conditionalFormatting sqref="AE9:AF9">
    <cfRule type="expression" dxfId="200" priority="23">
      <formula>FIND("Count",$Y9)</formula>
    </cfRule>
  </conditionalFormatting>
  <conditionalFormatting sqref="AG9">
    <cfRule type="expression" dxfId="199" priority="22">
      <formula>FIND("Count",$Y9)</formula>
    </cfRule>
  </conditionalFormatting>
  <conditionalFormatting sqref="AH9">
    <cfRule type="expression" dxfId="198" priority="21">
      <formula>FIND("Count",$Y9)</formula>
    </cfRule>
  </conditionalFormatting>
  <conditionalFormatting sqref="R10:AD10">
    <cfRule type="expression" dxfId="197" priority="20">
      <formula>FIND("Count",$Y10)</formula>
    </cfRule>
  </conditionalFormatting>
  <conditionalFormatting sqref="AE10:AF10">
    <cfRule type="expression" dxfId="196" priority="19">
      <formula>FIND("Count",$Y10)</formula>
    </cfRule>
  </conditionalFormatting>
  <conditionalFormatting sqref="AG10">
    <cfRule type="expression" dxfId="195" priority="18">
      <formula>FIND("Count",$Y10)</formula>
    </cfRule>
  </conditionalFormatting>
  <conditionalFormatting sqref="AH10">
    <cfRule type="expression" dxfId="194" priority="17">
      <formula>FIND("Count",$Y10)</formula>
    </cfRule>
  </conditionalFormatting>
  <conditionalFormatting sqref="R11:AD11">
    <cfRule type="expression" dxfId="193" priority="16">
      <formula>FIND("Count",$Y11)</formula>
    </cfRule>
  </conditionalFormatting>
  <conditionalFormatting sqref="AE11:AF11">
    <cfRule type="expression" dxfId="192" priority="15">
      <formula>FIND("Count",$Y11)</formula>
    </cfRule>
  </conditionalFormatting>
  <conditionalFormatting sqref="AG11">
    <cfRule type="expression" dxfId="191" priority="14">
      <formula>FIND("Count",$Y11)</formula>
    </cfRule>
  </conditionalFormatting>
  <conditionalFormatting sqref="AH11">
    <cfRule type="expression" dxfId="190" priority="13">
      <formula>FIND("Count",$Y11)</formula>
    </cfRule>
  </conditionalFormatting>
  <conditionalFormatting sqref="R12:AD12">
    <cfRule type="expression" dxfId="189" priority="12">
      <formula>FIND("Count",$Y12)</formula>
    </cfRule>
  </conditionalFormatting>
  <conditionalFormatting sqref="AE12:AF12">
    <cfRule type="expression" dxfId="188" priority="11">
      <formula>FIND("Count",$Y12)</formula>
    </cfRule>
  </conditionalFormatting>
  <conditionalFormatting sqref="AG12">
    <cfRule type="expression" dxfId="187" priority="10">
      <formula>FIND("Count",$Y12)</formula>
    </cfRule>
  </conditionalFormatting>
  <conditionalFormatting sqref="AH13">
    <cfRule type="expression" dxfId="186" priority="5">
      <formula>FIND("Count",$Y13)</formula>
    </cfRule>
  </conditionalFormatting>
  <conditionalFormatting sqref="R14:AD16">
    <cfRule type="expression" dxfId="185" priority="4">
      <formula>FIND("Count",$Y14)</formula>
    </cfRule>
  </conditionalFormatting>
  <conditionalFormatting sqref="AE14:AF16">
    <cfRule type="expression" dxfId="184" priority="3">
      <formula>FIND("Count",$Y14)</formula>
    </cfRule>
  </conditionalFormatting>
  <conditionalFormatting sqref="AG14:AG16">
    <cfRule type="expression" dxfId="183" priority="2">
      <formula>FIND("Count",$Y14)</formula>
    </cfRule>
  </conditionalFormatting>
  <pageMargins left="0.7" right="0.7" top="0.75" bottom="0.75" header="0.3" footer="0.3"/>
  <pageSetup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AH14"/>
  <sheetViews>
    <sheetView workbookViewId="0">
      <pane xSplit="1" ySplit="1" topLeftCell="B2" activePane="bottomRight" state="frozen"/>
      <selection pane="topRight" activeCell="B1" sqref="B1"/>
      <selection pane="bottomLeft" activeCell="A2" sqref="A2"/>
      <selection pane="bottomRight" activeCell="A6" sqref="A6"/>
    </sheetView>
  </sheetViews>
  <sheetFormatPr defaultRowHeight="15" outlineLevelRow="2" x14ac:dyDescent="0.25"/>
  <cols>
    <col min="1" max="1" width="95.5" bestFit="1" customWidth="1"/>
    <col min="2" max="2" width="34.625" bestFit="1" customWidth="1"/>
    <col min="3" max="3" width="38.75" bestFit="1" customWidth="1"/>
    <col min="4" max="4" width="37.75" bestFit="1" customWidth="1"/>
    <col min="5" max="6" width="65.25" bestFit="1" customWidth="1"/>
    <col min="7" max="7" width="22.25" bestFit="1" customWidth="1"/>
    <col min="8" max="8" width="39.75" bestFit="1" customWidth="1"/>
    <col min="9" max="9" width="49" bestFit="1" customWidth="1"/>
    <col min="10" max="11" width="47" bestFit="1" customWidth="1"/>
    <col min="12" max="12" width="48" bestFit="1" customWidth="1"/>
    <col min="13" max="13" width="63.5" bestFit="1" customWidth="1"/>
    <col min="14" max="14" width="26.375" bestFit="1" customWidth="1"/>
    <col min="15" max="15" width="20.25" bestFit="1" customWidth="1"/>
    <col min="16" max="16" width="20.5" bestFit="1" customWidth="1"/>
    <col min="17" max="17" width="40.75" bestFit="1" customWidth="1"/>
    <col min="18" max="18" width="19.875" bestFit="1" customWidth="1"/>
    <col min="19" max="19" width="1.875" bestFit="1" customWidth="1"/>
    <col min="20" max="20" width="1.875" customWidth="1"/>
    <col min="21" max="21" width="2.875" bestFit="1" customWidth="1"/>
    <col min="22" max="23" width="8" bestFit="1" customWidth="1"/>
    <col min="24" max="24" width="6.5" bestFit="1" customWidth="1"/>
    <col min="25" max="25" width="11.875" bestFit="1" customWidth="1"/>
    <col min="26" max="26" width="9.875" bestFit="1" customWidth="1"/>
    <col min="27" max="27" width="28.5" bestFit="1" customWidth="1"/>
    <col min="28" max="28" width="119.125" bestFit="1" customWidth="1"/>
    <col min="29" max="29" width="134.625" bestFit="1" customWidth="1"/>
    <col min="31" max="31" width="6" bestFit="1" customWidth="1"/>
    <col min="32" max="32" width="22.875" bestFit="1" customWidth="1"/>
    <col min="33" max="33" width="22.375" bestFit="1" customWidth="1"/>
  </cols>
  <sheetData>
    <row r="1" spans="1:34" ht="18" x14ac:dyDescent="0.25">
      <c r="A1" s="133" t="s">
        <v>724</v>
      </c>
      <c r="B1" s="133" t="s">
        <v>725</v>
      </c>
      <c r="C1" s="133" t="s">
        <v>726</v>
      </c>
      <c r="D1" s="133" t="s">
        <v>727</v>
      </c>
      <c r="E1" s="133" t="s">
        <v>728</v>
      </c>
      <c r="F1" s="134" t="s">
        <v>729</v>
      </c>
      <c r="G1" s="133" t="s">
        <v>730</v>
      </c>
      <c r="H1" s="133" t="s">
        <v>731</v>
      </c>
      <c r="I1" s="133" t="s">
        <v>732</v>
      </c>
      <c r="J1" s="133" t="s">
        <v>733</v>
      </c>
      <c r="K1" s="133" t="s">
        <v>734</v>
      </c>
      <c r="L1" s="133" t="s">
        <v>735</v>
      </c>
      <c r="M1" s="133" t="s">
        <v>736</v>
      </c>
      <c r="N1" s="133" t="s">
        <v>737</v>
      </c>
      <c r="O1" s="133" t="s">
        <v>738</v>
      </c>
      <c r="P1" s="133" t="s">
        <v>739</v>
      </c>
      <c r="Q1" s="133" t="s">
        <v>740</v>
      </c>
      <c r="R1" s="133" t="s">
        <v>902</v>
      </c>
      <c r="S1" s="133" t="s">
        <v>903</v>
      </c>
      <c r="T1" s="133" t="str">
        <f>S1</f>
        <v>.</v>
      </c>
      <c r="U1" s="133" t="str">
        <f>T1</f>
        <v>.</v>
      </c>
      <c r="V1" s="133" t="s">
        <v>904</v>
      </c>
      <c r="W1" s="133" t="s">
        <v>905</v>
      </c>
      <c r="X1" s="133" t="s">
        <v>906</v>
      </c>
      <c r="Y1" s="133" t="s">
        <v>907</v>
      </c>
      <c r="Z1" s="133" t="s">
        <v>758</v>
      </c>
      <c r="AA1" s="133" t="s">
        <v>911</v>
      </c>
      <c r="AB1" s="133" t="s">
        <v>910</v>
      </c>
      <c r="AC1" s="133" t="s">
        <v>912</v>
      </c>
      <c r="AD1" s="133" t="s">
        <v>913</v>
      </c>
      <c r="AE1" s="133" t="s">
        <v>13</v>
      </c>
      <c r="AF1" s="133" t="s">
        <v>950</v>
      </c>
      <c r="AG1" s="133" t="s">
        <v>949</v>
      </c>
      <c r="AH1" s="133" t="s">
        <v>948</v>
      </c>
    </row>
    <row r="2" spans="1:34" outlineLevel="2" x14ac:dyDescent="0.25">
      <c r="A2" s="131" t="s">
        <v>741</v>
      </c>
      <c r="B2" s="131" t="s">
        <v>742</v>
      </c>
      <c r="C2" s="131" t="s">
        <v>743</v>
      </c>
      <c r="D2" s="131" t="s">
        <v>744</v>
      </c>
      <c r="E2" s="131" t="s">
        <v>873</v>
      </c>
      <c r="F2" s="132" t="s">
        <v>746</v>
      </c>
      <c r="G2" s="131" t="s">
        <v>747</v>
      </c>
      <c r="H2" s="131" t="s">
        <v>748</v>
      </c>
      <c r="I2" s="131" t="s">
        <v>749</v>
      </c>
      <c r="J2" s="131" t="s">
        <v>874</v>
      </c>
      <c r="K2" s="131" t="s">
        <v>875</v>
      </c>
      <c r="L2" s="131" t="s">
        <v>752</v>
      </c>
      <c r="M2" s="131"/>
      <c r="N2" s="131" t="s">
        <v>753</v>
      </c>
      <c r="O2" s="131" t="s">
        <v>754</v>
      </c>
      <c r="P2" s="131" t="s">
        <v>755</v>
      </c>
      <c r="Q2" s="131" t="s">
        <v>876</v>
      </c>
      <c r="R2" s="131" t="str">
        <f>IFERROR(LEFT(Q2,FIND(CHAR(32),Q2)-1),Q2)</f>
        <v>2.0.50727.8669</v>
      </c>
      <c r="S2" s="131">
        <f>IF(R$1=S$1,FIND(S$1,$R2,R2+1),FIND(S$1,$R2))</f>
        <v>2</v>
      </c>
      <c r="T2" s="131">
        <f>IF(S$1=T$1,FIND(T$1,$R2,S2+1),FIND(T$1,$R2))</f>
        <v>4</v>
      </c>
      <c r="U2" s="131">
        <f>IF(T$1=U$1,FIND(U$1,$R2,T2+1),FIND(U$1,$R2))</f>
        <v>10</v>
      </c>
      <c r="V2" s="131">
        <f>INT(LEFT(R2,S2-1))</f>
        <v>2</v>
      </c>
      <c r="W2" s="131">
        <f>INT(MID(R2,S2+1,T2-S2-1))</f>
        <v>0</v>
      </c>
      <c r="X2" s="131">
        <f>INT(MID(R2,T2+1,U2-T2-1))</f>
        <v>50727</v>
      </c>
      <c r="Y2" s="131" t="str">
        <f>RIGHT(R2,LEN(R2)-U2)</f>
        <v>8669</v>
      </c>
      <c r="Z2" s="131" t="b">
        <f>OR(LEFT(E2,LEN(Program_Files_Root_Directory_Name))=Program_Files_Root_Directory_Name,LEFT(E2,LEN(Windows_Root_Directory_Name))=Windows_Root_Directory_Name)</f>
        <v>1</v>
      </c>
      <c r="AA2" s="131" t="str">
        <f>IF(Z2,"",RIGHT(B2,LEN(B2)-FIND(".",B2)))</f>
        <v/>
      </c>
      <c r="AB2" s="131" t="str">
        <f>IF(Z2,"",CONCATENATE(SUBSTITUTE(LEFT(E2,FIND("\bin\",LOWER(E2))-1),[1]!GetLeafDirectoryName(LEFT(E2,FIND("\bin\",LOWER(E2))-1)),""),AA2,"\Properties\"))</f>
        <v/>
      </c>
      <c r="AC2" s="131" t="str">
        <f>IF(Z2,"",CONCATENATE(AB2,"AssemblyInfo.cs"))</f>
        <v/>
      </c>
      <c r="AD2" s="131" t="str">
        <f>IF(Z2,"",[1]!FileExists(AC2))</f>
        <v/>
      </c>
      <c r="AE2" s="149" t="str">
        <f>IF(Z2,"",[1]!lngFileSize(AC2))</f>
        <v/>
      </c>
      <c r="AF2" s="149"/>
      <c r="AG2" s="150" t="str">
        <f>IF(Z2,"",[1]!dtmFileDateInfo(AC2))</f>
        <v/>
      </c>
      <c r="AH2" s="131"/>
    </row>
    <row r="3" spans="1:34" outlineLevel="2" x14ac:dyDescent="0.25">
      <c r="A3" s="131" t="s">
        <v>757</v>
      </c>
      <c r="B3" s="131" t="s">
        <v>758</v>
      </c>
      <c r="C3" s="131" t="s">
        <v>759</v>
      </c>
      <c r="D3" s="131"/>
      <c r="E3" s="131" t="s">
        <v>760</v>
      </c>
      <c r="F3" s="132" t="s">
        <v>746</v>
      </c>
      <c r="G3" s="131" t="s">
        <v>747</v>
      </c>
      <c r="H3" s="131" t="s">
        <v>748</v>
      </c>
      <c r="I3" s="131" t="s">
        <v>761</v>
      </c>
      <c r="J3" s="131" t="s">
        <v>874</v>
      </c>
      <c r="K3" s="131" t="s">
        <v>877</v>
      </c>
      <c r="L3" s="131" t="s">
        <v>752</v>
      </c>
      <c r="M3" s="131"/>
      <c r="N3" s="131" t="s">
        <v>753</v>
      </c>
      <c r="O3" s="131" t="s">
        <v>754</v>
      </c>
      <c r="P3" s="131" t="s">
        <v>755</v>
      </c>
      <c r="Q3" s="131" t="s">
        <v>878</v>
      </c>
      <c r="R3" s="131" t="str">
        <f t="shared" ref="R3:R12" si="0">IFERROR(LEFT(Q3,FIND(CHAR(32),Q3)-1),Q3)</f>
        <v>2.0.50727.8759</v>
      </c>
      <c r="S3" s="131">
        <f t="shared" ref="S3:T12" si="1">IF(R$1=S$1,FIND(S$1,$R3,R3+1),FIND(S$1,$R3))</f>
        <v>2</v>
      </c>
      <c r="T3" s="131">
        <f t="shared" si="1"/>
        <v>4</v>
      </c>
      <c r="U3" s="131">
        <f t="shared" ref="U3" si="2">IF(T$1=U$1,FIND(U$1,$R3,T3+1),FIND(U$1,$R3))</f>
        <v>10</v>
      </c>
      <c r="V3" s="131">
        <f t="shared" ref="V3:V12" si="3">INT(LEFT(R3,S3-1))</f>
        <v>2</v>
      </c>
      <c r="W3" s="131">
        <f t="shared" ref="W3:W5" si="4">INT(MID(R3,S3+1,T3-S3-1))</f>
        <v>0</v>
      </c>
      <c r="X3" s="131">
        <f t="shared" ref="X3:X5" si="5">INT(MID(R3,T3+1,U3-T3-1))</f>
        <v>50727</v>
      </c>
      <c r="Y3" s="131" t="str">
        <f t="shared" ref="Y3:Y12" si="6">RIGHT(R3,LEN(R3)-U3)</f>
        <v>8759</v>
      </c>
      <c r="Z3" s="131" t="b">
        <f>OR(LEFT(E3,LEN(Program_Files_Root_Directory_Name))=Program_Files_Root_Directory_Name,LEFT(E3,LEN(Windows_Root_Directory_Name))=Windows_Root_Directory_Name)</f>
        <v>1</v>
      </c>
      <c r="AA3" s="131" t="str">
        <f t="shared" ref="AA3:AA12" si="7">IF(Z3,"",RIGHT(B3,LEN(B3)-FIND(".",B3)))</f>
        <v/>
      </c>
      <c r="AB3" s="131" t="str">
        <f>IF(Z3,"",CONCATENATE(SUBSTITUTE(LEFT(E3,FIND("\bin\",LOWER(E3))-1),[1]!GetLeafDirectoryName(LEFT(E3,FIND("\bin\",LOWER(E3))-1)),""),AA3,"\Properties\"))</f>
        <v/>
      </c>
      <c r="AC3" s="131" t="str">
        <f t="shared" ref="AC3:AC12" si="8">IF(Z3,"",CONCATENATE(AB3,"AssemblyInfo.cs"))</f>
        <v/>
      </c>
      <c r="AD3" s="131" t="str">
        <f>IF(Z3,"",[1]!FileExists(AC3))</f>
        <v/>
      </c>
      <c r="AE3" s="149" t="str">
        <f>IF(Z3,"",[1]!lngFileSize(AC3))</f>
        <v/>
      </c>
      <c r="AF3" s="149"/>
      <c r="AG3" s="150" t="str">
        <f>IF(Z3,"",[1]!dtmFileDateInfo(AC3))</f>
        <v/>
      </c>
      <c r="AH3" s="131"/>
    </row>
    <row r="4" spans="1:34" outlineLevel="2" x14ac:dyDescent="0.25">
      <c r="A4" s="131" t="s">
        <v>765</v>
      </c>
      <c r="B4" s="131" t="s">
        <v>766</v>
      </c>
      <c r="C4" s="131" t="s">
        <v>767</v>
      </c>
      <c r="D4" s="131"/>
      <c r="E4" s="131" t="s">
        <v>768</v>
      </c>
      <c r="F4" s="132" t="s">
        <v>746</v>
      </c>
      <c r="G4" s="131" t="s">
        <v>747</v>
      </c>
      <c r="H4" s="131" t="s">
        <v>748</v>
      </c>
      <c r="I4" s="131" t="s">
        <v>761</v>
      </c>
      <c r="J4" s="131" t="s">
        <v>769</v>
      </c>
      <c r="K4" s="131" t="s">
        <v>769</v>
      </c>
      <c r="L4" s="131" t="s">
        <v>752</v>
      </c>
      <c r="M4" s="131"/>
      <c r="N4" s="131" t="s">
        <v>753</v>
      </c>
      <c r="O4" s="131" t="s">
        <v>754</v>
      </c>
      <c r="P4" s="131" t="s">
        <v>755</v>
      </c>
      <c r="Q4" s="131" t="s">
        <v>770</v>
      </c>
      <c r="R4" s="131" t="str">
        <f t="shared" si="0"/>
        <v>3.5.30729.5420</v>
      </c>
      <c r="S4" s="131">
        <f t="shared" si="1"/>
        <v>2</v>
      </c>
      <c r="T4" s="131">
        <f t="shared" si="1"/>
        <v>4</v>
      </c>
      <c r="U4" s="131">
        <f t="shared" ref="U4" si="9">IF(T$1=U$1,FIND(U$1,$R4,T4+1),FIND(U$1,$R4))</f>
        <v>10</v>
      </c>
      <c r="V4" s="131">
        <f t="shared" si="3"/>
        <v>3</v>
      </c>
      <c r="W4" s="131">
        <f t="shared" si="4"/>
        <v>5</v>
      </c>
      <c r="X4" s="131">
        <f t="shared" si="5"/>
        <v>30729</v>
      </c>
      <c r="Y4" s="131" t="str">
        <f t="shared" si="6"/>
        <v>5420</v>
      </c>
      <c r="Z4" s="131" t="b">
        <f>OR(LEFT(E4,LEN(Program_Files_Root_Directory_Name))=Program_Files_Root_Directory_Name,LEFT(E4,LEN(Windows_Root_Directory_Name))=Windows_Root_Directory_Name)</f>
        <v>1</v>
      </c>
      <c r="AA4" s="131" t="str">
        <f t="shared" si="7"/>
        <v/>
      </c>
      <c r="AB4" s="131" t="str">
        <f>IF(Z4,"",CONCATENATE(SUBSTITUTE(LEFT(E4,FIND("\bin\",LOWER(E4))-1),[1]!GetLeafDirectoryName(LEFT(E4,FIND("\bin\",LOWER(E4))-1)),""),AA4,"\Properties\"))</f>
        <v/>
      </c>
      <c r="AC4" s="131" t="str">
        <f t="shared" si="8"/>
        <v/>
      </c>
      <c r="AD4" s="131" t="str">
        <f>IF(Z4,"",[1]!FileExists(AC4))</f>
        <v/>
      </c>
      <c r="AE4" s="149" t="str">
        <f>IF(Z4,"",[1]!lngFileSize(AC4))</f>
        <v/>
      </c>
      <c r="AF4" s="149"/>
      <c r="AG4" s="150" t="str">
        <f>IF(Z4,"",[1]!dtmFileDateInfo(AC4))</f>
        <v/>
      </c>
      <c r="AH4" s="131"/>
    </row>
    <row r="5" spans="1:34" outlineLevel="2" x14ac:dyDescent="0.25">
      <c r="A5" s="131" t="s">
        <v>771</v>
      </c>
      <c r="B5" s="131" t="s">
        <v>772</v>
      </c>
      <c r="C5" s="131" t="s">
        <v>773</v>
      </c>
      <c r="D5" s="131"/>
      <c r="E5" s="131" t="s">
        <v>774</v>
      </c>
      <c r="F5" s="132" t="s">
        <v>746</v>
      </c>
      <c r="G5" s="131" t="s">
        <v>747</v>
      </c>
      <c r="H5" s="131" t="s">
        <v>748</v>
      </c>
      <c r="I5" s="131" t="s">
        <v>761</v>
      </c>
      <c r="J5" s="131" t="s">
        <v>775</v>
      </c>
      <c r="K5" s="131" t="s">
        <v>776</v>
      </c>
      <c r="L5" s="131" t="s">
        <v>752</v>
      </c>
      <c r="M5" s="131"/>
      <c r="N5" s="131" t="s">
        <v>753</v>
      </c>
      <c r="O5" s="131" t="s">
        <v>754</v>
      </c>
      <c r="P5" s="131" t="s">
        <v>755</v>
      </c>
      <c r="Q5" s="131" t="s">
        <v>777</v>
      </c>
      <c r="R5" s="131" t="str">
        <f t="shared" si="0"/>
        <v>2.0.50727.5494</v>
      </c>
      <c r="S5" s="131">
        <f t="shared" si="1"/>
        <v>2</v>
      </c>
      <c r="T5" s="131">
        <f t="shared" si="1"/>
        <v>4</v>
      </c>
      <c r="U5" s="131">
        <f t="shared" ref="U5" si="10">IF(T$1=U$1,FIND(U$1,$R5,T5+1),FIND(U$1,$R5))</f>
        <v>10</v>
      </c>
      <c r="V5" s="131">
        <f t="shared" si="3"/>
        <v>2</v>
      </c>
      <c r="W5" s="131">
        <f t="shared" si="4"/>
        <v>0</v>
      </c>
      <c r="X5" s="131">
        <f t="shared" si="5"/>
        <v>50727</v>
      </c>
      <c r="Y5" s="131" t="str">
        <f t="shared" si="6"/>
        <v>5494</v>
      </c>
      <c r="Z5" s="131" t="b">
        <f>OR(LEFT(E5,LEN(Program_Files_Root_Directory_Name))=Program_Files_Root_Directory_Name,LEFT(E5,LEN(Windows_Root_Directory_Name))=Windows_Root_Directory_Name)</f>
        <v>1</v>
      </c>
      <c r="AA5" s="131" t="str">
        <f t="shared" si="7"/>
        <v/>
      </c>
      <c r="AB5" s="131" t="str">
        <f>IF(Z5,"",CONCATENATE(SUBSTITUTE(LEFT(E5,FIND("\bin\",LOWER(E5))-1),[1]!GetLeafDirectoryName(LEFT(E5,FIND("\bin\",LOWER(E5))-1)),""),AA5,"\Properties\"))</f>
        <v/>
      </c>
      <c r="AC5" s="131" t="str">
        <f t="shared" si="8"/>
        <v/>
      </c>
      <c r="AD5" s="131" t="str">
        <f>IF(Z5,"",[1]!FileExists(AC5))</f>
        <v/>
      </c>
      <c r="AE5" s="149" t="str">
        <f>IF(Z5,"",[1]!lngFileSize(AC5))</f>
        <v/>
      </c>
      <c r="AF5" s="149"/>
      <c r="AG5" s="150" t="str">
        <f>IF(Z5,"",[1]!dtmFileDateInfo(AC5))</f>
        <v/>
      </c>
      <c r="AH5" s="131"/>
    </row>
    <row r="6" spans="1:34" outlineLevel="1" x14ac:dyDescent="0.25">
      <c r="A6" s="131"/>
      <c r="B6" s="131"/>
      <c r="C6" s="131"/>
      <c r="D6" s="131"/>
      <c r="E6" s="131"/>
      <c r="F6" s="132"/>
      <c r="G6" s="131"/>
      <c r="H6" s="131"/>
      <c r="I6" s="131"/>
      <c r="J6" s="131"/>
      <c r="K6" s="131"/>
      <c r="L6" s="131"/>
      <c r="M6" s="131"/>
      <c r="N6" s="131"/>
      <c r="O6" s="131"/>
      <c r="P6" s="131"/>
      <c r="Q6" s="131"/>
      <c r="R6" s="131"/>
      <c r="S6" s="131"/>
      <c r="T6" s="131"/>
      <c r="U6" s="131"/>
      <c r="V6" s="131">
        <f>SUBTOTAL(4,V2:V5)</f>
        <v>3</v>
      </c>
      <c r="W6" s="131">
        <f>SUBTOTAL(4,W2:W5)</f>
        <v>5</v>
      </c>
      <c r="X6" s="131">
        <f>SUBTOTAL(4,X2:X5)</f>
        <v>50727</v>
      </c>
      <c r="Y6" s="131" t="s">
        <v>908</v>
      </c>
      <c r="Z6" s="131">
        <f>SUBTOTAL(3,Z2:Z5)</f>
        <v>4</v>
      </c>
      <c r="AA6" s="131" t="str">
        <f t="shared" si="7"/>
        <v/>
      </c>
      <c r="AB6" s="131" t="str">
        <f>IF(Z6,"",CONCATENATE(SUBSTITUTE(LEFT(E6,FIND("\bin\",LOWER(E6))-1),[1]!GetLeafDirectoryName(LEFT(E6,FIND("\bin\",LOWER(E6))-1)),""),AA6,"\Properties\"))</f>
        <v/>
      </c>
      <c r="AC6" s="131" t="str">
        <f t="shared" si="8"/>
        <v/>
      </c>
      <c r="AD6" s="131" t="str">
        <f>IF(Z6,"",[1]!FileExists(AC6))</f>
        <v/>
      </c>
      <c r="AE6" s="149" t="str">
        <f>IF(Z6,"",[1]!lngFileSize(AC6))</f>
        <v/>
      </c>
      <c r="AF6" s="149"/>
      <c r="AG6" s="150" t="str">
        <f>IF(Z6,"",[1]!dtmFileDateInfo(AC6))</f>
        <v/>
      </c>
      <c r="AH6" s="131"/>
    </row>
    <row r="7" spans="1:34" outlineLevel="2" x14ac:dyDescent="0.25">
      <c r="A7" s="131" t="s">
        <v>879</v>
      </c>
      <c r="B7" s="131" t="s">
        <v>779</v>
      </c>
      <c r="C7" s="131" t="s">
        <v>780</v>
      </c>
      <c r="D7" s="131" t="s">
        <v>781</v>
      </c>
      <c r="E7" s="131" t="s">
        <v>453</v>
      </c>
      <c r="F7" s="132"/>
      <c r="G7" s="131" t="s">
        <v>782</v>
      </c>
      <c r="H7" s="131" t="s">
        <v>748</v>
      </c>
      <c r="I7" s="131" t="s">
        <v>779</v>
      </c>
      <c r="J7" s="131" t="s">
        <v>880</v>
      </c>
      <c r="K7" s="131" t="s">
        <v>881</v>
      </c>
      <c r="L7" s="131" t="s">
        <v>800</v>
      </c>
      <c r="M7" s="131" t="s">
        <v>786</v>
      </c>
      <c r="N7" s="131" t="s">
        <v>787</v>
      </c>
      <c r="O7" s="131"/>
      <c r="P7" s="131" t="s">
        <v>755</v>
      </c>
      <c r="Q7" s="131" t="s">
        <v>882</v>
      </c>
      <c r="R7" s="131" t="str">
        <f t="shared" si="0"/>
        <v>7.0.62.126</v>
      </c>
      <c r="S7" s="131">
        <f t="shared" si="1"/>
        <v>2</v>
      </c>
      <c r="T7" s="131">
        <f t="shared" si="1"/>
        <v>4</v>
      </c>
      <c r="U7" s="131">
        <f t="shared" ref="U7" si="11">IF(T$1=U$1,FIND(U$1,$R7,T7+1),FIND(U$1,$R7))</f>
        <v>7</v>
      </c>
      <c r="V7" s="131">
        <f t="shared" si="3"/>
        <v>7</v>
      </c>
      <c r="W7" s="131">
        <f t="shared" ref="W7:W12" si="12">INT(MID(R7,S7+1,T7-S7-1))</f>
        <v>0</v>
      </c>
      <c r="X7" s="131">
        <f t="shared" ref="X7:X12" si="13">INT(MID(R7,T7+1,U7-T7-1))</f>
        <v>62</v>
      </c>
      <c r="Y7" s="131" t="str">
        <f t="shared" si="6"/>
        <v>126</v>
      </c>
      <c r="Z7" s="131" t="b">
        <f t="shared" ref="Z7:Z12" si="14">OR(LEFT(E7,LEN(Program_Files_Root_Directory_Name))=Program_Files_Root_Directory_Name,LEFT(E7,LEN(Windows_Root_Directory_Name))=Windows_Root_Directory_Name)</f>
        <v>0</v>
      </c>
      <c r="AA7" s="131" t="str">
        <f t="shared" si="7"/>
        <v>AssemblyUtils</v>
      </c>
      <c r="AB7" s="131" t="str">
        <f>IF(Z7,"",CONCATENATE(SUBSTITUTE(LEFT(E7,FIND("\bin\",LOWER(E7))-1),[1]!GetLeafDirectoryName(LEFT(E7,FIND("\bin\",LOWER(E7))-1)),""),AA7,"\Properties\"))</f>
        <v>C:\Users\DAVE\Documents\Visual Studio 2013\Projects\WizardWrx_Libs\DLLServices2\AssemblyUtils\Properties\</v>
      </c>
      <c r="AC7" s="131" t="str">
        <f t="shared" si="8"/>
        <v>C:\Users\DAVE\Documents\Visual Studio 2013\Projects\WizardWrx_Libs\DLLServices2\AssemblyUtils\Properties\AssemblyInfo.cs</v>
      </c>
      <c r="AD7" s="131" t="b">
        <f>IF(Z7,"",[1]!FileExists(AC7))</f>
        <v>0</v>
      </c>
      <c r="AE7" s="149">
        <f>IF(Z7,"",[1]!lngFileSize(AC7))</f>
        <v>0</v>
      </c>
      <c r="AF7" s="152">
        <v>42929.044560185182</v>
      </c>
      <c r="AG7" s="150">
        <f>IF(Z7,"",[1]!dtmFileDateInfo(AC7))</f>
        <v>0</v>
      </c>
      <c r="AH7" s="131" t="b">
        <v>1</v>
      </c>
    </row>
    <row r="8" spans="1:34" outlineLevel="2" x14ac:dyDescent="0.25">
      <c r="A8" s="131" t="s">
        <v>883</v>
      </c>
      <c r="B8" s="131" t="s">
        <v>790</v>
      </c>
      <c r="C8" s="131" t="s">
        <v>791</v>
      </c>
      <c r="D8" s="131" t="s">
        <v>792</v>
      </c>
      <c r="E8" s="131" t="s">
        <v>453</v>
      </c>
      <c r="F8" s="132"/>
      <c r="G8" s="131" t="s">
        <v>782</v>
      </c>
      <c r="H8" s="131" t="s">
        <v>748</v>
      </c>
      <c r="I8" s="131" t="s">
        <v>790</v>
      </c>
      <c r="J8" s="131" t="s">
        <v>880</v>
      </c>
      <c r="K8" s="131" t="s">
        <v>884</v>
      </c>
      <c r="L8" s="131" t="s">
        <v>785</v>
      </c>
      <c r="M8" s="131" t="s">
        <v>786</v>
      </c>
      <c r="N8" s="131" t="s">
        <v>787</v>
      </c>
      <c r="O8" s="131"/>
      <c r="P8" s="131" t="s">
        <v>755</v>
      </c>
      <c r="Q8" s="131" t="s">
        <v>885</v>
      </c>
      <c r="R8" s="131" t="str">
        <f t="shared" si="0"/>
        <v>7.0.76.39083</v>
      </c>
      <c r="S8" s="131">
        <f t="shared" si="1"/>
        <v>2</v>
      </c>
      <c r="T8" s="131">
        <f t="shared" si="1"/>
        <v>4</v>
      </c>
      <c r="U8" s="131">
        <f t="shared" ref="U8" si="15">IF(T$1=U$1,FIND(U$1,$R8,T8+1),FIND(U$1,$R8))</f>
        <v>7</v>
      </c>
      <c r="V8" s="131">
        <f t="shared" si="3"/>
        <v>7</v>
      </c>
      <c r="W8" s="131">
        <f t="shared" si="12"/>
        <v>0</v>
      </c>
      <c r="X8" s="131">
        <f t="shared" si="13"/>
        <v>76</v>
      </c>
      <c r="Y8" s="131" t="str">
        <f t="shared" si="6"/>
        <v>39083</v>
      </c>
      <c r="Z8" s="131" t="b">
        <f t="shared" si="14"/>
        <v>0</v>
      </c>
      <c r="AA8" s="131" t="str">
        <f t="shared" si="7"/>
        <v>Common</v>
      </c>
      <c r="AB8" s="131" t="str">
        <f>IF(Z8,"",CONCATENATE(SUBSTITUTE(LEFT(E8,FIND("\bin\",LOWER(E8))-1),[1]!GetLeafDirectoryName(LEFT(E8,FIND("\bin\",LOWER(E8))-1)),""),AA8,"\Properties\"))</f>
        <v>C:\Users\DAVE\Documents\Visual Studio 2013\Projects\WizardWrx_Libs\DLLServices2\Common\Properties\</v>
      </c>
      <c r="AC8" s="131" t="str">
        <f t="shared" si="8"/>
        <v>C:\Users\DAVE\Documents\Visual Studio 2013\Projects\WizardWrx_Libs\DLLServices2\Common\Properties\AssemblyInfo.cs</v>
      </c>
      <c r="AD8" s="131" t="b">
        <f>IF(Z8,"",[1]!FileExists(AC8))</f>
        <v>0</v>
      </c>
      <c r="AE8" s="149">
        <f>IF(Z8,"",[1]!lngFileSize(AC8))</f>
        <v>0</v>
      </c>
      <c r="AF8" s="152">
        <v>42922.946319444447</v>
      </c>
      <c r="AG8" s="150">
        <f>IF(Z8,"",[1]!dtmFileDateInfo(AC8))</f>
        <v>0</v>
      </c>
      <c r="AH8" s="131" t="b">
        <v>1</v>
      </c>
    </row>
    <row r="9" spans="1:34" outlineLevel="2" x14ac:dyDescent="0.25">
      <c r="A9" s="131" t="s">
        <v>886</v>
      </c>
      <c r="B9" s="131" t="s">
        <v>796</v>
      </c>
      <c r="C9" s="131" t="s">
        <v>797</v>
      </c>
      <c r="D9" s="131" t="s">
        <v>798</v>
      </c>
      <c r="E9" s="131" t="s">
        <v>453</v>
      </c>
      <c r="F9" s="132"/>
      <c r="G9" s="131" t="s">
        <v>782</v>
      </c>
      <c r="H9" s="131" t="s">
        <v>748</v>
      </c>
      <c r="I9" s="131" t="s">
        <v>796</v>
      </c>
      <c r="J9" s="131" t="s">
        <v>880</v>
      </c>
      <c r="K9" s="131" t="s">
        <v>887</v>
      </c>
      <c r="L9" s="131" t="s">
        <v>800</v>
      </c>
      <c r="M9" s="131" t="s">
        <v>786</v>
      </c>
      <c r="N9" s="131" t="s">
        <v>787</v>
      </c>
      <c r="O9" s="131"/>
      <c r="P9" s="131" t="s">
        <v>755</v>
      </c>
      <c r="Q9" s="131" t="s">
        <v>888</v>
      </c>
      <c r="R9" s="131" t="str">
        <f t="shared" si="0"/>
        <v>7.0.138.128</v>
      </c>
      <c r="S9" s="131">
        <f t="shared" si="1"/>
        <v>2</v>
      </c>
      <c r="T9" s="131">
        <f t="shared" si="1"/>
        <v>4</v>
      </c>
      <c r="U9" s="131">
        <f t="shared" ref="U9" si="16">IF(T$1=U$1,FIND(U$1,$R9,T9+1),FIND(U$1,$R9))</f>
        <v>8</v>
      </c>
      <c r="V9" s="131">
        <f t="shared" si="3"/>
        <v>7</v>
      </c>
      <c r="W9" s="131">
        <f t="shared" si="12"/>
        <v>0</v>
      </c>
      <c r="X9" s="131">
        <f t="shared" si="13"/>
        <v>138</v>
      </c>
      <c r="Y9" s="131" t="str">
        <f t="shared" si="6"/>
        <v>128</v>
      </c>
      <c r="Z9" s="131" t="b">
        <f t="shared" si="14"/>
        <v>0</v>
      </c>
      <c r="AA9" s="131" t="str">
        <f t="shared" si="7"/>
        <v>ConsoleStreams</v>
      </c>
      <c r="AB9" s="131" t="str">
        <f>IF(Z9,"",CONCATENATE(SUBSTITUTE(LEFT(E9,FIND("\bin\",LOWER(E9))-1),[1]!GetLeafDirectoryName(LEFT(E9,FIND("\bin\",LOWER(E9))-1)),""),AA9,"\Properties\"))</f>
        <v>C:\Users\DAVE\Documents\Visual Studio 2013\Projects\WizardWrx_Libs\DLLServices2\ConsoleStreams\Properties\</v>
      </c>
      <c r="AC9" s="131" t="str">
        <f t="shared" si="8"/>
        <v>C:\Users\DAVE\Documents\Visual Studio 2013\Projects\WizardWrx_Libs\DLLServices2\ConsoleStreams\Properties\AssemblyInfo.cs</v>
      </c>
      <c r="AD9" s="131" t="b">
        <f>IF(Z9,"",[1]!FileExists(AC9))</f>
        <v>0</v>
      </c>
      <c r="AE9" s="149">
        <f>IF(Z9,"",[1]!lngFileSize(AC9))</f>
        <v>0</v>
      </c>
      <c r="AF9" s="152">
        <v>42929.044606481482</v>
      </c>
      <c r="AG9" s="150">
        <f>IF(Z9,"",[1]!dtmFileDateInfo(AC9))</f>
        <v>0</v>
      </c>
      <c r="AH9" s="131" t="b">
        <v>1</v>
      </c>
    </row>
    <row r="10" spans="1:34" outlineLevel="2" x14ac:dyDescent="0.25">
      <c r="A10" s="131" t="s">
        <v>889</v>
      </c>
      <c r="B10" s="131" t="s">
        <v>803</v>
      </c>
      <c r="C10" s="131" t="s">
        <v>804</v>
      </c>
      <c r="D10" s="131" t="s">
        <v>805</v>
      </c>
      <c r="E10" s="131" t="s">
        <v>453</v>
      </c>
      <c r="F10" s="132"/>
      <c r="G10" s="131" t="s">
        <v>782</v>
      </c>
      <c r="H10" s="131" t="s">
        <v>748</v>
      </c>
      <c r="I10" s="131" t="s">
        <v>803</v>
      </c>
      <c r="J10" s="131" t="s">
        <v>880</v>
      </c>
      <c r="K10" s="131" t="s">
        <v>890</v>
      </c>
      <c r="L10" s="131" t="s">
        <v>800</v>
      </c>
      <c r="M10" s="131" t="s">
        <v>786</v>
      </c>
      <c r="N10" s="131" t="s">
        <v>787</v>
      </c>
      <c r="O10" s="131"/>
      <c r="P10" s="131" t="s">
        <v>755</v>
      </c>
      <c r="Q10" s="131" t="s">
        <v>891</v>
      </c>
      <c r="R10" s="131" t="str">
        <f t="shared" si="0"/>
        <v>7.0.101.124</v>
      </c>
      <c r="S10" s="131">
        <f t="shared" si="1"/>
        <v>2</v>
      </c>
      <c r="T10" s="131">
        <f t="shared" si="1"/>
        <v>4</v>
      </c>
      <c r="U10" s="131">
        <f t="shared" ref="U10" si="17">IF(T$1=U$1,FIND(U$1,$R10,T10+1),FIND(U$1,$R10))</f>
        <v>8</v>
      </c>
      <c r="V10" s="131">
        <f t="shared" si="3"/>
        <v>7</v>
      </c>
      <c r="W10" s="131">
        <f t="shared" si="12"/>
        <v>0</v>
      </c>
      <c r="X10" s="131">
        <f t="shared" si="13"/>
        <v>101</v>
      </c>
      <c r="Y10" s="131" t="str">
        <f t="shared" si="6"/>
        <v>124</v>
      </c>
      <c r="Z10" s="131" t="b">
        <f t="shared" si="14"/>
        <v>0</v>
      </c>
      <c r="AA10" s="131" t="str">
        <f t="shared" si="7"/>
        <v>Core</v>
      </c>
      <c r="AB10" s="131" t="str">
        <f>IF(Z10,"",CONCATENATE(SUBSTITUTE(LEFT(E10,FIND("\bin\",LOWER(E10))-1),[1]!GetLeafDirectoryName(LEFT(E10,FIND("\bin\",LOWER(E10))-1)),""),AA10,"\Properties\"))</f>
        <v>C:\Users\DAVE\Documents\Visual Studio 2013\Projects\WizardWrx_Libs\DLLServices2\Core\Properties\</v>
      </c>
      <c r="AC10" s="131" t="str">
        <f t="shared" si="8"/>
        <v>C:\Users\DAVE\Documents\Visual Studio 2013\Projects\WizardWrx_Libs\DLLServices2\Core\Properties\AssemblyInfo.cs</v>
      </c>
      <c r="AD10" s="131" t="b">
        <f>IF(Z10,"",[1]!FileExists(AC10))</f>
        <v>0</v>
      </c>
      <c r="AE10" s="149">
        <f>IF(Z10,"",[1]!lngFileSize(AC10))</f>
        <v>0</v>
      </c>
      <c r="AF10" s="152">
        <v>42929.044502314813</v>
      </c>
      <c r="AG10" s="150">
        <f>IF(Z10,"",[1]!dtmFileDateInfo(AC10))</f>
        <v>0</v>
      </c>
      <c r="AH10" s="131" t="b">
        <v>1</v>
      </c>
    </row>
    <row r="11" spans="1:34" outlineLevel="2" x14ac:dyDescent="0.25">
      <c r="A11" s="131" t="s">
        <v>892</v>
      </c>
      <c r="B11" s="131" t="s">
        <v>809</v>
      </c>
      <c r="C11" s="131" t="s">
        <v>810</v>
      </c>
      <c r="D11" s="131" t="s">
        <v>811</v>
      </c>
      <c r="E11" s="131" t="s">
        <v>453</v>
      </c>
      <c r="F11" s="132"/>
      <c r="G11" s="131" t="s">
        <v>782</v>
      </c>
      <c r="H11" s="131" t="s">
        <v>748</v>
      </c>
      <c r="I11" s="131" t="s">
        <v>809</v>
      </c>
      <c r="J11" s="131" t="s">
        <v>880</v>
      </c>
      <c r="K11" s="131" t="s">
        <v>893</v>
      </c>
      <c r="L11" s="131" t="s">
        <v>800</v>
      </c>
      <c r="M11" s="131" t="s">
        <v>786</v>
      </c>
      <c r="N11" s="131" t="s">
        <v>787</v>
      </c>
      <c r="O11" s="131"/>
      <c r="P11" s="131" t="s">
        <v>755</v>
      </c>
      <c r="Q11" s="131" t="s">
        <v>894</v>
      </c>
      <c r="R11" s="131" t="str">
        <f t="shared" si="0"/>
        <v>7.0.152.130</v>
      </c>
      <c r="S11" s="131">
        <f t="shared" si="1"/>
        <v>2</v>
      </c>
      <c r="T11" s="131">
        <f t="shared" si="1"/>
        <v>4</v>
      </c>
      <c r="U11" s="131">
        <f t="shared" ref="U11" si="18">IF(T$1=U$1,FIND(U$1,$R11,T11+1),FIND(U$1,$R11))</f>
        <v>8</v>
      </c>
      <c r="V11" s="131">
        <f t="shared" si="3"/>
        <v>7</v>
      </c>
      <c r="W11" s="131">
        <f t="shared" si="12"/>
        <v>0</v>
      </c>
      <c r="X11" s="131">
        <f t="shared" si="13"/>
        <v>152</v>
      </c>
      <c r="Y11" s="131" t="str">
        <f t="shared" si="6"/>
        <v>130</v>
      </c>
      <c r="Z11" s="131" t="b">
        <f t="shared" si="14"/>
        <v>0</v>
      </c>
      <c r="AA11" s="131" t="str">
        <f t="shared" si="7"/>
        <v>DLLConfigurationManager</v>
      </c>
      <c r="AB11" s="131" t="str">
        <f>IF(Z11,"",CONCATENATE(SUBSTITUTE(LEFT(E11,FIND("\bin\",LOWER(E11))-1),[1]!GetLeafDirectoryName(LEFT(E11,FIND("\bin\",LOWER(E11))-1)),""),AA11,"\Properties\"))</f>
        <v>C:\Users\DAVE\Documents\Visual Studio 2013\Projects\WizardWrx_Libs\DLLServices2\DLLConfigurationManager\Properties\</v>
      </c>
      <c r="AC11" s="131" t="str">
        <f t="shared" si="8"/>
        <v>C:\Users\DAVE\Documents\Visual Studio 2013\Projects\WizardWrx_Libs\DLLServices2\DLLConfigurationManager\Properties\AssemblyInfo.cs</v>
      </c>
      <c r="AD11" s="131" t="b">
        <f>IF(Z11,"",[1]!FileExists(AC11))</f>
        <v>0</v>
      </c>
      <c r="AE11" s="149">
        <f>IF(Z11,"",[1]!lngFileSize(AC11))</f>
        <v>0</v>
      </c>
      <c r="AF11" s="152">
        <v>42929.044641203705</v>
      </c>
      <c r="AG11" s="150">
        <f>IF(Z11,"",[1]!dtmFileDateInfo(AC11))</f>
        <v>0</v>
      </c>
      <c r="AH11" s="131" t="b">
        <v>1</v>
      </c>
    </row>
    <row r="12" spans="1:34" ht="45" outlineLevel="2" x14ac:dyDescent="0.25">
      <c r="A12" s="131" t="s">
        <v>895</v>
      </c>
      <c r="B12" s="131" t="s">
        <v>815</v>
      </c>
      <c r="C12" s="131" t="s">
        <v>816</v>
      </c>
      <c r="D12" s="131" t="s">
        <v>817</v>
      </c>
      <c r="E12" s="131" t="s">
        <v>453</v>
      </c>
      <c r="F12" s="132" t="s">
        <v>818</v>
      </c>
      <c r="G12" s="131" t="s">
        <v>782</v>
      </c>
      <c r="H12" s="131" t="s">
        <v>748</v>
      </c>
      <c r="I12" s="131" t="s">
        <v>819</v>
      </c>
      <c r="J12" s="131" t="s">
        <v>880</v>
      </c>
      <c r="K12" s="131" t="s">
        <v>896</v>
      </c>
      <c r="L12" s="131" t="s">
        <v>821</v>
      </c>
      <c r="M12" s="131" t="s">
        <v>786</v>
      </c>
      <c r="N12" s="131" t="s">
        <v>787</v>
      </c>
      <c r="O12" s="131"/>
      <c r="P12" s="131" t="s">
        <v>755</v>
      </c>
      <c r="Q12" s="131" t="s">
        <v>897</v>
      </c>
      <c r="R12" s="131" t="str">
        <f t="shared" si="0"/>
        <v>7.0.48.41210</v>
      </c>
      <c r="S12" s="131">
        <f t="shared" si="1"/>
        <v>2</v>
      </c>
      <c r="T12" s="131">
        <f t="shared" si="1"/>
        <v>4</v>
      </c>
      <c r="U12" s="131">
        <f t="shared" ref="U12" si="19">IF(T$1=U$1,FIND(U$1,$R12,T12+1),FIND(U$1,$R12))</f>
        <v>7</v>
      </c>
      <c r="V12" s="131">
        <f t="shared" si="3"/>
        <v>7</v>
      </c>
      <c r="W12" s="131">
        <f t="shared" si="12"/>
        <v>0</v>
      </c>
      <c r="X12" s="131">
        <f t="shared" si="13"/>
        <v>48</v>
      </c>
      <c r="Y12" s="131" t="str">
        <f t="shared" si="6"/>
        <v>41210</v>
      </c>
      <c r="Z12" s="131" t="b">
        <f t="shared" si="14"/>
        <v>0</v>
      </c>
      <c r="AA12" s="131" t="str">
        <f t="shared" si="7"/>
        <v>EmbeddedTextFile</v>
      </c>
      <c r="AB12" s="131" t="str">
        <f>IF(Z12,"",CONCATENATE(SUBSTITUTE(LEFT(E12,FIND("\bin\",LOWER(E12))-1),[1]!GetLeafDirectoryName(LEFT(E12,FIND("\bin\",LOWER(E12))-1)),""),AA12,"\Properties\"))</f>
        <v>C:\Users\DAVE\Documents\Visual Studio 2013\Projects\WizardWrx_Libs\DLLServices2\EmbeddedTextFile\Properties\</v>
      </c>
      <c r="AC12" s="131" t="str">
        <f t="shared" si="8"/>
        <v>C:\Users\DAVE\Documents\Visual Studio 2013\Projects\WizardWrx_Libs\DLLServices2\EmbeddedTextFile\Properties\AssemblyInfo.cs</v>
      </c>
      <c r="AD12" s="131" t="b">
        <f>IF(Z12,"",[1]!FileExists(AC12))</f>
        <v>0</v>
      </c>
      <c r="AE12" s="149">
        <f>IF(Z12,"",[1]!lngFileSize(AC12))</f>
        <v>0</v>
      </c>
      <c r="AF12" s="152">
        <v>42927.995578703703</v>
      </c>
      <c r="AG12" s="150">
        <f>IF(Z12,"",[1]!dtmFileDateInfo(AC12))</f>
        <v>0</v>
      </c>
      <c r="AH12" s="131" t="b">
        <v>1</v>
      </c>
    </row>
    <row r="13" spans="1:34" outlineLevel="1" x14ac:dyDescent="0.25">
      <c r="A13" s="131"/>
      <c r="B13" s="131"/>
      <c r="C13" s="131"/>
      <c r="D13" s="131"/>
      <c r="E13" s="131"/>
      <c r="F13" s="132"/>
      <c r="G13" s="131"/>
      <c r="H13" s="131"/>
      <c r="I13" s="131"/>
      <c r="J13" s="131"/>
      <c r="K13" s="131"/>
      <c r="L13" s="131"/>
      <c r="M13" s="131"/>
      <c r="N13" s="131"/>
      <c r="O13" s="131"/>
      <c r="P13" s="131"/>
      <c r="Q13" s="131"/>
      <c r="R13" s="131"/>
      <c r="S13" s="131"/>
      <c r="T13" s="131"/>
      <c r="U13" s="131"/>
      <c r="V13" s="131">
        <f>SUBTOTAL(4,V7:V12)</f>
        <v>7</v>
      </c>
      <c r="W13" s="131">
        <f>SUBTOTAL(4,W7:W12)</f>
        <v>0</v>
      </c>
      <c r="X13" s="131">
        <f>SUBTOTAL(4,X7:X12)</f>
        <v>152</v>
      </c>
      <c r="Y13" s="131" t="s">
        <v>909</v>
      </c>
      <c r="Z13" s="131">
        <f>SUBTOTAL(3,Z7:Z12)</f>
        <v>6</v>
      </c>
      <c r="AA13" s="131"/>
      <c r="AB13" s="131"/>
      <c r="AC13" s="131"/>
      <c r="AD13" s="131"/>
      <c r="AE13" s="131"/>
      <c r="AF13" s="131"/>
      <c r="AG13" s="131"/>
      <c r="AH13" s="131"/>
    </row>
    <row r="14" spans="1:34" x14ac:dyDescent="0.25">
      <c r="A14" s="131"/>
      <c r="B14" s="131"/>
      <c r="C14" s="131"/>
      <c r="D14" s="131"/>
      <c r="E14" s="131"/>
      <c r="F14" s="132"/>
      <c r="G14" s="131"/>
      <c r="H14" s="131"/>
      <c r="I14" s="131"/>
      <c r="J14" s="131"/>
      <c r="K14" s="131"/>
      <c r="L14" s="131"/>
      <c r="M14" s="131"/>
      <c r="N14" s="131"/>
      <c r="O14" s="131"/>
      <c r="P14" s="131"/>
      <c r="Q14" s="131"/>
      <c r="R14" s="131"/>
      <c r="S14" s="131"/>
      <c r="T14" s="131"/>
      <c r="U14" s="131"/>
      <c r="V14" s="131"/>
      <c r="W14" s="131"/>
      <c r="X14" s="131"/>
      <c r="Y14" s="131" t="s">
        <v>142</v>
      </c>
      <c r="Z14" s="131">
        <f>SUBTOTAL(3,Z2:Z12)</f>
        <v>10</v>
      </c>
      <c r="AA14" s="131"/>
      <c r="AB14" s="131"/>
      <c r="AC14" s="131"/>
      <c r="AD14" s="131"/>
      <c r="AE14" s="131"/>
      <c r="AF14" s="131"/>
      <c r="AG14" s="131"/>
      <c r="AH14" s="131"/>
    </row>
  </sheetData>
  <conditionalFormatting sqref="A2:AD2">
    <cfRule type="expression" dxfId="182" priority="16">
      <formula>FIND("Count",$Y2)</formula>
    </cfRule>
  </conditionalFormatting>
  <conditionalFormatting sqref="A13:AD14 A3:Z12">
    <cfRule type="expression" dxfId="181" priority="15">
      <formula>FIND("Count",$Y3)</formula>
    </cfRule>
  </conditionalFormatting>
  <conditionalFormatting sqref="AE3:AF6 AE7:AE12">
    <cfRule type="expression" dxfId="180" priority="3">
      <formula>FIND("Count",$Y3)</formula>
    </cfRule>
  </conditionalFormatting>
  <conditionalFormatting sqref="AA3:AA12">
    <cfRule type="expression" dxfId="179" priority="13">
      <formula>FIND("Count",$Y3)</formula>
    </cfRule>
  </conditionalFormatting>
  <conditionalFormatting sqref="AB3:AB12">
    <cfRule type="expression" dxfId="178" priority="12">
      <formula>FIND("Count",$Y3)</formula>
    </cfRule>
  </conditionalFormatting>
  <conditionalFormatting sqref="AC3:AC12">
    <cfRule type="expression" dxfId="177" priority="11">
      <formula>FIND("Count",$Y3)</formula>
    </cfRule>
  </conditionalFormatting>
  <conditionalFormatting sqref="AE2:AF2">
    <cfRule type="expression" dxfId="176" priority="10">
      <formula>FIND("Count",$Y2)</formula>
    </cfRule>
  </conditionalFormatting>
  <conditionalFormatting sqref="AE13:AF14">
    <cfRule type="expression" dxfId="175" priority="9">
      <formula>FIND("Count",$Y13)</formula>
    </cfRule>
  </conditionalFormatting>
  <conditionalFormatting sqref="AG2">
    <cfRule type="expression" dxfId="174" priority="8">
      <formula>FIND("Count",$Y2)</formula>
    </cfRule>
  </conditionalFormatting>
  <conditionalFormatting sqref="AG13:AG14">
    <cfRule type="expression" dxfId="173" priority="7">
      <formula>FIND("Count",$Y13)</formula>
    </cfRule>
  </conditionalFormatting>
  <conditionalFormatting sqref="AH2">
    <cfRule type="expression" dxfId="172" priority="6">
      <formula>FIND("Count",$Y2)</formula>
    </cfRule>
  </conditionalFormatting>
  <conditionalFormatting sqref="AH3:AH14">
    <cfRule type="expression" dxfId="171" priority="5">
      <formula>FIND("Count",$Y3)</formula>
    </cfRule>
  </conditionalFormatting>
  <conditionalFormatting sqref="AD3:AD12">
    <cfRule type="expression" dxfId="170" priority="4">
      <formula>FIND("Count",$Y3)</formula>
    </cfRule>
  </conditionalFormatting>
  <conditionalFormatting sqref="AG3:AG12">
    <cfRule type="expression" dxfId="169" priority="2">
      <formula>FIND("Count",$Y3)</formula>
    </cfRule>
  </conditionalFormatting>
  <conditionalFormatting sqref="AF7:AF12">
    <cfRule type="expression" dxfId="168" priority="1">
      <formula>FIND("Count",$Y7)</formula>
    </cfRule>
  </conditionalFormatting>
  <pageMargins left="0.7" right="0.7" top="0.75" bottom="0.75" header="0.3" footer="0.3"/>
  <pageSetup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Q11"/>
  <sheetViews>
    <sheetView workbookViewId="0">
      <pane xSplit="1" ySplit="1" topLeftCell="O2" activePane="bottomRight" state="frozen"/>
      <selection pane="topRight" activeCell="B1" sqref="B1"/>
      <selection pane="bottomLeft" activeCell="A2" sqref="A2"/>
      <selection pane="bottomRight" sqref="A1:Q2"/>
    </sheetView>
  </sheetViews>
  <sheetFormatPr defaultRowHeight="15" x14ac:dyDescent="0.25"/>
  <cols>
    <col min="1" max="1" width="94.375" bestFit="1" customWidth="1"/>
    <col min="2" max="2" width="34.625" bestFit="1" customWidth="1"/>
    <col min="3" max="3" width="38.75" bestFit="1" customWidth="1"/>
    <col min="4" max="4" width="37.75" bestFit="1" customWidth="1"/>
    <col min="5" max="5" width="115" bestFit="1" customWidth="1"/>
    <col min="6" max="6" width="50.625" customWidth="1"/>
    <col min="7" max="7" width="22.25" bestFit="1" customWidth="1"/>
    <col min="8" max="8" width="39.75" bestFit="1" customWidth="1"/>
    <col min="9" max="9" width="49" bestFit="1" customWidth="1"/>
    <col min="10" max="11" width="47" bestFit="1" customWidth="1"/>
    <col min="12" max="12" width="48" bestFit="1" customWidth="1"/>
    <col min="13" max="13" width="63.5" bestFit="1" customWidth="1"/>
    <col min="14" max="14" width="26.375" bestFit="1" customWidth="1"/>
    <col min="15" max="15" width="20.25" bestFit="1" customWidth="1"/>
    <col min="16" max="16" width="20.5" bestFit="1" customWidth="1"/>
    <col min="17" max="17" width="40.75" bestFit="1" customWidth="1"/>
  </cols>
  <sheetData>
    <row r="1" spans="1:17" ht="18" x14ac:dyDescent="0.25">
      <c r="A1" s="133" t="s">
        <v>724</v>
      </c>
      <c r="B1" s="133" t="s">
        <v>725</v>
      </c>
      <c r="C1" s="133" t="s">
        <v>726</v>
      </c>
      <c r="D1" s="133" t="s">
        <v>727</v>
      </c>
      <c r="E1" s="133" t="s">
        <v>728</v>
      </c>
      <c r="F1" s="134" t="s">
        <v>729</v>
      </c>
      <c r="G1" s="133" t="s">
        <v>730</v>
      </c>
      <c r="H1" s="133" t="s">
        <v>731</v>
      </c>
      <c r="I1" s="133" t="s">
        <v>732</v>
      </c>
      <c r="J1" s="133" t="s">
        <v>733</v>
      </c>
      <c r="K1" s="133" t="s">
        <v>734</v>
      </c>
      <c r="L1" s="133" t="s">
        <v>735</v>
      </c>
      <c r="M1" s="133" t="s">
        <v>736</v>
      </c>
      <c r="N1" s="133" t="s">
        <v>737</v>
      </c>
      <c r="O1" s="133" t="s">
        <v>738</v>
      </c>
      <c r="P1" s="133" t="s">
        <v>739</v>
      </c>
      <c r="Q1" s="133" t="s">
        <v>740</v>
      </c>
    </row>
    <row r="2" spans="1:17" x14ac:dyDescent="0.25">
      <c r="A2" s="131" t="s">
        <v>741</v>
      </c>
      <c r="B2" s="131" t="s">
        <v>742</v>
      </c>
      <c r="C2" s="131" t="s">
        <v>743</v>
      </c>
      <c r="D2" s="131" t="s">
        <v>744</v>
      </c>
      <c r="E2" s="131" t="s">
        <v>745</v>
      </c>
      <c r="F2" s="132" t="s">
        <v>746</v>
      </c>
      <c r="G2" s="131" t="s">
        <v>747</v>
      </c>
      <c r="H2" s="131" t="s">
        <v>748</v>
      </c>
      <c r="I2" s="131" t="s">
        <v>749</v>
      </c>
      <c r="J2" s="131" t="s">
        <v>750</v>
      </c>
      <c r="K2" s="131" t="s">
        <v>751</v>
      </c>
      <c r="L2" s="131" t="s">
        <v>752</v>
      </c>
      <c r="M2" s="131"/>
      <c r="N2" s="131" t="s">
        <v>753</v>
      </c>
      <c r="O2" s="131" t="s">
        <v>754</v>
      </c>
      <c r="P2" s="131" t="s">
        <v>755</v>
      </c>
      <c r="Q2" s="131" t="s">
        <v>756</v>
      </c>
    </row>
    <row r="3" spans="1:17" x14ac:dyDescent="0.25">
      <c r="A3" s="131" t="s">
        <v>757</v>
      </c>
      <c r="B3" s="131" t="s">
        <v>758</v>
      </c>
      <c r="C3" s="131" t="s">
        <v>759</v>
      </c>
      <c r="D3" s="131"/>
      <c r="E3" s="131" t="s">
        <v>760</v>
      </c>
      <c r="F3" s="132" t="s">
        <v>746</v>
      </c>
      <c r="G3" s="131" t="s">
        <v>747</v>
      </c>
      <c r="H3" s="131" t="s">
        <v>748</v>
      </c>
      <c r="I3" s="131" t="s">
        <v>761</v>
      </c>
      <c r="J3" s="131" t="s">
        <v>762</v>
      </c>
      <c r="K3" s="131" t="s">
        <v>763</v>
      </c>
      <c r="L3" s="131" t="s">
        <v>752</v>
      </c>
      <c r="M3" s="131"/>
      <c r="N3" s="131" t="s">
        <v>753</v>
      </c>
      <c r="O3" s="131" t="s">
        <v>754</v>
      </c>
      <c r="P3" s="131" t="s">
        <v>755</v>
      </c>
      <c r="Q3" s="131" t="s">
        <v>764</v>
      </c>
    </row>
    <row r="4" spans="1:17" x14ac:dyDescent="0.25">
      <c r="A4" s="131" t="s">
        <v>765</v>
      </c>
      <c r="B4" s="131" t="s">
        <v>766</v>
      </c>
      <c r="C4" s="131" t="s">
        <v>767</v>
      </c>
      <c r="D4" s="131"/>
      <c r="E4" s="131" t="s">
        <v>768</v>
      </c>
      <c r="F4" s="132" t="s">
        <v>746</v>
      </c>
      <c r="G4" s="131" t="s">
        <v>747</v>
      </c>
      <c r="H4" s="131" t="s">
        <v>748</v>
      </c>
      <c r="I4" s="131" t="s">
        <v>761</v>
      </c>
      <c r="J4" s="131" t="s">
        <v>769</v>
      </c>
      <c r="K4" s="131" t="s">
        <v>769</v>
      </c>
      <c r="L4" s="131" t="s">
        <v>752</v>
      </c>
      <c r="M4" s="131"/>
      <c r="N4" s="131" t="s">
        <v>753</v>
      </c>
      <c r="O4" s="131" t="s">
        <v>754</v>
      </c>
      <c r="P4" s="131" t="s">
        <v>755</v>
      </c>
      <c r="Q4" s="131" t="s">
        <v>770</v>
      </c>
    </row>
    <row r="5" spans="1:17" x14ac:dyDescent="0.25">
      <c r="A5" s="131" t="s">
        <v>771</v>
      </c>
      <c r="B5" s="131" t="s">
        <v>772</v>
      </c>
      <c r="C5" s="131" t="s">
        <v>773</v>
      </c>
      <c r="D5" s="131"/>
      <c r="E5" s="131" t="s">
        <v>774</v>
      </c>
      <c r="F5" s="132" t="s">
        <v>746</v>
      </c>
      <c r="G5" s="131" t="s">
        <v>747</v>
      </c>
      <c r="H5" s="131" t="s">
        <v>748</v>
      </c>
      <c r="I5" s="131" t="s">
        <v>761</v>
      </c>
      <c r="J5" s="131" t="s">
        <v>775</v>
      </c>
      <c r="K5" s="131" t="s">
        <v>776</v>
      </c>
      <c r="L5" s="131" t="s">
        <v>752</v>
      </c>
      <c r="M5" s="131"/>
      <c r="N5" s="131" t="s">
        <v>753</v>
      </c>
      <c r="O5" s="131" t="s">
        <v>754</v>
      </c>
      <c r="P5" s="131" t="s">
        <v>755</v>
      </c>
      <c r="Q5" s="131" t="s">
        <v>777</v>
      </c>
    </row>
    <row r="6" spans="1:17" x14ac:dyDescent="0.25">
      <c r="A6" s="135" t="s">
        <v>778</v>
      </c>
      <c r="B6" s="135" t="s">
        <v>779</v>
      </c>
      <c r="C6" s="135" t="s">
        <v>780</v>
      </c>
      <c r="D6" s="135" t="s">
        <v>781</v>
      </c>
      <c r="E6" s="135" t="s">
        <v>453</v>
      </c>
      <c r="F6" s="136"/>
      <c r="G6" s="135" t="s">
        <v>782</v>
      </c>
      <c r="H6" s="135" t="s">
        <v>748</v>
      </c>
      <c r="I6" s="135" t="s">
        <v>779</v>
      </c>
      <c r="J6" s="135" t="s">
        <v>783</v>
      </c>
      <c r="K6" s="135" t="s">
        <v>784</v>
      </c>
      <c r="L6" s="135" t="s">
        <v>785</v>
      </c>
      <c r="M6" s="135" t="s">
        <v>786</v>
      </c>
      <c r="N6" s="135" t="s">
        <v>787</v>
      </c>
      <c r="O6" s="135"/>
      <c r="P6" s="135" t="s">
        <v>755</v>
      </c>
      <c r="Q6" s="135" t="s">
        <v>788</v>
      </c>
    </row>
    <row r="7" spans="1:17" x14ac:dyDescent="0.25">
      <c r="A7" s="131" t="s">
        <v>789</v>
      </c>
      <c r="B7" s="131" t="s">
        <v>790</v>
      </c>
      <c r="C7" s="131" t="s">
        <v>791</v>
      </c>
      <c r="D7" s="131" t="s">
        <v>792</v>
      </c>
      <c r="E7" s="131" t="s">
        <v>453</v>
      </c>
      <c r="F7" s="132"/>
      <c r="G7" s="131" t="s">
        <v>782</v>
      </c>
      <c r="H7" s="131" t="s">
        <v>748</v>
      </c>
      <c r="I7" s="131" t="s">
        <v>790</v>
      </c>
      <c r="J7" s="131" t="s">
        <v>783</v>
      </c>
      <c r="K7" s="131" t="s">
        <v>793</v>
      </c>
      <c r="L7" s="131" t="s">
        <v>785</v>
      </c>
      <c r="M7" s="131" t="s">
        <v>786</v>
      </c>
      <c r="N7" s="131" t="s">
        <v>787</v>
      </c>
      <c r="O7" s="131"/>
      <c r="P7" s="131" t="s">
        <v>755</v>
      </c>
      <c r="Q7" s="131" t="s">
        <v>794</v>
      </c>
    </row>
    <row r="8" spans="1:17" x14ac:dyDescent="0.25">
      <c r="A8" s="131" t="s">
        <v>795</v>
      </c>
      <c r="B8" s="131" t="s">
        <v>796</v>
      </c>
      <c r="C8" s="131" t="s">
        <v>797</v>
      </c>
      <c r="D8" s="131" t="s">
        <v>798</v>
      </c>
      <c r="E8" s="131" t="s">
        <v>453</v>
      </c>
      <c r="F8" s="132"/>
      <c r="G8" s="131" t="s">
        <v>782</v>
      </c>
      <c r="H8" s="131" t="s">
        <v>748</v>
      </c>
      <c r="I8" s="131" t="s">
        <v>796</v>
      </c>
      <c r="J8" s="131" t="s">
        <v>783</v>
      </c>
      <c r="K8" s="131" t="s">
        <v>799</v>
      </c>
      <c r="L8" s="131" t="s">
        <v>800</v>
      </c>
      <c r="M8" s="131" t="s">
        <v>786</v>
      </c>
      <c r="N8" s="131" t="s">
        <v>787</v>
      </c>
      <c r="O8" s="131"/>
      <c r="P8" s="131" t="s">
        <v>755</v>
      </c>
      <c r="Q8" s="131" t="s">
        <v>801</v>
      </c>
    </row>
    <row r="9" spans="1:17" x14ac:dyDescent="0.25">
      <c r="A9" s="131" t="s">
        <v>802</v>
      </c>
      <c r="B9" s="131" t="s">
        <v>803</v>
      </c>
      <c r="C9" s="131" t="s">
        <v>804</v>
      </c>
      <c r="D9" s="131" t="s">
        <v>805</v>
      </c>
      <c r="E9" s="131" t="s">
        <v>453</v>
      </c>
      <c r="F9" s="132"/>
      <c r="G9" s="131" t="s">
        <v>782</v>
      </c>
      <c r="H9" s="131" t="s">
        <v>748</v>
      </c>
      <c r="I9" s="131" t="s">
        <v>803</v>
      </c>
      <c r="J9" s="131" t="s">
        <v>783</v>
      </c>
      <c r="K9" s="131" t="s">
        <v>806</v>
      </c>
      <c r="L9" s="131" t="s">
        <v>800</v>
      </c>
      <c r="M9" s="131" t="s">
        <v>786</v>
      </c>
      <c r="N9" s="131" t="s">
        <v>787</v>
      </c>
      <c r="O9" s="131"/>
      <c r="P9" s="131" t="s">
        <v>755</v>
      </c>
      <c r="Q9" s="131" t="s">
        <v>807</v>
      </c>
    </row>
    <row r="10" spans="1:17" x14ac:dyDescent="0.25">
      <c r="A10" s="131" t="s">
        <v>808</v>
      </c>
      <c r="B10" s="131" t="s">
        <v>809</v>
      </c>
      <c r="C10" s="131" t="s">
        <v>810</v>
      </c>
      <c r="D10" s="131" t="s">
        <v>811</v>
      </c>
      <c r="E10" s="131" t="s">
        <v>453</v>
      </c>
      <c r="F10" s="132"/>
      <c r="G10" s="131" t="s">
        <v>782</v>
      </c>
      <c r="H10" s="131" t="s">
        <v>748</v>
      </c>
      <c r="I10" s="131" t="s">
        <v>809</v>
      </c>
      <c r="J10" s="131" t="s">
        <v>783</v>
      </c>
      <c r="K10" s="131" t="s">
        <v>812</v>
      </c>
      <c r="L10" s="131" t="s">
        <v>800</v>
      </c>
      <c r="M10" s="131" t="s">
        <v>786</v>
      </c>
      <c r="N10" s="131" t="s">
        <v>787</v>
      </c>
      <c r="O10" s="131"/>
      <c r="P10" s="131" t="s">
        <v>755</v>
      </c>
      <c r="Q10" s="131" t="s">
        <v>813</v>
      </c>
    </row>
    <row r="11" spans="1:17" ht="60" x14ac:dyDescent="0.25">
      <c r="A11" s="131" t="s">
        <v>814</v>
      </c>
      <c r="B11" s="131" t="s">
        <v>815</v>
      </c>
      <c r="C11" s="131" t="s">
        <v>816</v>
      </c>
      <c r="D11" s="131" t="s">
        <v>817</v>
      </c>
      <c r="E11" s="131" t="s">
        <v>453</v>
      </c>
      <c r="F11" s="132" t="s">
        <v>818</v>
      </c>
      <c r="G11" s="131" t="s">
        <v>782</v>
      </c>
      <c r="H11" s="131" t="s">
        <v>748</v>
      </c>
      <c r="I11" s="131" t="s">
        <v>819</v>
      </c>
      <c r="J11" s="131" t="s">
        <v>783</v>
      </c>
      <c r="K11" s="131" t="s">
        <v>820</v>
      </c>
      <c r="L11" s="131" t="s">
        <v>821</v>
      </c>
      <c r="M11" s="131" t="s">
        <v>786</v>
      </c>
      <c r="N11" s="131" t="s">
        <v>787</v>
      </c>
      <c r="O11" s="131"/>
      <c r="P11" s="131" t="s">
        <v>755</v>
      </c>
      <c r="Q11" s="131" t="s">
        <v>822</v>
      </c>
    </row>
  </sheetData>
  <pageMargins left="0.7" right="0.7" top="0.75" bottom="0.75" header="0.3" footer="0.3"/>
  <pageSetup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abSelected="1" workbookViewId="0">
      <pane xSplit="1" ySplit="1" topLeftCell="B2" activePane="bottomRight" state="frozen"/>
      <selection pane="topRight" activeCell="B1" sqref="B1"/>
      <selection pane="bottomLeft" activeCell="A2" sqref="A2"/>
      <selection pane="bottomRight" activeCell="D2" sqref="D2"/>
    </sheetView>
  </sheetViews>
  <sheetFormatPr defaultRowHeight="15" x14ac:dyDescent="0.25"/>
  <cols>
    <col min="1" max="1" width="97.125" bestFit="1" customWidth="1"/>
    <col min="2" max="5" width="24.25" bestFit="1" customWidth="1"/>
  </cols>
  <sheetData>
    <row r="1" spans="1:5" ht="18" x14ac:dyDescent="0.25">
      <c r="A1" s="127" t="s">
        <v>2352</v>
      </c>
      <c r="B1" s="318">
        <f>IF(ISNUMBER(A1),A1+1,1)</f>
        <v>1</v>
      </c>
      <c r="C1" s="318">
        <f>IF(ISNUMBER(B1),B1+1,1)</f>
        <v>2</v>
      </c>
      <c r="D1" s="318">
        <f>IF(ISNUMBER(C1),C1+1,1)</f>
        <v>3</v>
      </c>
      <c r="E1" s="318">
        <f>IF(ISNUMBER(D1),D1+1,1)</f>
        <v>4</v>
      </c>
    </row>
    <row r="2" spans="1:5" x14ac:dyDescent="0.25">
      <c r="A2" s="317" t="s">
        <v>2353</v>
      </c>
      <c r="B2" t="s">
        <v>2354</v>
      </c>
      <c r="C2" t="s">
        <v>2358</v>
      </c>
      <c r="D2" t="s">
        <v>2354</v>
      </c>
      <c r="E2" t="s">
        <v>2358</v>
      </c>
    </row>
    <row r="3" spans="1:5" x14ac:dyDescent="0.25">
      <c r="A3" s="317" t="s">
        <v>2360</v>
      </c>
      <c r="B3" t="s">
        <v>2359</v>
      </c>
      <c r="C3" t="s">
        <v>2359</v>
      </c>
      <c r="D3" t="s">
        <v>2355</v>
      </c>
      <c r="E3" t="s">
        <v>2355</v>
      </c>
    </row>
    <row r="4" spans="1:5" x14ac:dyDescent="0.25">
      <c r="A4" s="317" t="s">
        <v>2361</v>
      </c>
      <c r="B4" t="s">
        <v>2356</v>
      </c>
      <c r="C4" t="s">
        <v>2356</v>
      </c>
      <c r="D4" t="s">
        <v>2356</v>
      </c>
      <c r="E4" t="s">
        <v>2356</v>
      </c>
    </row>
    <row r="5" spans="1:5" x14ac:dyDescent="0.25">
      <c r="A5" s="317" t="s">
        <v>2362</v>
      </c>
      <c r="B5" t="s">
        <v>2357</v>
      </c>
      <c r="C5" t="s">
        <v>2357</v>
      </c>
      <c r="D5" t="s">
        <v>2357</v>
      </c>
      <c r="E5" t="s">
        <v>2357</v>
      </c>
    </row>
  </sheetData>
  <pageMargins left="0.7" right="0.7" top="0.75" bottom="0.75" header="0.3" footer="0.3"/>
  <pageSetup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D14"/>
  <sheetViews>
    <sheetView workbookViewId="0"/>
  </sheetViews>
  <sheetFormatPr defaultRowHeight="15" x14ac:dyDescent="0.25"/>
  <cols>
    <col min="1" max="1" width="21.625" bestFit="1" customWidth="1"/>
    <col min="2" max="2" width="18.25" customWidth="1"/>
    <col min="3" max="3" width="23.5" bestFit="1" customWidth="1"/>
    <col min="4" max="4" width="76.125" bestFit="1" customWidth="1"/>
  </cols>
  <sheetData>
    <row r="1" spans="1:4" ht="18" x14ac:dyDescent="0.25">
      <c r="A1" s="258" t="s">
        <v>2149</v>
      </c>
      <c r="B1" s="258" t="s">
        <v>2150</v>
      </c>
      <c r="C1" s="258" t="s">
        <v>2151</v>
      </c>
      <c r="D1" s="258" t="s">
        <v>2152</v>
      </c>
    </row>
    <row r="2" spans="1:4" x14ac:dyDescent="0.25">
      <c r="A2" s="126" t="s">
        <v>2153</v>
      </c>
      <c r="B2" s="126">
        <f>HEX2DEC(C2)</f>
        <v>7</v>
      </c>
      <c r="C2" s="259">
        <v>7</v>
      </c>
      <c r="D2" s="260" t="s">
        <v>2154</v>
      </c>
    </row>
    <row r="3" spans="1:4" x14ac:dyDescent="0.25">
      <c r="A3" s="126" t="s">
        <v>2155</v>
      </c>
      <c r="B3" s="126">
        <f t="shared" ref="B3:B12" si="0">HEX2DEC(C3)</f>
        <v>8</v>
      </c>
      <c r="C3" s="259">
        <v>8</v>
      </c>
      <c r="D3" s="260" t="s">
        <v>2156</v>
      </c>
    </row>
    <row r="4" spans="1:4" x14ac:dyDescent="0.25">
      <c r="A4" s="126" t="s">
        <v>2157</v>
      </c>
      <c r="B4" s="126">
        <f t="shared" si="0"/>
        <v>12</v>
      </c>
      <c r="C4" s="126" t="s">
        <v>2158</v>
      </c>
      <c r="D4" s="260" t="s">
        <v>2159</v>
      </c>
    </row>
    <row r="5" spans="1:4" x14ac:dyDescent="0.25">
      <c r="A5" s="126" t="s">
        <v>2160</v>
      </c>
      <c r="B5" s="126">
        <f t="shared" si="0"/>
        <v>10</v>
      </c>
      <c r="C5" s="126" t="s">
        <v>2161</v>
      </c>
      <c r="D5" s="260" t="s">
        <v>2162</v>
      </c>
    </row>
    <row r="6" spans="1:4" x14ac:dyDescent="0.25">
      <c r="A6" s="126" t="s">
        <v>2163</v>
      </c>
      <c r="B6" s="126">
        <f t="shared" si="0"/>
        <v>13</v>
      </c>
      <c r="C6" s="126" t="s">
        <v>2164</v>
      </c>
      <c r="D6" s="260" t="s">
        <v>2165</v>
      </c>
    </row>
    <row r="7" spans="1:4" x14ac:dyDescent="0.25">
      <c r="A7" s="126" t="s">
        <v>2166</v>
      </c>
      <c r="B7" s="126">
        <f t="shared" si="0"/>
        <v>9</v>
      </c>
      <c r="C7" s="259">
        <v>9</v>
      </c>
      <c r="D7" s="260" t="s">
        <v>2167</v>
      </c>
    </row>
    <row r="8" spans="1:4" x14ac:dyDescent="0.25">
      <c r="A8" s="126" t="s">
        <v>2168</v>
      </c>
      <c r="B8" s="126">
        <f t="shared" si="0"/>
        <v>11</v>
      </c>
      <c r="C8" s="126" t="s">
        <v>2169</v>
      </c>
      <c r="D8" s="260" t="s">
        <v>2170</v>
      </c>
    </row>
    <row r="9" spans="1:4" x14ac:dyDescent="0.25">
      <c r="A9" s="126" t="s">
        <v>2171</v>
      </c>
      <c r="B9" s="126">
        <f t="shared" si="0"/>
        <v>92</v>
      </c>
      <c r="C9" s="126" t="s">
        <v>2172</v>
      </c>
      <c r="D9" s="260" t="s">
        <v>2173</v>
      </c>
    </row>
    <row r="10" spans="1:4" x14ac:dyDescent="0.25">
      <c r="A10" s="126" t="s">
        <v>2174</v>
      </c>
      <c r="B10" s="126">
        <f t="shared" si="0"/>
        <v>39</v>
      </c>
      <c r="C10" s="261">
        <v>27</v>
      </c>
      <c r="D10" s="260" t="s">
        <v>2175</v>
      </c>
    </row>
    <row r="11" spans="1:4" x14ac:dyDescent="0.25">
      <c r="A11" s="126" t="s">
        <v>2176</v>
      </c>
      <c r="B11" s="126">
        <f t="shared" si="0"/>
        <v>34</v>
      </c>
      <c r="C11" s="261">
        <v>22</v>
      </c>
      <c r="D11" s="260" t="s">
        <v>2177</v>
      </c>
    </row>
    <row r="12" spans="1:4" x14ac:dyDescent="0.25">
      <c r="A12" s="126" t="s">
        <v>2178</v>
      </c>
      <c r="B12" s="126">
        <f t="shared" si="0"/>
        <v>63</v>
      </c>
      <c r="C12" s="126" t="s">
        <v>2179</v>
      </c>
      <c r="D12" s="260" t="s">
        <v>2180</v>
      </c>
    </row>
    <row r="13" spans="1:4" x14ac:dyDescent="0.25">
      <c r="A13" s="126" t="s">
        <v>2181</v>
      </c>
      <c r="B13" s="126"/>
      <c r="C13" s="126" t="s">
        <v>2182</v>
      </c>
      <c r="D13" s="260" t="s">
        <v>2183</v>
      </c>
    </row>
    <row r="14" spans="1:4" x14ac:dyDescent="0.25">
      <c r="A14" s="126" t="s">
        <v>2184</v>
      </c>
      <c r="B14" s="126"/>
      <c r="C14" s="126" t="s">
        <v>2182</v>
      </c>
      <c r="D14" s="260" t="s">
        <v>2185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CC"/>
  </sheetPr>
  <dimension ref="A1:L21"/>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23.625" bestFit="1" customWidth="1"/>
    <col min="2" max="2" width="25.375" bestFit="1" customWidth="1"/>
    <col min="3" max="3" width="36.625" bestFit="1" customWidth="1"/>
    <col min="4" max="4" width="8.625" bestFit="1" customWidth="1"/>
    <col min="5" max="5" width="13.25" bestFit="1" customWidth="1"/>
    <col min="6" max="6" width="8.875" bestFit="1" customWidth="1"/>
    <col min="7" max="7" width="17" bestFit="1" customWidth="1"/>
    <col min="8" max="8" width="23.625" bestFit="1" customWidth="1"/>
    <col min="9" max="9" width="20.875" bestFit="1" customWidth="1"/>
    <col min="10" max="10" width="21.5" bestFit="1" customWidth="1"/>
    <col min="11" max="11" width="15.5" bestFit="1" customWidth="1"/>
    <col min="12" max="12" width="23.25" bestFit="1" customWidth="1"/>
  </cols>
  <sheetData>
    <row r="1" spans="1:12" x14ac:dyDescent="0.25">
      <c r="A1" s="266" t="s">
        <v>2225</v>
      </c>
      <c r="B1" s="266" t="s">
        <v>2226</v>
      </c>
      <c r="C1" s="266" t="s">
        <v>2225</v>
      </c>
      <c r="D1" s="266" t="s">
        <v>1800</v>
      </c>
      <c r="E1" s="266" t="s">
        <v>2227</v>
      </c>
      <c r="F1" s="266" t="s">
        <v>699</v>
      </c>
      <c r="G1" s="266" t="s">
        <v>2241</v>
      </c>
      <c r="H1" s="266" t="s">
        <v>2242</v>
      </c>
      <c r="I1" s="266" t="s">
        <v>2243</v>
      </c>
      <c r="J1" s="266" t="s">
        <v>2244</v>
      </c>
      <c r="K1" s="266" t="s">
        <v>2262</v>
      </c>
      <c r="L1" s="266" t="s">
        <v>2228</v>
      </c>
    </row>
    <row r="2" spans="1:12" x14ac:dyDescent="0.25">
      <c r="A2" s="266" t="s">
        <v>2229</v>
      </c>
      <c r="B2" s="267"/>
      <c r="C2" s="267"/>
      <c r="D2" s="126">
        <f>MAX(D5:D12)</f>
        <v>128</v>
      </c>
      <c r="E2" s="126" t="str">
        <f>CONCATENATE("0x",DEC2HEX(D2,2))</f>
        <v>0x80</v>
      </c>
      <c r="F2" s="126" t="str">
        <f>DEC2BIN(D2,8)</f>
        <v>10000000</v>
      </c>
      <c r="G2" s="126"/>
      <c r="H2" s="126"/>
      <c r="I2" s="126"/>
      <c r="J2" s="126"/>
      <c r="K2" s="126"/>
      <c r="L2" s="126">
        <v>8</v>
      </c>
    </row>
    <row r="3" spans="1:12" x14ac:dyDescent="0.25">
      <c r="A3" s="283" t="s">
        <v>2263</v>
      </c>
      <c r="B3" s="284"/>
      <c r="C3" s="284"/>
      <c r="D3" s="284"/>
      <c r="E3" s="284"/>
      <c r="F3" s="284"/>
      <c r="G3" s="284"/>
      <c r="H3" s="284"/>
      <c r="I3" s="284"/>
      <c r="J3" s="284"/>
      <c r="K3" s="284"/>
      <c r="L3" s="285"/>
    </row>
    <row r="4" spans="1:12" x14ac:dyDescent="0.25">
      <c r="A4" s="266" t="s">
        <v>2271</v>
      </c>
      <c r="B4" s="126" t="s">
        <v>2231</v>
      </c>
      <c r="C4" s="126" t="str">
        <f>CONCATENATE(C$1,"_",$A4)</f>
        <v>OutputOptions_NoFlags</v>
      </c>
      <c r="D4" s="126">
        <v>0</v>
      </c>
      <c r="E4" s="126" t="str">
        <f t="shared" ref="E4:E12" si="0">CONCATENATE("0x",DEC2HEX(D4,2))</f>
        <v>0x00</v>
      </c>
      <c r="F4" s="126" t="str">
        <f t="shared" ref="F4:F12" si="1">DEC2BIN(D4,8)</f>
        <v>00000000</v>
      </c>
      <c r="G4" s="126"/>
      <c r="H4" s="126"/>
      <c r="I4" s="126"/>
      <c r="J4" s="126"/>
      <c r="K4" s="126"/>
      <c r="L4" s="126">
        <v>0</v>
      </c>
    </row>
    <row r="5" spans="1:12" x14ac:dyDescent="0.25">
      <c r="A5" s="266" t="s">
        <v>704</v>
      </c>
      <c r="B5" s="126"/>
      <c r="C5" s="126" t="str">
        <f>CONCATENATE(C$1,"_",$A5)</f>
        <v>OutputOptions_Method</v>
      </c>
      <c r="D5" s="126">
        <v>1</v>
      </c>
      <c r="E5" s="126" t="str">
        <f t="shared" si="0"/>
        <v>0x01</v>
      </c>
      <c r="F5" s="126" t="str">
        <f t="shared" si="1"/>
        <v>00000001</v>
      </c>
      <c r="G5" s="126" t="b">
        <v>1</v>
      </c>
      <c r="H5" s="126" t="b">
        <v>1</v>
      </c>
      <c r="I5" s="126" t="b">
        <v>1</v>
      </c>
      <c r="J5" s="126" t="b">
        <v>1</v>
      </c>
      <c r="K5" s="126"/>
      <c r="L5" s="126">
        <v>0</v>
      </c>
    </row>
    <row r="6" spans="1:12" x14ac:dyDescent="0.25">
      <c r="A6" s="266" t="s">
        <v>994</v>
      </c>
      <c r="B6" s="126"/>
      <c r="C6" s="126" t="str">
        <f t="shared" ref="C6:C12" si="2">CONCATENATE(C$1,"_",$A6)</f>
        <v>OutputOptions_Source</v>
      </c>
      <c r="D6" s="126">
        <v>2</v>
      </c>
      <c r="E6" s="126" t="str">
        <f t="shared" si="0"/>
        <v>0x02</v>
      </c>
      <c r="F6" s="126" t="str">
        <f t="shared" si="1"/>
        <v>00000010</v>
      </c>
      <c r="G6" s="126" t="b">
        <v>1</v>
      </c>
      <c r="H6" s="126" t="b">
        <v>1</v>
      </c>
      <c r="I6" s="126" t="b">
        <v>1</v>
      </c>
      <c r="J6" s="126" t="b">
        <v>1</v>
      </c>
      <c r="K6" s="126"/>
      <c r="L6" s="126">
        <v>1</v>
      </c>
    </row>
    <row r="7" spans="1:12" x14ac:dyDescent="0.25">
      <c r="A7" s="266" t="s">
        <v>2232</v>
      </c>
      <c r="B7" s="126"/>
      <c r="C7" s="126" t="str">
        <f t="shared" si="2"/>
        <v>OutputOptions_Stack</v>
      </c>
      <c r="D7" s="126">
        <v>4</v>
      </c>
      <c r="E7" s="126" t="str">
        <f t="shared" si="0"/>
        <v>0x04</v>
      </c>
      <c r="F7" s="126" t="str">
        <f t="shared" si="1"/>
        <v>00000100</v>
      </c>
      <c r="G7" s="126" t="b">
        <v>1</v>
      </c>
      <c r="H7" s="126" t="b">
        <v>1</v>
      </c>
      <c r="I7" s="126" t="b">
        <v>1</v>
      </c>
      <c r="J7" s="126" t="b">
        <v>1</v>
      </c>
      <c r="K7" s="126"/>
      <c r="L7" s="126">
        <v>2</v>
      </c>
    </row>
    <row r="8" spans="1:12" x14ac:dyDescent="0.25">
      <c r="A8" s="266" t="s">
        <v>2233</v>
      </c>
      <c r="B8" s="126" t="s">
        <v>2234</v>
      </c>
      <c r="C8" s="126" t="str">
        <f t="shared" si="2"/>
        <v>OutputOptions_EventLog</v>
      </c>
      <c r="D8" s="126">
        <v>8</v>
      </c>
      <c r="E8" s="126" t="str">
        <f t="shared" si="0"/>
        <v>0x08</v>
      </c>
      <c r="F8" s="126" t="str">
        <f t="shared" si="1"/>
        <v>00001000</v>
      </c>
      <c r="G8" s="126"/>
      <c r="H8" s="126" t="b">
        <v>1</v>
      </c>
      <c r="I8" s="126"/>
      <c r="J8" s="126"/>
      <c r="K8" s="126"/>
      <c r="L8" s="126">
        <v>3</v>
      </c>
    </row>
    <row r="9" spans="1:12" x14ac:dyDescent="0.25">
      <c r="A9" s="266" t="s">
        <v>2235</v>
      </c>
      <c r="B9" s="126" t="s">
        <v>2236</v>
      </c>
      <c r="C9" s="126" t="str">
        <f t="shared" si="2"/>
        <v>OutputOptions_StandardOutput</v>
      </c>
      <c r="D9" s="126">
        <v>16</v>
      </c>
      <c r="E9" s="126" t="str">
        <f t="shared" si="0"/>
        <v>0x10</v>
      </c>
      <c r="F9" s="126" t="str">
        <f t="shared" si="1"/>
        <v>00010000</v>
      </c>
      <c r="G9" s="126"/>
      <c r="H9" s="126"/>
      <c r="I9" s="126"/>
      <c r="J9" s="126" t="b">
        <v>1</v>
      </c>
      <c r="K9" s="126" t="b">
        <v>1</v>
      </c>
      <c r="L9" s="126">
        <v>4</v>
      </c>
    </row>
    <row r="10" spans="1:12" x14ac:dyDescent="0.25">
      <c r="A10" s="266" t="s">
        <v>2237</v>
      </c>
      <c r="B10" s="126" t="s">
        <v>2238</v>
      </c>
      <c r="C10" s="126" t="str">
        <f t="shared" si="2"/>
        <v>OutputOptions_StandardError</v>
      </c>
      <c r="D10" s="126">
        <v>32</v>
      </c>
      <c r="E10" s="126" t="str">
        <f t="shared" si="0"/>
        <v>0x20</v>
      </c>
      <c r="F10" s="126" t="str">
        <f t="shared" si="1"/>
        <v>00100000</v>
      </c>
      <c r="G10" s="126"/>
      <c r="H10" s="126"/>
      <c r="I10" s="126" t="b">
        <v>1</v>
      </c>
      <c r="J10" s="126"/>
      <c r="K10" s="126" t="b">
        <v>1</v>
      </c>
      <c r="L10" s="126">
        <v>5</v>
      </c>
    </row>
    <row r="11" spans="1:12" x14ac:dyDescent="0.25">
      <c r="A11" s="266" t="s">
        <v>2265</v>
      </c>
      <c r="B11" s="126"/>
      <c r="C11" s="126" t="str">
        <f t="shared" si="2"/>
        <v>OutputOptions_DiscardNewlines</v>
      </c>
      <c r="D11" s="126">
        <v>64</v>
      </c>
      <c r="E11" s="126" t="str">
        <f t="shared" si="0"/>
        <v>0x40</v>
      </c>
      <c r="F11" s="126" t="str">
        <f t="shared" si="1"/>
        <v>01000000</v>
      </c>
      <c r="G11" s="126"/>
      <c r="H11" s="126"/>
      <c r="I11" s="126"/>
      <c r="J11" s="126"/>
      <c r="K11" s="126" t="b">
        <v>1</v>
      </c>
      <c r="L11" s="126">
        <v>6</v>
      </c>
    </row>
    <row r="12" spans="1:12" x14ac:dyDescent="0.25">
      <c r="A12" s="266" t="s">
        <v>2266</v>
      </c>
      <c r="B12" s="126"/>
      <c r="C12" s="126" t="str">
        <f t="shared" si="2"/>
        <v>OutputOptions_NBSpaceForNewlines</v>
      </c>
      <c r="D12" s="126">
        <v>128</v>
      </c>
      <c r="E12" s="126" t="str">
        <f t="shared" si="0"/>
        <v>0x80</v>
      </c>
      <c r="F12" s="126" t="str">
        <f t="shared" si="1"/>
        <v>10000000</v>
      </c>
      <c r="G12" s="126"/>
      <c r="H12" s="126"/>
      <c r="I12" s="126"/>
      <c r="J12" s="126"/>
      <c r="K12" s="126"/>
      <c r="L12" s="126">
        <v>7</v>
      </c>
    </row>
    <row r="13" spans="1:12" x14ac:dyDescent="0.25">
      <c r="A13" s="283" t="s">
        <v>2264</v>
      </c>
      <c r="B13" s="284"/>
      <c r="C13" s="284"/>
      <c r="D13" s="284"/>
      <c r="E13" s="284"/>
      <c r="F13" s="284"/>
      <c r="G13" s="284"/>
      <c r="H13" s="284"/>
      <c r="I13" s="284"/>
      <c r="J13" s="284"/>
      <c r="K13" s="284"/>
      <c r="L13" s="285"/>
    </row>
    <row r="14" spans="1:12" x14ac:dyDescent="0.25">
      <c r="A14" s="266" t="s">
        <v>2241</v>
      </c>
      <c r="B14" s="126"/>
      <c r="C14" s="126" t="str">
        <f t="shared" ref="C14:C21" si="3">CONCATENATE(C$1,"_",$A14)</f>
        <v>OutputOptions_ActiveProperties</v>
      </c>
      <c r="D14" s="126">
        <f>OutputOptions_Method + OutputOptions_Source+OutputOptions_Stack+OutputOptions_DiscardNewlines+OutputOptions_NBSpaceForNewlines</f>
        <v>199</v>
      </c>
      <c r="E14" s="126" t="str">
        <f t="shared" ref="E14:E21" si="4">CONCATENATE("0x",DEC2HEX(D14,2))</f>
        <v>0xC7</v>
      </c>
      <c r="F14" s="126" t="str">
        <f t="shared" ref="F14:F21" si="5">DEC2BIN(D14,8)</f>
        <v>11000111</v>
      </c>
      <c r="G14" s="126"/>
      <c r="H14" s="126"/>
      <c r="I14" s="126"/>
      <c r="J14" s="126"/>
      <c r="K14" s="126"/>
      <c r="L14" s="126" t="s">
        <v>2272</v>
      </c>
    </row>
    <row r="15" spans="1:12" x14ac:dyDescent="0.25">
      <c r="A15" s="266" t="s">
        <v>2242</v>
      </c>
      <c r="B15" s="126"/>
      <c r="C15" s="126" t="str">
        <f t="shared" si="3"/>
        <v>OutputOptions_ActivePropsToEventLog</v>
      </c>
      <c r="D15" s="126">
        <f>OutputOptions_ActiveProperties+OutputOptions_EventLog</f>
        <v>207</v>
      </c>
      <c r="E15" s="126" t="str">
        <f t="shared" si="4"/>
        <v>0xCF</v>
      </c>
      <c r="F15" s="126" t="str">
        <f t="shared" si="5"/>
        <v>11001111</v>
      </c>
      <c r="G15" s="126"/>
      <c r="H15" s="126"/>
      <c r="I15" s="126"/>
      <c r="J15" s="126"/>
      <c r="K15" s="126"/>
      <c r="L15" s="126" t="s">
        <v>2267</v>
      </c>
    </row>
    <row r="16" spans="1:12" x14ac:dyDescent="0.25">
      <c r="A16" s="266" t="s">
        <v>2243</v>
      </c>
      <c r="B16" s="126"/>
      <c r="C16" s="126" t="str">
        <f t="shared" si="3"/>
        <v>OutputOptions_ActivePropsToStdErr</v>
      </c>
      <c r="D16" s="126">
        <f>OutputOptions_ActiveProperties+OutputOptions_StandardError</f>
        <v>231</v>
      </c>
      <c r="E16" s="126" t="str">
        <f t="shared" si="4"/>
        <v>0xE7</v>
      </c>
      <c r="F16" s="126" t="str">
        <f t="shared" si="5"/>
        <v>11100111</v>
      </c>
      <c r="G16" s="126"/>
      <c r="H16" s="126"/>
      <c r="I16" s="126"/>
      <c r="J16" s="126"/>
      <c r="K16" s="126"/>
      <c r="L16" s="126" t="s">
        <v>2268</v>
      </c>
    </row>
    <row r="17" spans="1:12" x14ac:dyDescent="0.25">
      <c r="A17" s="266" t="s">
        <v>2244</v>
      </c>
      <c r="B17" s="126"/>
      <c r="C17" s="126" t="str">
        <f t="shared" si="3"/>
        <v>OutputOptions_ActivePropsToStdOut</v>
      </c>
      <c r="D17" s="126">
        <f>OutputOptions_ActiveProperties+OutputOptions_StandardOutput</f>
        <v>215</v>
      </c>
      <c r="E17" s="126" t="str">
        <f t="shared" si="4"/>
        <v>0xD7</v>
      </c>
      <c r="F17" s="126" t="str">
        <f t="shared" si="5"/>
        <v>11010111</v>
      </c>
      <c r="G17" s="126"/>
      <c r="H17" s="126"/>
      <c r="I17" s="126"/>
      <c r="J17" s="126"/>
      <c r="K17" s="126"/>
      <c r="L17" s="126" t="s">
        <v>2269</v>
      </c>
    </row>
    <row r="18" spans="1:12" x14ac:dyDescent="0.25">
      <c r="A18" s="266" t="s">
        <v>2245</v>
      </c>
      <c r="B18" s="126"/>
      <c r="C18" s="126" t="str">
        <f t="shared" si="3"/>
        <v>OutputOptions_ActivePropsEverywhere</v>
      </c>
      <c r="D18" s="126">
        <f>OutputOptions_ActiveProperties+OutputOptions_AllDestinations</f>
        <v>255</v>
      </c>
      <c r="E18" s="126" t="str">
        <f t="shared" si="4"/>
        <v>0xFF</v>
      </c>
      <c r="F18" s="126" t="str">
        <f t="shared" si="5"/>
        <v>11111111</v>
      </c>
      <c r="G18" s="126"/>
      <c r="H18" s="126"/>
      <c r="I18" s="126"/>
      <c r="J18" s="126"/>
      <c r="K18" s="126"/>
      <c r="L18" s="126" t="s">
        <v>2273</v>
      </c>
    </row>
    <row r="19" spans="1:12" x14ac:dyDescent="0.25">
      <c r="A19" s="266" t="s">
        <v>2246</v>
      </c>
      <c r="B19" s="126"/>
      <c r="C19" s="126" t="str">
        <f t="shared" si="3"/>
        <v>OutputOptions_AllProperties</v>
      </c>
      <c r="D19" s="126">
        <f>OutputOptions_ActiveProperties</f>
        <v>199</v>
      </c>
      <c r="E19" s="126" t="str">
        <f t="shared" si="4"/>
        <v>0xC7</v>
      </c>
      <c r="F19" s="126" t="str">
        <f t="shared" si="5"/>
        <v>11000111</v>
      </c>
      <c r="G19" s="126"/>
      <c r="H19" s="126"/>
      <c r="I19" s="126"/>
      <c r="J19" s="126"/>
      <c r="K19" s="126"/>
      <c r="L19" s="126" t="s">
        <v>2272</v>
      </c>
    </row>
    <row r="20" spans="1:12" x14ac:dyDescent="0.25">
      <c r="A20" s="266" t="s">
        <v>2262</v>
      </c>
      <c r="B20" s="126"/>
      <c r="C20" s="126" t="str">
        <f t="shared" si="3"/>
        <v>OutputOptions_AllDestinations</v>
      </c>
      <c r="D20" s="126">
        <f>OutputOptions_EventLog+OutputOptions_StandardError+OutputOptions_StandardOutput</f>
        <v>56</v>
      </c>
      <c r="E20" s="126" t="str">
        <f t="shared" si="4"/>
        <v>0x38</v>
      </c>
      <c r="F20" s="126" t="str">
        <f t="shared" si="5"/>
        <v>00111000</v>
      </c>
      <c r="G20" s="126"/>
      <c r="H20" s="126"/>
      <c r="I20" s="126"/>
      <c r="J20" s="126"/>
      <c r="K20" s="126"/>
      <c r="L20" s="126" t="s">
        <v>2247</v>
      </c>
    </row>
    <row r="21" spans="1:12" x14ac:dyDescent="0.25">
      <c r="A21" s="266" t="s">
        <v>2248</v>
      </c>
      <c r="B21" s="126"/>
      <c r="C21" s="126" t="str">
        <f t="shared" si="3"/>
        <v>OutputOptions_AllFlags</v>
      </c>
      <c r="D21" s="126">
        <f>OutputOptions_ActiveProperties+OutputOptions_AllDestinations</f>
        <v>255</v>
      </c>
      <c r="E21" s="126" t="str">
        <f t="shared" si="4"/>
        <v>0xFF</v>
      </c>
      <c r="F21" s="126" t="str">
        <f t="shared" si="5"/>
        <v>11111111</v>
      </c>
      <c r="G21" s="126"/>
      <c r="H21" s="126"/>
      <c r="I21" s="126"/>
      <c r="J21" s="126"/>
      <c r="K21" s="126"/>
      <c r="L21" s="126" t="s">
        <v>2270</v>
      </c>
    </row>
  </sheetData>
  <mergeCells count="2">
    <mergeCell ref="A3:L3"/>
    <mergeCell ref="A13:L13"/>
  </mergeCells>
  <pageMargins left="0.7" right="0.7" top="0.75" bottom="0.75" header="0.3" footer="0.3"/>
  <pageSetup orientation="portrait" horizontalDpi="0" verticalDpi="0"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sheetViews>
  <sheetFormatPr defaultRowHeight="15" x14ac:dyDescent="0.25"/>
  <cols>
    <col min="1" max="1" width="40.75" bestFit="1" customWidth="1"/>
    <col min="2" max="2" width="86.125" bestFit="1" customWidth="1"/>
    <col min="3" max="3" width="53.125" bestFit="1" customWidth="1"/>
  </cols>
  <sheetData>
    <row r="1" spans="1:3" ht="18" x14ac:dyDescent="0.25">
      <c r="A1" s="257" t="s">
        <v>2118</v>
      </c>
      <c r="B1" s="257" t="s">
        <v>2119</v>
      </c>
      <c r="C1" s="257" t="s">
        <v>2120</v>
      </c>
    </row>
    <row r="2" spans="1:3" x14ac:dyDescent="0.25">
      <c r="A2" s="186" t="s">
        <v>2121</v>
      </c>
      <c r="B2" s="186" t="str">
        <f>CONCATENATE("WizardWrx.DLLServices2.Properties.Resources.",A2)</f>
        <v>WizardWrx.DLLServices2.Properties.Resources.IMAGE_SUBSYSTEM_UNKNOWN</v>
      </c>
      <c r="C2" s="186" t="s">
        <v>2122</v>
      </c>
    </row>
    <row r="3" spans="1:3" x14ac:dyDescent="0.25">
      <c r="A3" s="186" t="s">
        <v>2123</v>
      </c>
      <c r="B3" s="186" t="str">
        <f t="shared" ref="B3:B15" si="0">CONCATENATE("WizardWrx.DLLServices2.Properties.Resources.",A3)</f>
        <v>WizardWrx.DLLServices2.Properties.Resources.IMAGE_SUBSYSTEM_NATIVE</v>
      </c>
      <c r="C3" s="186" t="s">
        <v>2124</v>
      </c>
    </row>
    <row r="4" spans="1:3" x14ac:dyDescent="0.25">
      <c r="A4" s="186" t="s">
        <v>2125</v>
      </c>
      <c r="B4" s="186" t="str">
        <f t="shared" si="0"/>
        <v>WizardWrx.DLLServices2.Properties.Resources.IMAGE_SUBSYSTEM_WINDOWS_GUI</v>
      </c>
      <c r="C4" s="186" t="s">
        <v>2126</v>
      </c>
    </row>
    <row r="5" spans="1:3" x14ac:dyDescent="0.25">
      <c r="A5" s="186" t="s">
        <v>2127</v>
      </c>
      <c r="B5" s="186" t="str">
        <f t="shared" si="0"/>
        <v>WizardWrx.DLLServices2.Properties.Resources.IMAGE_SUBSYSTEM_WINDOWS_CUI</v>
      </c>
      <c r="C5" s="186" t="s">
        <v>2128</v>
      </c>
    </row>
    <row r="6" spans="1:3" x14ac:dyDescent="0.25">
      <c r="A6" s="186" t="s">
        <v>2129</v>
      </c>
      <c r="B6" s="186" t="str">
        <f t="shared" si="0"/>
        <v>WizardWrx.DLLServices2.Properties.Resources.IMAGE_SUBSYSTEM_OS2_CUI</v>
      </c>
      <c r="C6" s="186" t="s">
        <v>2130</v>
      </c>
    </row>
    <row r="7" spans="1:3" x14ac:dyDescent="0.25">
      <c r="A7" s="186" t="s">
        <v>2131</v>
      </c>
      <c r="B7" s="186" t="str">
        <f t="shared" si="0"/>
        <v>WizardWrx.DLLServices2.Properties.Resources.IMAGE_SUBSYSTEM_POSIX_CUI</v>
      </c>
      <c r="C7" s="186" t="s">
        <v>2132</v>
      </c>
    </row>
    <row r="8" spans="1:3" x14ac:dyDescent="0.25">
      <c r="A8" s="186" t="s">
        <v>2133</v>
      </c>
      <c r="B8" s="186" t="str">
        <f t="shared" si="0"/>
        <v>WizardWrx.DLLServices2.Properties.Resources.IMAGE_SUBSYSTEM_NATIVE_WINDOWS</v>
      </c>
      <c r="C8" s="186" t="s">
        <v>2134</v>
      </c>
    </row>
    <row r="9" spans="1:3" x14ac:dyDescent="0.25">
      <c r="A9" s="186" t="s">
        <v>2135</v>
      </c>
      <c r="B9" s="186" t="str">
        <f t="shared" si="0"/>
        <v>WizardWrx.DLLServices2.Properties.Resources.IMAGE_SUBSYSTEM_WINDOWS_CE_GUI</v>
      </c>
      <c r="C9" s="186" t="s">
        <v>2136</v>
      </c>
    </row>
    <row r="10" spans="1:3" x14ac:dyDescent="0.25">
      <c r="A10" s="186" t="s">
        <v>2137</v>
      </c>
      <c r="B10" s="186" t="str">
        <f t="shared" si="0"/>
        <v>WizardWrx.DLLServices2.Properties.Resources.IMAGE_SUBSYSTEM_EFI_APPLICATION</v>
      </c>
      <c r="C10" s="186" t="s">
        <v>2138</v>
      </c>
    </row>
    <row r="11" spans="1:3" x14ac:dyDescent="0.25">
      <c r="A11" s="186" t="s">
        <v>2139</v>
      </c>
      <c r="B11" s="186" t="str">
        <f t="shared" si="0"/>
        <v>WizardWrx.DLLServices2.Properties.Resources.IMAGE_SUBSYSTEM_EFI_BOOT_SERVICE_DRIVER</v>
      </c>
      <c r="C11" s="186" t="s">
        <v>2140</v>
      </c>
    </row>
    <row r="12" spans="1:3" x14ac:dyDescent="0.25">
      <c r="A12" s="186" t="s">
        <v>2141</v>
      </c>
      <c r="B12" s="186" t="str">
        <f t="shared" si="0"/>
        <v>WizardWrx.DLLServices2.Properties.Resources.IMAGE_SUBSYSTEM_EFI_RUNTIME_DRIVER</v>
      </c>
      <c r="C12" s="186" t="s">
        <v>2142</v>
      </c>
    </row>
    <row r="13" spans="1:3" x14ac:dyDescent="0.25">
      <c r="A13" s="186" t="s">
        <v>2143</v>
      </c>
      <c r="B13" s="186" t="str">
        <f t="shared" si="0"/>
        <v>WizardWrx.DLLServices2.Properties.Resources.IMAGE_SUBSYSTEM_EFI_ROM</v>
      </c>
      <c r="C13" s="186" t="s">
        <v>2144</v>
      </c>
    </row>
    <row r="14" spans="1:3" x14ac:dyDescent="0.25">
      <c r="A14" s="186" t="s">
        <v>2145</v>
      </c>
      <c r="B14" s="186" t="str">
        <f t="shared" si="0"/>
        <v>WizardWrx.DLLServices2.Properties.Resources.IMAGE_SUBSYSTEM_XBOX</v>
      </c>
      <c r="C14" s="186" t="s">
        <v>2146</v>
      </c>
    </row>
    <row r="15" spans="1:3" x14ac:dyDescent="0.25">
      <c r="A15" s="186" t="s">
        <v>2147</v>
      </c>
      <c r="B15" s="186" t="str">
        <f t="shared" si="0"/>
        <v>WizardWrx.DLLServices2.Properties.Resources.IMAGE_SUBSYSTEM_UNDEFINED_VALUE</v>
      </c>
      <c r="C15" s="186" t="s">
        <v>2148</v>
      </c>
    </row>
  </sheetData>
  <pageMargins left="0.7" right="0.7" top="0.75" bottom="0.75" header="0.3" footer="0.3"/>
  <pageSetup orientation="portrait" horizontalDpi="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topLeftCell="E1" workbookViewId="0">
      <selection activeCell="E4" sqref="E4"/>
    </sheetView>
  </sheetViews>
  <sheetFormatPr defaultRowHeight="15" outlineLevelRow="2" x14ac:dyDescent="0.25"/>
  <cols>
    <col min="1" max="1" width="152.125" customWidth="1"/>
    <col min="2" max="2" width="132" bestFit="1" customWidth="1"/>
    <col min="3" max="3" width="20.25" bestFit="1" customWidth="1"/>
    <col min="5" max="5" width="255.625" bestFit="1" customWidth="1"/>
  </cols>
  <sheetData>
    <row r="1" spans="1:6" ht="18" x14ac:dyDescent="0.25">
      <c r="A1" s="61" t="s">
        <v>429</v>
      </c>
      <c r="B1" s="61" t="s">
        <v>431</v>
      </c>
      <c r="C1" s="61" t="s">
        <v>432</v>
      </c>
      <c r="D1" s="61" t="s">
        <v>430</v>
      </c>
      <c r="E1" s="61" t="s">
        <v>16</v>
      </c>
      <c r="F1" s="61" t="s">
        <v>11</v>
      </c>
    </row>
    <row r="2" spans="1:6" outlineLevel="2" x14ac:dyDescent="0.25">
      <c r="A2" s="62" t="s">
        <v>426</v>
      </c>
      <c r="B2" s="62" t="s">
        <v>433</v>
      </c>
      <c r="C2" s="62" t="s">
        <v>434</v>
      </c>
      <c r="D2" s="63">
        <v>654</v>
      </c>
      <c r="E2" s="67" t="s">
        <v>427</v>
      </c>
      <c r="F2" s="63" t="s">
        <v>444</v>
      </c>
    </row>
    <row r="3" spans="1:6" outlineLevel="1" x14ac:dyDescent="0.25">
      <c r="A3" s="64" t="s">
        <v>443</v>
      </c>
      <c r="B3" s="65"/>
      <c r="C3" s="65"/>
      <c r="D3" s="66">
        <f>SUBTOTAL(3,D2:D2)</f>
        <v>1</v>
      </c>
      <c r="E3" s="68"/>
      <c r="F3" s="66"/>
    </row>
    <row r="4" spans="1:6" ht="30" outlineLevel="2" x14ac:dyDescent="0.25">
      <c r="A4" s="64" t="s">
        <v>22</v>
      </c>
      <c r="B4" s="65" t="s">
        <v>435</v>
      </c>
      <c r="C4" s="65" t="s">
        <v>436</v>
      </c>
      <c r="D4" s="66">
        <v>345</v>
      </c>
      <c r="E4" s="68" t="s">
        <v>63</v>
      </c>
      <c r="F4" s="66"/>
    </row>
    <row r="5" spans="1:6" outlineLevel="1" x14ac:dyDescent="0.25">
      <c r="A5" s="64" t="s">
        <v>140</v>
      </c>
      <c r="B5" s="65"/>
      <c r="C5" s="65"/>
      <c r="D5" s="66">
        <f>SUBTOTAL(3,D4:D4)</f>
        <v>1</v>
      </c>
      <c r="E5" s="68"/>
      <c r="F5" s="66"/>
    </row>
    <row r="6" spans="1:6" outlineLevel="2" x14ac:dyDescent="0.25">
      <c r="A6" s="64" t="s">
        <v>66</v>
      </c>
      <c r="B6" s="65" t="s">
        <v>437</v>
      </c>
      <c r="C6" s="65" t="s">
        <v>438</v>
      </c>
      <c r="D6" s="66">
        <v>289</v>
      </c>
      <c r="E6" s="68" t="s">
        <v>69</v>
      </c>
      <c r="F6" s="66"/>
    </row>
    <row r="7" spans="1:6" outlineLevel="1" x14ac:dyDescent="0.25">
      <c r="A7" s="64" t="s">
        <v>151</v>
      </c>
      <c r="B7" s="65"/>
      <c r="C7" s="65"/>
      <c r="D7" s="66">
        <f>SUBTOTAL(3,D6:D6)</f>
        <v>1</v>
      </c>
      <c r="E7" s="68"/>
      <c r="F7" s="66"/>
    </row>
    <row r="8" spans="1:6" outlineLevel="2" x14ac:dyDescent="0.25">
      <c r="A8" s="64" t="s">
        <v>121</v>
      </c>
      <c r="B8" s="65" t="s">
        <v>439</v>
      </c>
      <c r="C8" s="65" t="s">
        <v>438</v>
      </c>
      <c r="D8" s="66">
        <v>222</v>
      </c>
      <c r="E8" s="68" t="s">
        <v>69</v>
      </c>
      <c r="F8" s="66"/>
    </row>
    <row r="9" spans="1:6" outlineLevel="2" x14ac:dyDescent="0.25">
      <c r="A9" s="64" t="s">
        <v>121</v>
      </c>
      <c r="B9" s="65" t="s">
        <v>439</v>
      </c>
      <c r="C9" s="65" t="s">
        <v>438</v>
      </c>
      <c r="D9" s="66">
        <v>269</v>
      </c>
      <c r="E9" s="68" t="s">
        <v>428</v>
      </c>
      <c r="F9" s="66"/>
    </row>
    <row r="10" spans="1:6" outlineLevel="1" x14ac:dyDescent="0.25">
      <c r="A10" s="64" t="s">
        <v>159</v>
      </c>
      <c r="B10" s="65"/>
      <c r="C10" s="65"/>
      <c r="D10" s="66">
        <f>SUBTOTAL(3,D8:D9)</f>
        <v>2</v>
      </c>
      <c r="E10" s="68"/>
      <c r="F10" s="66"/>
    </row>
    <row r="11" spans="1:6" ht="30" outlineLevel="2" x14ac:dyDescent="0.25">
      <c r="A11" s="64" t="s">
        <v>125</v>
      </c>
      <c r="B11" s="65" t="s">
        <v>440</v>
      </c>
      <c r="C11" s="65" t="s">
        <v>436</v>
      </c>
      <c r="D11" s="66">
        <v>136</v>
      </c>
      <c r="E11" s="68" t="s">
        <v>63</v>
      </c>
      <c r="F11" s="66"/>
    </row>
    <row r="12" spans="1:6" outlineLevel="1" x14ac:dyDescent="0.25">
      <c r="A12" s="64" t="s">
        <v>161</v>
      </c>
      <c r="B12" s="65"/>
      <c r="C12" s="65"/>
      <c r="D12" s="66">
        <f>SUBTOTAL(3,D11:D11)</f>
        <v>1</v>
      </c>
      <c r="E12" s="68"/>
      <c r="F12" s="66"/>
    </row>
    <row r="13" spans="1:6" outlineLevel="2" x14ac:dyDescent="0.25">
      <c r="A13" s="64" t="s">
        <v>131</v>
      </c>
      <c r="B13" s="65" t="s">
        <v>441</v>
      </c>
      <c r="C13" s="65" t="s">
        <v>438</v>
      </c>
      <c r="D13" s="66">
        <v>220</v>
      </c>
      <c r="E13" s="68" t="s">
        <v>69</v>
      </c>
      <c r="F13" s="66"/>
    </row>
    <row r="14" spans="1:6" outlineLevel="2" x14ac:dyDescent="0.25">
      <c r="A14" s="64" t="s">
        <v>131</v>
      </c>
      <c r="B14" s="65" t="s">
        <v>441</v>
      </c>
      <c r="C14" s="65" t="s">
        <v>438</v>
      </c>
      <c r="D14" s="66">
        <v>267</v>
      </c>
      <c r="E14" s="68" t="s">
        <v>428</v>
      </c>
      <c r="F14" s="66"/>
    </row>
    <row r="15" spans="1:6" outlineLevel="1" x14ac:dyDescent="0.25">
      <c r="A15" s="64" t="s">
        <v>163</v>
      </c>
      <c r="B15" s="65"/>
      <c r="C15" s="65"/>
      <c r="D15" s="66">
        <f>SUBTOTAL(3,D13:D14)</f>
        <v>2</v>
      </c>
      <c r="E15" s="68"/>
      <c r="F15" s="66"/>
    </row>
    <row r="16" spans="1:6" ht="30" outlineLevel="2" x14ac:dyDescent="0.25">
      <c r="A16" s="64" t="s">
        <v>135</v>
      </c>
      <c r="B16" s="65" t="s">
        <v>442</v>
      </c>
      <c r="C16" s="65" t="s">
        <v>436</v>
      </c>
      <c r="D16" s="66">
        <v>122</v>
      </c>
      <c r="E16" s="68" t="s">
        <v>63</v>
      </c>
      <c r="F16" s="66"/>
    </row>
    <row r="17" spans="1:6" ht="30" outlineLevel="2" x14ac:dyDescent="0.25">
      <c r="A17" s="64" t="s">
        <v>135</v>
      </c>
      <c r="B17" s="65" t="s">
        <v>442</v>
      </c>
      <c r="C17" s="65" t="s">
        <v>436</v>
      </c>
      <c r="D17" s="66">
        <v>122</v>
      </c>
      <c r="E17" s="68" t="s">
        <v>63</v>
      </c>
      <c r="F17" s="66"/>
    </row>
    <row r="18" spans="1:6" outlineLevel="1" x14ac:dyDescent="0.25">
      <c r="A18" s="64" t="s">
        <v>165</v>
      </c>
      <c r="B18" s="65"/>
      <c r="C18" s="65"/>
      <c r="D18" s="66">
        <f>SUBTOTAL(3,D16:D17)</f>
        <v>2</v>
      </c>
      <c r="E18" s="68"/>
      <c r="F18" s="66"/>
    </row>
    <row r="19" spans="1:6" x14ac:dyDescent="0.25">
      <c r="A19" s="64" t="s">
        <v>142</v>
      </c>
      <c r="B19" s="65"/>
      <c r="C19" s="65"/>
      <c r="D19" s="66">
        <f>SUBTOTAL(3,D2:D17)</f>
        <v>10</v>
      </c>
      <c r="E19" s="68"/>
      <c r="F19" s="66"/>
    </row>
  </sheetData>
  <conditionalFormatting sqref="A3:E3">
    <cfRule type="expression" dxfId="167" priority="12">
      <formula>FIND("Count",$A3)</formula>
    </cfRule>
  </conditionalFormatting>
  <conditionalFormatting sqref="F3">
    <cfRule type="expression" dxfId="166" priority="9">
      <formula>FIND("Count",$A3)</formula>
    </cfRule>
  </conditionalFormatting>
  <conditionalFormatting sqref="A3:F3">
    <cfRule type="expression" dxfId="165" priority="5">
      <formula>OR($F3="Done",$F3="OK")</formula>
    </cfRule>
  </conditionalFormatting>
  <conditionalFormatting sqref="A2:F2">
    <cfRule type="expression" dxfId="164" priority="4">
      <formula>OR($F2="Done",$F2="OK")</formula>
    </cfRule>
  </conditionalFormatting>
  <conditionalFormatting sqref="A4:E19">
    <cfRule type="expression" dxfId="163" priority="3">
      <formula>FIND("Count",$A4)</formula>
    </cfRule>
  </conditionalFormatting>
  <conditionalFormatting sqref="F4:F19">
    <cfRule type="expression" dxfId="162" priority="2">
      <formula>FIND("Count",$A4)</formula>
    </cfRule>
  </conditionalFormatting>
  <conditionalFormatting sqref="A4:F19">
    <cfRule type="expression" dxfId="161" priority="1">
      <formula>OR($F4="Done",$F4="OK")</formula>
    </cfRule>
  </conditionalFormatting>
  <pageMargins left="0.7" right="0.7" top="0.75" bottom="0.75" header="0.3" footer="0.3"/>
  <pageSetup orientation="portrait" horizontalDpi="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7030A0"/>
  </sheetPr>
  <dimension ref="A1:D16"/>
  <sheetViews>
    <sheetView workbookViewId="0"/>
  </sheetViews>
  <sheetFormatPr defaultRowHeight="15" x14ac:dyDescent="0.25"/>
  <cols>
    <col min="1" max="1" width="36.625" bestFit="1" customWidth="1"/>
    <col min="2" max="3" width="40.625" style="25" customWidth="1"/>
  </cols>
  <sheetData>
    <row r="1" spans="1:4" ht="18" x14ac:dyDescent="0.25">
      <c r="D1" s="24" t="s">
        <v>11</v>
      </c>
    </row>
    <row r="2" spans="1:4" x14ac:dyDescent="0.25">
      <c r="D2" s="31" t="s">
        <v>179</v>
      </c>
    </row>
    <row r="3" spans="1:4" x14ac:dyDescent="0.25">
      <c r="D3" s="30" t="s">
        <v>180</v>
      </c>
    </row>
    <row r="4" spans="1:4" x14ac:dyDescent="0.25">
      <c r="D4" s="29" t="s">
        <v>181</v>
      </c>
    </row>
    <row r="6" spans="1:4" ht="18" x14ac:dyDescent="0.25">
      <c r="A6" s="23" t="s">
        <v>7</v>
      </c>
      <c r="B6" s="24" t="s">
        <v>178</v>
      </c>
      <c r="C6" s="24" t="s">
        <v>10</v>
      </c>
      <c r="D6" s="24" t="s">
        <v>11</v>
      </c>
    </row>
    <row r="7" spans="1:4" ht="71.25" x14ac:dyDescent="0.25">
      <c r="A7" s="26" t="s">
        <v>175</v>
      </c>
      <c r="B7" s="27" t="s">
        <v>176</v>
      </c>
      <c r="C7" s="27" t="s">
        <v>177</v>
      </c>
      <c r="D7" s="28" t="s">
        <v>180</v>
      </c>
    </row>
    <row r="8" spans="1:4" ht="28.5" x14ac:dyDescent="0.25">
      <c r="A8" s="26" t="s">
        <v>421</v>
      </c>
      <c r="B8" s="27" t="s">
        <v>422</v>
      </c>
      <c r="C8" s="27" t="s">
        <v>425</v>
      </c>
      <c r="D8" s="28" t="s">
        <v>180</v>
      </c>
    </row>
    <row r="9" spans="1:4" ht="28.5" x14ac:dyDescent="0.25">
      <c r="A9" s="26" t="s">
        <v>423</v>
      </c>
      <c r="B9" s="27" t="s">
        <v>424</v>
      </c>
      <c r="C9" s="27" t="s">
        <v>425</v>
      </c>
      <c r="D9" s="28" t="s">
        <v>180</v>
      </c>
    </row>
    <row r="10" spans="1:4" x14ac:dyDescent="0.25">
      <c r="A10" s="26"/>
      <c r="B10" s="27"/>
      <c r="C10" s="27"/>
      <c r="D10" s="28"/>
    </row>
    <row r="11" spans="1:4" x14ac:dyDescent="0.25">
      <c r="A11" s="26"/>
      <c r="B11" s="27"/>
      <c r="C11" s="27"/>
      <c r="D11" s="28"/>
    </row>
    <row r="12" spans="1:4" x14ac:dyDescent="0.25">
      <c r="A12" s="26"/>
      <c r="B12" s="27"/>
      <c r="C12" s="27"/>
      <c r="D12" s="28"/>
    </row>
    <row r="13" spans="1:4" x14ac:dyDescent="0.25">
      <c r="A13" s="26"/>
      <c r="B13" s="27"/>
      <c r="C13" s="27"/>
      <c r="D13" s="28"/>
    </row>
    <row r="14" spans="1:4" x14ac:dyDescent="0.25">
      <c r="A14" s="26"/>
      <c r="B14" s="27"/>
      <c r="C14" s="27"/>
      <c r="D14" s="28"/>
    </row>
    <row r="15" spans="1:4" x14ac:dyDescent="0.25">
      <c r="A15" s="26"/>
      <c r="B15" s="27"/>
      <c r="C15" s="27"/>
      <c r="D15" s="28"/>
    </row>
    <row r="16" spans="1:4" x14ac:dyDescent="0.25">
      <c r="A16" s="26"/>
      <c r="B16" s="27"/>
      <c r="C16" s="27"/>
      <c r="D16" s="28"/>
    </row>
  </sheetData>
  <conditionalFormatting sqref="A7:D7">
    <cfRule type="expression" dxfId="160" priority="28">
      <formula>$D7=Resource_String_Tested</formula>
    </cfRule>
    <cfRule type="expression" dxfId="159" priority="29">
      <formula>$D7=Resource_String_Added</formula>
    </cfRule>
    <cfRule type="expression" dxfId="158" priority="30">
      <formula>$D7=Resource_String_Deleted</formula>
    </cfRule>
  </conditionalFormatting>
  <conditionalFormatting sqref="A8:D8">
    <cfRule type="expression" dxfId="157" priority="25">
      <formula>$D8=Resource_String_Tested</formula>
    </cfRule>
    <cfRule type="expression" dxfId="156" priority="26">
      <formula>$D8=Resource_String_Added</formula>
    </cfRule>
    <cfRule type="expression" dxfId="155" priority="27">
      <formula>$D8=Resource_String_Deleted</formula>
    </cfRule>
  </conditionalFormatting>
  <conditionalFormatting sqref="A9:D9">
    <cfRule type="expression" dxfId="154" priority="22">
      <formula>$D9=Resource_String_Tested</formula>
    </cfRule>
    <cfRule type="expression" dxfId="153" priority="23">
      <formula>$D9=Resource_String_Added</formula>
    </cfRule>
    <cfRule type="expression" dxfId="152" priority="24">
      <formula>$D9=Resource_String_Deleted</formula>
    </cfRule>
  </conditionalFormatting>
  <conditionalFormatting sqref="A10:D10">
    <cfRule type="expression" dxfId="151" priority="19">
      <formula>$D10=Resource_String_Tested</formula>
    </cfRule>
    <cfRule type="expression" dxfId="150" priority="20">
      <formula>$D10=Resource_String_Added</formula>
    </cfRule>
    <cfRule type="expression" dxfId="149" priority="21">
      <formula>$D10=Resource_String_Deleted</formula>
    </cfRule>
  </conditionalFormatting>
  <conditionalFormatting sqref="A11:D11">
    <cfRule type="expression" dxfId="148" priority="16">
      <formula>$D11=Resource_String_Tested</formula>
    </cfRule>
    <cfRule type="expression" dxfId="147" priority="17">
      <formula>$D11=Resource_String_Added</formula>
    </cfRule>
    <cfRule type="expression" dxfId="146" priority="18">
      <formula>$D11=Resource_String_Deleted</formula>
    </cfRule>
  </conditionalFormatting>
  <conditionalFormatting sqref="A12:D12">
    <cfRule type="expression" dxfId="145" priority="13">
      <formula>$D12=Resource_String_Tested</formula>
    </cfRule>
    <cfRule type="expression" dxfId="144" priority="14">
      <formula>$D12=Resource_String_Added</formula>
    </cfRule>
    <cfRule type="expression" dxfId="143" priority="15">
      <formula>$D12=Resource_String_Deleted</formula>
    </cfRule>
  </conditionalFormatting>
  <conditionalFormatting sqref="A13:D13">
    <cfRule type="expression" dxfId="142" priority="10">
      <formula>$D13=Resource_String_Tested</formula>
    </cfRule>
    <cfRule type="expression" dxfId="141" priority="11">
      <formula>$D13=Resource_String_Added</formula>
    </cfRule>
    <cfRule type="expression" dxfId="140" priority="12">
      <formula>$D13=Resource_String_Deleted</formula>
    </cfRule>
  </conditionalFormatting>
  <conditionalFormatting sqref="A14:D14">
    <cfRule type="expression" dxfId="139" priority="7">
      <formula>$D14=Resource_String_Tested</formula>
    </cfRule>
    <cfRule type="expression" dxfId="138" priority="8">
      <formula>$D14=Resource_String_Added</formula>
    </cfRule>
    <cfRule type="expression" dxfId="137" priority="9">
      <formula>$D14=Resource_String_Deleted</formula>
    </cfRule>
  </conditionalFormatting>
  <conditionalFormatting sqref="A15:D15">
    <cfRule type="expression" dxfId="136" priority="4">
      <formula>$D15=Resource_String_Tested</formula>
    </cfRule>
    <cfRule type="expression" dxfId="135" priority="5">
      <formula>$D15=Resource_String_Added</formula>
    </cfRule>
    <cfRule type="expression" dxfId="134" priority="6">
      <formula>$D15=Resource_String_Deleted</formula>
    </cfRule>
  </conditionalFormatting>
  <conditionalFormatting sqref="A16:D16">
    <cfRule type="expression" dxfId="133" priority="1">
      <formula>$D16=Resource_String_Tested</formula>
    </cfRule>
    <cfRule type="expression" dxfId="132" priority="2">
      <formula>$D16=Resource_String_Added</formula>
    </cfRule>
    <cfRule type="expression" dxfId="131" priority="3">
      <formula>$D16=Resource_String_Deleted</formula>
    </cfRule>
  </conditionalFormatting>
  <dataValidations count="1">
    <dataValidation type="list" allowBlank="1" showInputMessage="1" showErrorMessage="1" sqref="D7:D16">
      <formula1>Resource_String_Disposition_Choices</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theme="8" tint="-0.499984740745262"/>
  </sheetPr>
  <dimension ref="A1:J192"/>
  <sheetViews>
    <sheetView workbookViewId="0">
      <pane xSplit="2" ySplit="6" topLeftCell="C30" activePane="bottomRight" state="frozen"/>
      <selection pane="topRight" activeCell="C1" sqref="C1"/>
      <selection pane="bottomLeft" activeCell="A2" sqref="A2"/>
      <selection pane="bottomRight" activeCell="A42" sqref="A42"/>
    </sheetView>
  </sheetViews>
  <sheetFormatPr defaultRowHeight="15" outlineLevelRow="2" x14ac:dyDescent="0.25"/>
  <cols>
    <col min="1" max="1" width="21.5" customWidth="1"/>
    <col min="2" max="2" width="6.125" bestFit="1" customWidth="1"/>
    <col min="3" max="3" width="100.625" customWidth="1"/>
    <col min="4" max="4" width="48" bestFit="1" customWidth="1"/>
    <col min="5" max="5" width="6.875" bestFit="1" customWidth="1"/>
    <col min="6" max="6" width="20.125" bestFit="1" customWidth="1"/>
    <col min="7" max="7" width="7.875" bestFit="1" customWidth="1"/>
    <col min="8" max="8" width="132" bestFit="1" customWidth="1"/>
    <col min="9" max="9" width="22.75" bestFit="1" customWidth="1"/>
    <col min="10" max="10" width="18.375" bestFit="1" customWidth="1"/>
    <col min="11" max="11" width="22.75" bestFit="1" customWidth="1"/>
  </cols>
  <sheetData>
    <row r="1" spans="1:9" ht="18" x14ac:dyDescent="0.25">
      <c r="I1" s="9" t="s">
        <v>11</v>
      </c>
    </row>
    <row r="2" spans="1:9" x14ac:dyDescent="0.25">
      <c r="I2" s="18" t="str">
        <f>Source_File_Status_Obsolete_Frozen</f>
        <v>Obsolete (Frozen)</v>
      </c>
    </row>
    <row r="3" spans="1:9" x14ac:dyDescent="0.25">
      <c r="I3" s="19" t="str">
        <f>Source_File_Status_Will_Break</f>
        <v>Will Break</v>
      </c>
    </row>
    <row r="4" spans="1:9" x14ac:dyDescent="0.25">
      <c r="I4" s="20" t="str">
        <f>Source_File_Status_Fixed</f>
        <v>Fixed</v>
      </c>
    </row>
    <row r="6" spans="1:9" ht="18" x14ac:dyDescent="0.25">
      <c r="A6" s="32" t="s">
        <v>18</v>
      </c>
      <c r="B6" s="32" t="s">
        <v>17</v>
      </c>
      <c r="C6" s="32" t="s">
        <v>16</v>
      </c>
      <c r="D6" s="32" t="s">
        <v>15</v>
      </c>
      <c r="E6" s="32" t="s">
        <v>6</v>
      </c>
      <c r="F6" s="32" t="s">
        <v>14</v>
      </c>
      <c r="G6" s="32" t="s">
        <v>13</v>
      </c>
      <c r="H6" s="32" t="s">
        <v>12</v>
      </c>
      <c r="I6" s="32" t="s">
        <v>11</v>
      </c>
    </row>
    <row r="7" spans="1:9" outlineLevel="2" x14ac:dyDescent="0.25">
      <c r="A7" s="51" t="s">
        <v>244</v>
      </c>
      <c r="B7" s="34">
        <v>536</v>
      </c>
      <c r="C7" s="39" t="s">
        <v>290</v>
      </c>
      <c r="D7" s="34" t="str">
        <f>[1]!GetFile(A7)</f>
        <v>FormsDirectory.cs</v>
      </c>
      <c r="E7" s="35" t="str">
        <f>IF(ISERROR(FIND("Count",$A7)),UPPER(RIGHT([1]!GetExtension(A7),LEN([1]!GetExtension(A7))-1)),"")</f>
        <v>CS</v>
      </c>
      <c r="F7" s="36">
        <f>[1]!dtmFileDateInfo(A7)</f>
        <v>42004.162303240744</v>
      </c>
      <c r="G7" s="37">
        <f>[1]!lngFileSize(A7)</f>
        <v>24519</v>
      </c>
      <c r="H7" s="40" t="str">
        <f>[1]!GetFolder(A7)</f>
        <v>C:\Users\DAVE\Documents\Visual Studio 2013\Projects\NOLANB\DataEaseDirectoryReader\DataEase</v>
      </c>
      <c r="I7" s="38" t="s">
        <v>168</v>
      </c>
    </row>
    <row r="8" spans="1:9" outlineLevel="1" x14ac:dyDescent="0.25">
      <c r="A8" s="52" t="s">
        <v>345</v>
      </c>
      <c r="B8" s="34">
        <f>SUBTOTAL(3,B7:B7)</f>
        <v>1</v>
      </c>
      <c r="C8" s="39"/>
      <c r="D8" s="34"/>
      <c r="E8" s="35"/>
      <c r="F8" s="36"/>
      <c r="G8" s="37"/>
      <c r="H8" s="40"/>
      <c r="I8" s="38"/>
    </row>
    <row r="9" spans="1:9" outlineLevel="2" x14ac:dyDescent="0.25">
      <c r="A9" s="51" t="s">
        <v>291</v>
      </c>
      <c r="B9" s="34">
        <v>203</v>
      </c>
      <c r="C9" s="39" t="s">
        <v>292</v>
      </c>
      <c r="D9" s="34" t="str">
        <f>[1]!GetFile(A9)</f>
        <v>BinaryRecordBuffer.cs</v>
      </c>
      <c r="E9" s="35" t="str">
        <f>IF(ISERROR(FIND("Count",$A9)),UPPER(RIGHT([1]!GetExtension(A9),LEN([1]!GetExtension(A9))-1)),"")</f>
        <v>CS</v>
      </c>
      <c r="F9" s="36">
        <f>[1]!dtmFileDateInfo(A9)</f>
        <v>41847.495671296296</v>
      </c>
      <c r="G9" s="37">
        <f>[1]!lngFileSize(A9)</f>
        <v>30164</v>
      </c>
      <c r="H9" s="40" t="str">
        <f>[1]!GetFolder(A9)</f>
        <v>C:\Users\DAVE\Documents\Visual Studio 2013\Projects\NOLANB\DataEaseDirectoryReader\WizardWrx.BinaryIO</v>
      </c>
      <c r="I9" s="38" t="s">
        <v>168</v>
      </c>
    </row>
    <row r="10" spans="1:9" outlineLevel="2" x14ac:dyDescent="0.25">
      <c r="A10" s="51" t="s">
        <v>291</v>
      </c>
      <c r="B10" s="34">
        <v>256</v>
      </c>
      <c r="C10" s="39" t="s">
        <v>292</v>
      </c>
      <c r="D10" s="34" t="str">
        <f>[1]!GetFile(A10)</f>
        <v>BinaryRecordBuffer.cs</v>
      </c>
      <c r="E10" s="35" t="str">
        <f>IF(ISERROR(FIND("Count",$A10)),UPPER(RIGHT([1]!GetExtension(A10),LEN([1]!GetExtension(A10))-1)),"")</f>
        <v>CS</v>
      </c>
      <c r="F10" s="36">
        <f>[1]!dtmFileDateInfo(A10)</f>
        <v>41847.495671296296</v>
      </c>
      <c r="G10" s="37">
        <f>[1]!lngFileSize(A10)</f>
        <v>30164</v>
      </c>
      <c r="H10" s="40" t="str">
        <f>[1]!GetFolder(A10)</f>
        <v>C:\Users\DAVE\Documents\Visual Studio 2013\Projects\NOLANB\DataEaseDirectoryReader\WizardWrx.BinaryIO</v>
      </c>
      <c r="I10" s="38" t="s">
        <v>168</v>
      </c>
    </row>
    <row r="11" spans="1:9" outlineLevel="1" x14ac:dyDescent="0.25">
      <c r="A11" s="52" t="s">
        <v>346</v>
      </c>
      <c r="B11" s="34">
        <f>SUBTOTAL(3,B9:B10)</f>
        <v>2</v>
      </c>
      <c r="C11" s="39"/>
      <c r="D11" s="34"/>
      <c r="E11" s="35"/>
      <c r="F11" s="36"/>
      <c r="G11" s="37"/>
      <c r="H11" s="40"/>
      <c r="I11" s="38"/>
    </row>
    <row r="12" spans="1:9" outlineLevel="2" x14ac:dyDescent="0.25">
      <c r="A12" s="51" t="s">
        <v>247</v>
      </c>
      <c r="B12" s="34">
        <v>858</v>
      </c>
      <c r="C12" s="39" t="s">
        <v>246</v>
      </c>
      <c r="D12" s="34" t="str">
        <f>[1]!GetFile(A12)</f>
        <v>TableDrivenConversionEngine.cs</v>
      </c>
      <c r="E12" s="35" t="str">
        <f>IF(ISERROR(FIND("Count",$A12)),UPPER(RIGHT([1]!GetExtension(A12),LEN([1]!GetExtension(A12))-1)),"")</f>
        <v>CS</v>
      </c>
      <c r="F12" s="36">
        <f>[1]!dtmFileDateInfo(A12)</f>
        <v>42004.152083333334</v>
      </c>
      <c r="G12" s="37">
        <f>[1]!lngFileSize(A12)</f>
        <v>127438</v>
      </c>
      <c r="H12" s="40" t="str">
        <f>[1]!GetFolder(A12)</f>
        <v>C:\Users\DAVE\Documents\Visual Studio 2013\Projects\NOLANB\DataEaseDirectoryReader\WizardWrx.BinaryIO</v>
      </c>
      <c r="I12" s="38" t="s">
        <v>168</v>
      </c>
    </row>
    <row r="13" spans="1:9" outlineLevel="2" x14ac:dyDescent="0.25">
      <c r="A13" s="51" t="s">
        <v>247</v>
      </c>
      <c r="B13" s="34">
        <v>881</v>
      </c>
      <c r="C13" s="39" t="s">
        <v>293</v>
      </c>
      <c r="D13" s="34" t="str">
        <f>[1]!GetFile(A13)</f>
        <v>TableDrivenConversionEngine.cs</v>
      </c>
      <c r="E13" s="35" t="str">
        <f>IF(ISERROR(FIND("Count",$A13)),UPPER(RIGHT([1]!GetExtension(A13),LEN([1]!GetExtension(A13))-1)),"")</f>
        <v>CS</v>
      </c>
      <c r="F13" s="36">
        <f>[1]!dtmFileDateInfo(A13)</f>
        <v>42004.152083333334</v>
      </c>
      <c r="G13" s="37">
        <f>[1]!lngFileSize(A13)</f>
        <v>127438</v>
      </c>
      <c r="H13" s="40" t="str">
        <f>[1]!GetFolder(A13)</f>
        <v>C:\Users\DAVE\Documents\Visual Studio 2013\Projects\NOLANB\DataEaseDirectoryReader\WizardWrx.BinaryIO</v>
      </c>
      <c r="I13" s="38" t="s">
        <v>168</v>
      </c>
    </row>
    <row r="14" spans="1:9" outlineLevel="2" x14ac:dyDescent="0.25">
      <c r="A14" s="51" t="s">
        <v>247</v>
      </c>
      <c r="B14" s="34">
        <v>912</v>
      </c>
      <c r="C14" s="39" t="s">
        <v>246</v>
      </c>
      <c r="D14" s="34" t="str">
        <f>[1]!GetFile(A14)</f>
        <v>TableDrivenConversionEngine.cs</v>
      </c>
      <c r="E14" s="35" t="str">
        <f>IF(ISERROR(FIND("Count",$A14)),UPPER(RIGHT([1]!GetExtension(A14),LEN([1]!GetExtension(A14))-1)),"")</f>
        <v>CS</v>
      </c>
      <c r="F14" s="36">
        <f>[1]!dtmFileDateInfo(A14)</f>
        <v>42004.152083333334</v>
      </c>
      <c r="G14" s="37">
        <f>[1]!lngFileSize(A14)</f>
        <v>127438</v>
      </c>
      <c r="H14" s="40" t="str">
        <f>[1]!GetFolder(A14)</f>
        <v>C:\Users\DAVE\Documents\Visual Studio 2013\Projects\NOLANB\DataEaseDirectoryReader\WizardWrx.BinaryIO</v>
      </c>
      <c r="I14" s="38" t="s">
        <v>168</v>
      </c>
    </row>
    <row r="15" spans="1:9" outlineLevel="2" x14ac:dyDescent="0.25">
      <c r="A15" s="51" t="s">
        <v>247</v>
      </c>
      <c r="B15" s="34">
        <v>942</v>
      </c>
      <c r="C15" s="39" t="s">
        <v>293</v>
      </c>
      <c r="D15" s="34" t="str">
        <f>[1]!GetFile(A15)</f>
        <v>TableDrivenConversionEngine.cs</v>
      </c>
      <c r="E15" s="35" t="str">
        <f>IF(ISERROR(FIND("Count",$A15)),UPPER(RIGHT([1]!GetExtension(A15),LEN([1]!GetExtension(A15))-1)),"")</f>
        <v>CS</v>
      </c>
      <c r="F15" s="36">
        <f>[1]!dtmFileDateInfo(A15)</f>
        <v>42004.152083333334</v>
      </c>
      <c r="G15" s="37">
        <f>[1]!lngFileSize(A15)</f>
        <v>127438</v>
      </c>
      <c r="H15" s="40" t="str">
        <f>[1]!GetFolder(A15)</f>
        <v>C:\Users\DAVE\Documents\Visual Studio 2013\Projects\NOLANB\DataEaseDirectoryReader\WizardWrx.BinaryIO</v>
      </c>
      <c r="I15" s="38" t="s">
        <v>168</v>
      </c>
    </row>
    <row r="16" spans="1:9" outlineLevel="2" x14ac:dyDescent="0.25">
      <c r="A16" s="51" t="s">
        <v>247</v>
      </c>
      <c r="B16" s="34">
        <v>975</v>
      </c>
      <c r="C16" s="39" t="s">
        <v>246</v>
      </c>
      <c r="D16" s="34" t="str">
        <f>[1]!GetFile(A16)</f>
        <v>TableDrivenConversionEngine.cs</v>
      </c>
      <c r="E16" s="35" t="str">
        <f>IF(ISERROR(FIND("Count",$A16)),UPPER(RIGHT([1]!GetExtension(A16),LEN([1]!GetExtension(A16))-1)),"")</f>
        <v>CS</v>
      </c>
      <c r="F16" s="36">
        <f>[1]!dtmFileDateInfo(A16)</f>
        <v>42004.152083333334</v>
      </c>
      <c r="G16" s="37">
        <f>[1]!lngFileSize(A16)</f>
        <v>127438</v>
      </c>
      <c r="H16" s="40" t="str">
        <f>[1]!GetFolder(A16)</f>
        <v>C:\Users\DAVE\Documents\Visual Studio 2013\Projects\NOLANB\DataEaseDirectoryReader\WizardWrx.BinaryIO</v>
      </c>
      <c r="I16" s="38" t="s">
        <v>168</v>
      </c>
    </row>
    <row r="17" spans="1:9" outlineLevel="2" x14ac:dyDescent="0.25">
      <c r="A17" s="51" t="s">
        <v>247</v>
      </c>
      <c r="B17" s="34">
        <v>1011</v>
      </c>
      <c r="C17" s="39" t="s">
        <v>293</v>
      </c>
      <c r="D17" s="34" t="str">
        <f>[1]!GetFile(A17)</f>
        <v>TableDrivenConversionEngine.cs</v>
      </c>
      <c r="E17" s="35" t="str">
        <f>IF(ISERROR(FIND("Count",$A17)),UPPER(RIGHT([1]!GetExtension(A17),LEN([1]!GetExtension(A17))-1)),"")</f>
        <v>CS</v>
      </c>
      <c r="F17" s="36">
        <f>[1]!dtmFileDateInfo(A17)</f>
        <v>42004.152083333334</v>
      </c>
      <c r="G17" s="37">
        <f>[1]!lngFileSize(A17)</f>
        <v>127438</v>
      </c>
      <c r="H17" s="40" t="str">
        <f>[1]!GetFolder(A17)</f>
        <v>C:\Users\DAVE\Documents\Visual Studio 2013\Projects\NOLANB\DataEaseDirectoryReader\WizardWrx.BinaryIO</v>
      </c>
      <c r="I17" s="38" t="s">
        <v>168</v>
      </c>
    </row>
    <row r="18" spans="1:9" outlineLevel="2" x14ac:dyDescent="0.25">
      <c r="A18" s="51" t="s">
        <v>247</v>
      </c>
      <c r="B18" s="34">
        <v>1983</v>
      </c>
      <c r="C18" s="39" t="s">
        <v>292</v>
      </c>
      <c r="D18" s="34" t="str">
        <f>[1]!GetFile(A18)</f>
        <v>TableDrivenConversionEngine.cs</v>
      </c>
      <c r="E18" s="35" t="str">
        <f>IF(ISERROR(FIND("Count",$A18)),UPPER(RIGHT([1]!GetExtension(A18),LEN([1]!GetExtension(A18))-1)),"")</f>
        <v>CS</v>
      </c>
      <c r="F18" s="36">
        <f>[1]!dtmFileDateInfo(A18)</f>
        <v>42004.152083333334</v>
      </c>
      <c r="G18" s="37">
        <f>[1]!lngFileSize(A18)</f>
        <v>127438</v>
      </c>
      <c r="H18" s="40" t="str">
        <f>[1]!GetFolder(A18)</f>
        <v>C:\Users\DAVE\Documents\Visual Studio 2013\Projects\NOLANB\DataEaseDirectoryReader\WizardWrx.BinaryIO</v>
      </c>
      <c r="I18" s="38" t="s">
        <v>168</v>
      </c>
    </row>
    <row r="19" spans="1:9" outlineLevel="2" x14ac:dyDescent="0.25">
      <c r="A19" s="51" t="s">
        <v>247</v>
      </c>
      <c r="B19" s="34">
        <v>2012</v>
      </c>
      <c r="C19" s="39" t="s">
        <v>246</v>
      </c>
      <c r="D19" s="34" t="str">
        <f>[1]!GetFile(A19)</f>
        <v>TableDrivenConversionEngine.cs</v>
      </c>
      <c r="E19" s="35" t="str">
        <f>IF(ISERROR(FIND("Count",$A19)),UPPER(RIGHT([1]!GetExtension(A19),LEN([1]!GetExtension(A19))-1)),"")</f>
        <v>CS</v>
      </c>
      <c r="F19" s="36">
        <f>[1]!dtmFileDateInfo(A19)</f>
        <v>42004.152083333334</v>
      </c>
      <c r="G19" s="37">
        <f>[1]!lngFileSize(A19)</f>
        <v>127438</v>
      </c>
      <c r="H19" s="40" t="str">
        <f>[1]!GetFolder(A19)</f>
        <v>C:\Users\DAVE\Documents\Visual Studio 2013\Projects\NOLANB\DataEaseDirectoryReader\WizardWrx.BinaryIO</v>
      </c>
      <c r="I19" s="38" t="s">
        <v>168</v>
      </c>
    </row>
    <row r="20" spans="1:9" outlineLevel="2" x14ac:dyDescent="0.25">
      <c r="A20" s="51" t="s">
        <v>247</v>
      </c>
      <c r="B20" s="34">
        <v>2092</v>
      </c>
      <c r="C20" s="39" t="s">
        <v>292</v>
      </c>
      <c r="D20" s="34" t="str">
        <f>[1]!GetFile(A20)</f>
        <v>TableDrivenConversionEngine.cs</v>
      </c>
      <c r="E20" s="35" t="str">
        <f>IF(ISERROR(FIND("Count",$A20)),UPPER(RIGHT([1]!GetExtension(A20),LEN([1]!GetExtension(A20))-1)),"")</f>
        <v>CS</v>
      </c>
      <c r="F20" s="36">
        <f>[1]!dtmFileDateInfo(A20)</f>
        <v>42004.152083333334</v>
      </c>
      <c r="G20" s="37">
        <f>[1]!lngFileSize(A20)</f>
        <v>127438</v>
      </c>
      <c r="H20" s="40" t="str">
        <f>[1]!GetFolder(A20)</f>
        <v>C:\Users\DAVE\Documents\Visual Studio 2013\Projects\NOLANB\DataEaseDirectoryReader\WizardWrx.BinaryIO</v>
      </c>
      <c r="I20" s="38" t="s">
        <v>168</v>
      </c>
    </row>
    <row r="21" spans="1:9" outlineLevel="2" x14ac:dyDescent="0.25">
      <c r="A21" s="51" t="s">
        <v>247</v>
      </c>
      <c r="B21" s="34">
        <v>2633</v>
      </c>
      <c r="C21" s="39" t="s">
        <v>292</v>
      </c>
      <c r="D21" s="34" t="str">
        <f>[1]!GetFile(A21)</f>
        <v>TableDrivenConversionEngine.cs</v>
      </c>
      <c r="E21" s="35" t="str">
        <f>IF(ISERROR(FIND("Count",$A21)),UPPER(RIGHT([1]!GetExtension(A21),LEN([1]!GetExtension(A21))-1)),"")</f>
        <v>CS</v>
      </c>
      <c r="F21" s="36">
        <f>[1]!dtmFileDateInfo(A21)</f>
        <v>42004.152083333334</v>
      </c>
      <c r="G21" s="37">
        <f>[1]!lngFileSize(A21)</f>
        <v>127438</v>
      </c>
      <c r="H21" s="40" t="str">
        <f>[1]!GetFolder(A21)</f>
        <v>C:\Users\DAVE\Documents\Visual Studio 2013\Projects\NOLANB\DataEaseDirectoryReader\WizardWrx.BinaryIO</v>
      </c>
      <c r="I21" s="38" t="s">
        <v>168</v>
      </c>
    </row>
    <row r="22" spans="1:9" outlineLevel="2" x14ac:dyDescent="0.25">
      <c r="A22" s="51" t="s">
        <v>247</v>
      </c>
      <c r="B22" s="34">
        <v>2670</v>
      </c>
      <c r="C22" s="39" t="s">
        <v>246</v>
      </c>
      <c r="D22" s="34" t="str">
        <f>[1]!GetFile(A22)</f>
        <v>TableDrivenConversionEngine.cs</v>
      </c>
      <c r="E22" s="35" t="str">
        <f>IF(ISERROR(FIND("Count",$A22)),UPPER(RIGHT([1]!GetExtension(A22),LEN([1]!GetExtension(A22))-1)),"")</f>
        <v>CS</v>
      </c>
      <c r="F22" s="36">
        <f>[1]!dtmFileDateInfo(A22)</f>
        <v>42004.152083333334</v>
      </c>
      <c r="G22" s="37">
        <f>[1]!lngFileSize(A22)</f>
        <v>127438</v>
      </c>
      <c r="H22" s="40" t="str">
        <f>[1]!GetFolder(A22)</f>
        <v>C:\Users\DAVE\Documents\Visual Studio 2013\Projects\NOLANB\DataEaseDirectoryReader\WizardWrx.BinaryIO</v>
      </c>
      <c r="I22" s="38" t="s">
        <v>168</v>
      </c>
    </row>
    <row r="23" spans="1:9" outlineLevel="2" x14ac:dyDescent="0.25">
      <c r="A23" s="51" t="s">
        <v>247</v>
      </c>
      <c r="B23" s="34">
        <v>2707</v>
      </c>
      <c r="C23" s="39" t="s">
        <v>246</v>
      </c>
      <c r="D23" s="34" t="str">
        <f>[1]!GetFile(A23)</f>
        <v>TableDrivenConversionEngine.cs</v>
      </c>
      <c r="E23" s="35" t="str">
        <f>IF(ISERROR(FIND("Count",$A23)),UPPER(RIGHT([1]!GetExtension(A23),LEN([1]!GetExtension(A23))-1)),"")</f>
        <v>CS</v>
      </c>
      <c r="F23" s="36">
        <f>[1]!dtmFileDateInfo(A23)</f>
        <v>42004.152083333334</v>
      </c>
      <c r="G23" s="37">
        <f>[1]!lngFileSize(A23)</f>
        <v>127438</v>
      </c>
      <c r="H23" s="40" t="str">
        <f>[1]!GetFolder(A23)</f>
        <v>C:\Users\DAVE\Documents\Visual Studio 2013\Projects\NOLANB\DataEaseDirectoryReader\WizardWrx.BinaryIO</v>
      </c>
      <c r="I23" s="38" t="s">
        <v>168</v>
      </c>
    </row>
    <row r="24" spans="1:9" outlineLevel="1" x14ac:dyDescent="0.25">
      <c r="A24" s="52" t="s">
        <v>347</v>
      </c>
      <c r="B24" s="34">
        <f>SUBTOTAL(3,B12:B23)</f>
        <v>12</v>
      </c>
      <c r="C24" s="39"/>
      <c r="D24" s="34"/>
      <c r="E24" s="35"/>
      <c r="F24" s="36"/>
      <c r="G24" s="37"/>
      <c r="H24" s="40"/>
      <c r="I24" s="38"/>
    </row>
    <row r="25" spans="1:9" outlineLevel="2" x14ac:dyDescent="0.25">
      <c r="A25" s="51" t="s">
        <v>294</v>
      </c>
      <c r="B25" s="34">
        <v>124</v>
      </c>
      <c r="C25" s="39" t="s">
        <v>290</v>
      </c>
      <c r="D25" s="34" t="str">
        <f>[1]!GetFile(A25)</f>
        <v>MatchItem.cs</v>
      </c>
      <c r="E25" s="35" t="str">
        <f>IF(ISERROR(FIND("Count",$A25)),UPPER(RIGHT([1]!GetExtension(A25),LEN([1]!GetExtension(A25))-1)),"")</f>
        <v>CS</v>
      </c>
      <c r="F25" s="36">
        <f>[1]!dtmFileDateInfo(A25)</f>
        <v>41965.141770833332</v>
      </c>
      <c r="G25" s="37">
        <f>[1]!lngFileSize(A25)</f>
        <v>11553</v>
      </c>
      <c r="H25" s="40" t="str">
        <f>[1]!GetFolder(A25)</f>
        <v>C:\Users\DAVE\Documents\Visual Studio 2013\Projects\NOLANB\EZPayFileMonitor\EZPayFileMonitor</v>
      </c>
      <c r="I25" s="38" t="s">
        <v>167</v>
      </c>
    </row>
    <row r="26" spans="1:9" outlineLevel="1" x14ac:dyDescent="0.25">
      <c r="A26" s="52" t="s">
        <v>348</v>
      </c>
      <c r="B26" s="34">
        <f>SUBTOTAL(3,B25:B25)</f>
        <v>1</v>
      </c>
      <c r="C26" s="39"/>
      <c r="D26" s="34"/>
      <c r="E26" s="35"/>
      <c r="F26" s="36"/>
      <c r="G26" s="37"/>
      <c r="H26" s="40"/>
      <c r="I26" s="38"/>
    </row>
    <row r="27" spans="1:9" outlineLevel="2" x14ac:dyDescent="0.25">
      <c r="A27" s="51" t="s">
        <v>295</v>
      </c>
      <c r="B27" s="34">
        <v>528</v>
      </c>
      <c r="C27" s="39" t="s">
        <v>290</v>
      </c>
      <c r="D27" s="34" t="str">
        <f>[1]!GetFile(A27)</f>
        <v>Util.cs</v>
      </c>
      <c r="E27" s="35" t="str">
        <f>IF(ISERROR(FIND("Count",$A27)),UPPER(RIGHT([1]!GetExtension(A27),LEN([1]!GetExtension(A27))-1)),"")</f>
        <v>CS</v>
      </c>
      <c r="F27" s="36">
        <f>[1]!dtmFileDateInfo(A27)</f>
        <v>41885.639120370368</v>
      </c>
      <c r="G27" s="37">
        <f>[1]!lngFileSize(A27)</f>
        <v>25166</v>
      </c>
      <c r="H27" s="40" t="str">
        <f>[1]!GetFolder(A27)</f>
        <v>C:\Users\DAVE\Documents\Visual Studio 2013\Projects\NOLANB\EZXFER_Cloud_Manager\EZXFER_Cloud_Manager</v>
      </c>
      <c r="I27" s="38" t="s">
        <v>167</v>
      </c>
    </row>
    <row r="28" spans="1:9" outlineLevel="1" x14ac:dyDescent="0.25">
      <c r="A28" s="52" t="s">
        <v>349</v>
      </c>
      <c r="B28" s="34">
        <f>SUBTOTAL(3,B27:B27)</f>
        <v>1</v>
      </c>
      <c r="C28" s="39"/>
      <c r="D28" s="34"/>
      <c r="E28" s="35"/>
      <c r="F28" s="36"/>
      <c r="G28" s="37"/>
      <c r="H28" s="40"/>
      <c r="I28" s="38"/>
    </row>
    <row r="29" spans="1:9" outlineLevel="2" x14ac:dyDescent="0.25">
      <c r="A29" s="51" t="s">
        <v>296</v>
      </c>
      <c r="B29" s="34">
        <v>130</v>
      </c>
      <c r="C29" s="39" t="s">
        <v>297</v>
      </c>
      <c r="D29" s="34" t="str">
        <f>[1]!GetFile(A29)</f>
        <v>Logbase_Master_Out.cs</v>
      </c>
      <c r="E29" s="35" t="str">
        <f>IF(ISERROR(FIND("Count",$A29)),UPPER(RIGHT([1]!GetExtension(A29),LEN([1]!GetExtension(A29))-1)),"")</f>
        <v>CS</v>
      </c>
      <c r="F29" s="36">
        <f>[1]!dtmFileDateInfo(A29)</f>
        <v>41851.816759259258</v>
      </c>
      <c r="G29" s="37">
        <f>[1]!lngFileSize(A29)</f>
        <v>6209</v>
      </c>
      <c r="H29" s="40" t="str">
        <f>[1]!GetFolder(A29)</f>
        <v>C:\Users\DAVE\Documents\Visual Studio 2013\Projects\NOLANB\LogBasePruner\LogBasePruner</v>
      </c>
      <c r="I29" s="38" t="s">
        <v>167</v>
      </c>
    </row>
    <row r="30" spans="1:9" outlineLevel="1" x14ac:dyDescent="0.25">
      <c r="A30" s="52" t="s">
        <v>350</v>
      </c>
      <c r="B30" s="34">
        <f>SUBTOTAL(3,B29:B29)</f>
        <v>1</v>
      </c>
      <c r="C30" s="39"/>
      <c r="D30" s="34"/>
      <c r="E30" s="35"/>
      <c r="F30" s="36"/>
      <c r="G30" s="37"/>
      <c r="H30" s="40"/>
      <c r="I30" s="38"/>
    </row>
    <row r="31" spans="1:9" outlineLevel="2" x14ac:dyDescent="0.25">
      <c r="A31" s="51" t="s">
        <v>50</v>
      </c>
      <c r="B31" s="34">
        <v>83</v>
      </c>
      <c r="C31" s="39" t="s">
        <v>249</v>
      </c>
      <c r="D31" s="34" t="str">
        <f>[1]!GetFile(A31)</f>
        <v>ZZ_DirectoryImport.cs</v>
      </c>
      <c r="E31" s="35" t="str">
        <f>IF(ISERROR(FIND("Count",$A31)),UPPER(RIGHT([1]!GetExtension(A31),LEN([1]!GetExtension(A31))-1)),"")</f>
        <v>CS</v>
      </c>
      <c r="F31" s="36">
        <f>[1]!dtmFileDateInfo(A31)</f>
        <v>42004.920497685183</v>
      </c>
      <c r="G31" s="37">
        <f>[1]!lngFileSize(A31)</f>
        <v>7648</v>
      </c>
      <c r="H31" s="40" t="str">
        <f>[1]!GetFolder(A31)</f>
        <v>C:\Users\DAVE\Documents\Visual Studio 2013\Projects\NOLANB\ZZRdInts\ZZRdInts</v>
      </c>
      <c r="I31" s="38" t="s">
        <v>167</v>
      </c>
    </row>
    <row r="32" spans="1:9" outlineLevel="2" x14ac:dyDescent="0.25">
      <c r="A32" s="51" t="s">
        <v>50</v>
      </c>
      <c r="B32" s="34">
        <v>94</v>
      </c>
      <c r="C32" s="39" t="s">
        <v>249</v>
      </c>
      <c r="D32" s="34" t="str">
        <f>[1]!GetFile(A32)</f>
        <v>ZZ_DirectoryImport.cs</v>
      </c>
      <c r="E32" s="35" t="str">
        <f>IF(ISERROR(FIND("Count",$A32)),UPPER(RIGHT([1]!GetExtension(A32),LEN([1]!GetExtension(A32))-1)),"")</f>
        <v>CS</v>
      </c>
      <c r="F32" s="36">
        <f>[1]!dtmFileDateInfo(A32)</f>
        <v>42004.920497685183</v>
      </c>
      <c r="G32" s="37">
        <f>[1]!lngFileSize(A32)</f>
        <v>7648</v>
      </c>
      <c r="H32" s="40" t="str">
        <f>[1]!GetFolder(A32)</f>
        <v>C:\Users\DAVE\Documents\Visual Studio 2013\Projects\NOLANB\ZZRdInts\ZZRdInts</v>
      </c>
      <c r="I32" s="38" t="s">
        <v>167</v>
      </c>
    </row>
    <row r="33" spans="1:9" outlineLevel="1" x14ac:dyDescent="0.25">
      <c r="A33" s="52" t="s">
        <v>149</v>
      </c>
      <c r="B33" s="34">
        <f>SUBTOTAL(3,B31:B32)</f>
        <v>2</v>
      </c>
      <c r="C33" s="39"/>
      <c r="D33" s="34"/>
      <c r="E33" s="35"/>
      <c r="F33" s="36"/>
      <c r="G33" s="37"/>
      <c r="H33" s="40"/>
      <c r="I33" s="38"/>
    </row>
    <row r="34" spans="1:9" outlineLevel="2" x14ac:dyDescent="0.25">
      <c r="A34" s="51" t="s">
        <v>298</v>
      </c>
      <c r="B34" s="34">
        <v>95</v>
      </c>
      <c r="C34" s="39" t="s">
        <v>293</v>
      </c>
      <c r="D34" s="34" t="str">
        <f>[1]!GetFile(A34)</f>
        <v>ZZ_FormsImport.cs</v>
      </c>
      <c r="E34" s="35" t="str">
        <f>IF(ISERROR(FIND("Count",$A34)),UPPER(RIGHT([1]!GetExtension(A34),LEN([1]!GetExtension(A34))-1)),"")</f>
        <v>CS</v>
      </c>
      <c r="F34" s="36">
        <f>[1]!dtmFileDateInfo(A34)</f>
        <v>42004.927060185182</v>
      </c>
      <c r="G34" s="37">
        <f>[1]!lngFileSize(A34)</f>
        <v>11527</v>
      </c>
      <c r="H34" s="40" t="str">
        <f>[1]!GetFolder(A34)</f>
        <v>C:\Users\DAVE\Documents\Visual Studio 2013\Projects\NOLANB\ZZRdInts\ZZRdInts</v>
      </c>
      <c r="I34" s="38" t="s">
        <v>167</v>
      </c>
    </row>
    <row r="35" spans="1:9" outlineLevel="2" x14ac:dyDescent="0.25">
      <c r="A35" s="51" t="s">
        <v>298</v>
      </c>
      <c r="B35" s="34">
        <v>102</v>
      </c>
      <c r="C35" s="39" t="s">
        <v>246</v>
      </c>
      <c r="D35" s="34" t="str">
        <f>[1]!GetFile(A35)</f>
        <v>ZZ_FormsImport.cs</v>
      </c>
      <c r="E35" s="35" t="str">
        <f>IF(ISERROR(FIND("Count",$A35)),UPPER(RIGHT([1]!GetExtension(A35),LEN([1]!GetExtension(A35))-1)),"")</f>
        <v>CS</v>
      </c>
      <c r="F35" s="36">
        <f>[1]!dtmFileDateInfo(A35)</f>
        <v>42004.927060185182</v>
      </c>
      <c r="G35" s="37">
        <f>[1]!lngFileSize(A35)</f>
        <v>11527</v>
      </c>
      <c r="H35" s="40" t="str">
        <f>[1]!GetFolder(A35)</f>
        <v>C:\Users\DAVE\Documents\Visual Studio 2013\Projects\NOLANB\ZZRdInts\ZZRdInts</v>
      </c>
      <c r="I35" s="38" t="s">
        <v>167</v>
      </c>
    </row>
    <row r="36" spans="1:9" outlineLevel="1" x14ac:dyDescent="0.25">
      <c r="A36" s="52" t="s">
        <v>351</v>
      </c>
      <c r="B36" s="34">
        <f>SUBTOTAL(3,B34:B35)</f>
        <v>2</v>
      </c>
      <c r="C36" s="39"/>
      <c r="D36" s="34"/>
      <c r="E36" s="35"/>
      <c r="F36" s="36"/>
      <c r="G36" s="37"/>
      <c r="H36" s="40"/>
      <c r="I36" s="38"/>
    </row>
    <row r="37" spans="1:9" outlineLevel="2" x14ac:dyDescent="0.25">
      <c r="A37" s="51" t="s">
        <v>299</v>
      </c>
      <c r="B37" s="34">
        <v>91</v>
      </c>
      <c r="C37" s="39" t="s">
        <v>293</v>
      </c>
      <c r="D37" s="34" t="str">
        <f>[1]!GetFile(A37)</f>
        <v>ZZ_ProcImport.cs</v>
      </c>
      <c r="E37" s="35" t="str">
        <f>IF(ISERROR(FIND("Count",$A37)),UPPER(RIGHT([1]!GetExtension(A37),LEN([1]!GetExtension(A37))-1)),"")</f>
        <v>CS</v>
      </c>
      <c r="F37" s="36">
        <f>[1]!dtmFileDateInfo(A37)</f>
        <v>42004.927048611113</v>
      </c>
      <c r="G37" s="37">
        <f>[1]!lngFileSize(A37)</f>
        <v>6987</v>
      </c>
      <c r="H37" s="40" t="str">
        <f>[1]!GetFolder(A37)</f>
        <v>C:\Users\DAVE\Documents\Visual Studio 2013\Projects\NOLANB\ZZRdInts\ZZRdInts</v>
      </c>
      <c r="I37" s="38" t="s">
        <v>167</v>
      </c>
    </row>
    <row r="38" spans="1:9" outlineLevel="2" x14ac:dyDescent="0.25">
      <c r="A38" s="51" t="s">
        <v>299</v>
      </c>
      <c r="B38" s="34">
        <v>98</v>
      </c>
      <c r="C38" s="39" t="s">
        <v>246</v>
      </c>
      <c r="D38" s="34" t="str">
        <f>[1]!GetFile(A38)</f>
        <v>ZZ_ProcImport.cs</v>
      </c>
      <c r="E38" s="35" t="str">
        <f>IF(ISERROR(FIND("Count",$A38)),UPPER(RIGHT([1]!GetExtension(A38),LEN([1]!GetExtension(A38))-1)),"")</f>
        <v>CS</v>
      </c>
      <c r="F38" s="36">
        <f>[1]!dtmFileDateInfo(A38)</f>
        <v>42004.927048611113</v>
      </c>
      <c r="G38" s="37">
        <f>[1]!lngFileSize(A38)</f>
        <v>6987</v>
      </c>
      <c r="H38" s="40" t="str">
        <f>[1]!GetFolder(A38)</f>
        <v>C:\Users\DAVE\Documents\Visual Studio 2013\Projects\NOLANB\ZZRdInts\ZZRdInts</v>
      </c>
      <c r="I38" s="38" t="s">
        <v>167</v>
      </c>
    </row>
    <row r="39" spans="1:9" outlineLevel="1" x14ac:dyDescent="0.25">
      <c r="A39" s="52" t="s">
        <v>352</v>
      </c>
      <c r="B39" s="34">
        <f>SUBTOTAL(3,B37:B38)</f>
        <v>2</v>
      </c>
      <c r="C39" s="39"/>
      <c r="D39" s="34"/>
      <c r="E39" s="35"/>
      <c r="F39" s="36"/>
      <c r="G39" s="37"/>
      <c r="H39" s="40"/>
      <c r="I39" s="38"/>
    </row>
    <row r="40" spans="1:9" outlineLevel="2" x14ac:dyDescent="0.25">
      <c r="A40" s="51" t="s">
        <v>300</v>
      </c>
      <c r="B40" s="34">
        <v>498</v>
      </c>
      <c r="C40" s="39" t="s">
        <v>301</v>
      </c>
      <c r="D40" s="34" t="str">
        <f>[1]!GetFile(A40)</f>
        <v>AssemblyPropertyViewer.CS</v>
      </c>
      <c r="E40" s="35" t="str">
        <f>IF(ISERROR(FIND("Count",$A40)),UPPER(RIGHT([1]!GetExtension(A40),LEN([1]!GetExtension(A40))-1)),"")</f>
        <v>CS</v>
      </c>
      <c r="F40" s="36">
        <f>[1]!dtmFileDateInfo(A40)</f>
        <v>40480.858449074076</v>
      </c>
      <c r="G40" s="37">
        <f>[1]!lngFileSize(A40)</f>
        <v>40016</v>
      </c>
      <c r="H40" s="40" t="str">
        <f>[1]!GetFolder(A40)</f>
        <v>C:\Users\DAVE\Documents\Visual Studio 2013\Projects\WizardWrx_Libs\AssemblyPropertyViewer\AssemblyPropertyViewer</v>
      </c>
      <c r="I40" s="38" t="s">
        <v>167</v>
      </c>
    </row>
    <row r="41" spans="1:9" outlineLevel="1" x14ac:dyDescent="0.25">
      <c r="A41" s="52" t="s">
        <v>353</v>
      </c>
      <c r="B41" s="34">
        <f>SUBTOTAL(3,B40:B40)</f>
        <v>1</v>
      </c>
      <c r="C41" s="39"/>
      <c r="D41" s="34"/>
      <c r="E41" s="35"/>
      <c r="F41" s="36"/>
      <c r="G41" s="37"/>
      <c r="H41" s="40"/>
      <c r="I41" s="38"/>
    </row>
    <row r="42" spans="1:9" outlineLevel="2" x14ac:dyDescent="0.25">
      <c r="A42" s="51" t="s">
        <v>302</v>
      </c>
      <c r="B42" s="34">
        <v>2783</v>
      </c>
      <c r="C42" s="39" t="s">
        <v>303</v>
      </c>
      <c r="D42" s="34" t="str">
        <f>[1]!GetFile(A42)</f>
        <v>CmdLneArgsBasic.cs</v>
      </c>
      <c r="E42" s="35" t="str">
        <f>IF(ISERROR(FIND("Count",$A42)),UPPER(RIGHT([1]!GetExtension(A42),LEN([1]!GetExtension(A42))-1)),"")</f>
        <v>CS</v>
      </c>
      <c r="F42" s="36">
        <f>[1]!dtmFileDateInfo(A42)</f>
        <v>0</v>
      </c>
      <c r="G42" s="37">
        <f>[1]!lngFileSize(A42)</f>
        <v>0</v>
      </c>
      <c r="H42" s="40" t="str">
        <f>[1]!GetFolder(A42)</f>
        <v>C:\Users\DAVE\Documents\Visual Studio 2013\Projects\WizardWrx_Libs\DLLServices2\DLLServices2</v>
      </c>
      <c r="I42" s="38" t="s">
        <v>168</v>
      </c>
    </row>
    <row r="43" spans="1:9" outlineLevel="1" x14ac:dyDescent="0.25">
      <c r="A43" s="52" t="s">
        <v>354</v>
      </c>
      <c r="B43" s="34">
        <f>SUBTOTAL(3,B42:B42)</f>
        <v>1</v>
      </c>
      <c r="C43" s="39"/>
      <c r="D43" s="34"/>
      <c r="E43" s="35"/>
      <c r="F43" s="36"/>
      <c r="G43" s="37"/>
      <c r="H43" s="40"/>
      <c r="I43" s="38"/>
    </row>
    <row r="44" spans="1:9" outlineLevel="2" x14ac:dyDescent="0.25">
      <c r="A44" s="51" t="s">
        <v>251</v>
      </c>
      <c r="B44" s="34">
        <v>227</v>
      </c>
      <c r="C44" s="39" t="s">
        <v>252</v>
      </c>
      <c r="D44" s="34" t="str">
        <f>[1]!GetFile(A44)</f>
        <v>FileNameTricks.cs</v>
      </c>
      <c r="E44" s="35" t="str">
        <f>IF(ISERROR(FIND("Count",$A44)),UPPER(RIGHT([1]!GetExtension(A44),LEN([1]!GetExtension(A44))-1)),"")</f>
        <v>CS</v>
      </c>
      <c r="F44" s="36">
        <f>[1]!dtmFileDateInfo(A44)</f>
        <v>0</v>
      </c>
      <c r="G44" s="37">
        <f>[1]!lngFileSize(A44)</f>
        <v>0</v>
      </c>
      <c r="H44" s="40" t="str">
        <f>[1]!GetFolder(A44)</f>
        <v>C:\Users\DAVE\Documents\Visual Studio 2013\Projects\WizardWrx_Libs\DLLServices2\DLLServices2</v>
      </c>
      <c r="I44" s="38" t="s">
        <v>168</v>
      </c>
    </row>
    <row r="45" spans="1:9" outlineLevel="2" x14ac:dyDescent="0.25">
      <c r="A45" s="51" t="s">
        <v>251</v>
      </c>
      <c r="B45" s="34">
        <v>280</v>
      </c>
      <c r="C45" s="39" t="s">
        <v>252</v>
      </c>
      <c r="D45" s="34" t="str">
        <f>[1]!GetFile(A45)</f>
        <v>FileNameTricks.cs</v>
      </c>
      <c r="E45" s="35" t="str">
        <f>IF(ISERROR(FIND("Count",$A45)),UPPER(RIGHT([1]!GetExtension(A45),LEN([1]!GetExtension(A45))-1)),"")</f>
        <v>CS</v>
      </c>
      <c r="F45" s="36">
        <f>[1]!dtmFileDateInfo(A45)</f>
        <v>0</v>
      </c>
      <c r="G45" s="37">
        <f>[1]!lngFileSize(A45)</f>
        <v>0</v>
      </c>
      <c r="H45" s="40" t="str">
        <f>[1]!GetFolder(A45)</f>
        <v>C:\Users\DAVE\Documents\Visual Studio 2013\Projects\WizardWrx_Libs\DLLServices2\DLLServices2</v>
      </c>
      <c r="I45" s="38" t="s">
        <v>168</v>
      </c>
    </row>
    <row r="46" spans="1:9" outlineLevel="2" x14ac:dyDescent="0.25">
      <c r="A46" s="51" t="s">
        <v>251</v>
      </c>
      <c r="B46" s="34">
        <v>285</v>
      </c>
      <c r="C46" s="39" t="s">
        <v>252</v>
      </c>
      <c r="D46" s="34" t="str">
        <f>[1]!GetFile(A46)</f>
        <v>FileNameTricks.cs</v>
      </c>
      <c r="E46" s="35" t="str">
        <f>IF(ISERROR(FIND("Count",$A46)),UPPER(RIGHT([1]!GetExtension(A46),LEN([1]!GetExtension(A46))-1)),"")</f>
        <v>CS</v>
      </c>
      <c r="F46" s="36">
        <f>[1]!dtmFileDateInfo(A46)</f>
        <v>0</v>
      </c>
      <c r="G46" s="37">
        <f>[1]!lngFileSize(A46)</f>
        <v>0</v>
      </c>
      <c r="H46" s="40" t="str">
        <f>[1]!GetFolder(A46)</f>
        <v>C:\Users\DAVE\Documents\Visual Studio 2013\Projects\WizardWrx_Libs\DLLServices2\DLLServices2</v>
      </c>
      <c r="I46" s="38" t="s">
        <v>168</v>
      </c>
    </row>
    <row r="47" spans="1:9" outlineLevel="2" x14ac:dyDescent="0.25">
      <c r="A47" s="51" t="s">
        <v>251</v>
      </c>
      <c r="B47" s="34">
        <v>372</v>
      </c>
      <c r="C47" s="39" t="s">
        <v>252</v>
      </c>
      <c r="D47" s="34" t="str">
        <f>[1]!GetFile(A47)</f>
        <v>FileNameTricks.cs</v>
      </c>
      <c r="E47" s="35" t="str">
        <f>IF(ISERROR(FIND("Count",$A47)),UPPER(RIGHT([1]!GetExtension(A47),LEN([1]!GetExtension(A47))-1)),"")</f>
        <v>CS</v>
      </c>
      <c r="F47" s="36">
        <f>[1]!dtmFileDateInfo(A47)</f>
        <v>0</v>
      </c>
      <c r="G47" s="37">
        <f>[1]!lngFileSize(A47)</f>
        <v>0</v>
      </c>
      <c r="H47" s="40" t="str">
        <f>[1]!GetFolder(A47)</f>
        <v>C:\Users\DAVE\Documents\Visual Studio 2013\Projects\WizardWrx_Libs\DLLServices2\DLLServices2</v>
      </c>
      <c r="I47" s="38" t="s">
        <v>168</v>
      </c>
    </row>
    <row r="48" spans="1:9" outlineLevel="2" x14ac:dyDescent="0.25">
      <c r="A48" s="51" t="s">
        <v>251</v>
      </c>
      <c r="B48" s="34">
        <v>405</v>
      </c>
      <c r="C48" s="39" t="s">
        <v>252</v>
      </c>
      <c r="D48" s="34" t="str">
        <f>[1]!GetFile(A48)</f>
        <v>FileNameTricks.cs</v>
      </c>
      <c r="E48" s="35" t="str">
        <f>IF(ISERROR(FIND("Count",$A48)),UPPER(RIGHT([1]!GetExtension(A48),LEN([1]!GetExtension(A48))-1)),"")</f>
        <v>CS</v>
      </c>
      <c r="F48" s="36">
        <f>[1]!dtmFileDateInfo(A48)</f>
        <v>0</v>
      </c>
      <c r="G48" s="37">
        <f>[1]!lngFileSize(A48)</f>
        <v>0</v>
      </c>
      <c r="H48" s="40" t="str">
        <f>[1]!GetFolder(A48)</f>
        <v>C:\Users\DAVE\Documents\Visual Studio 2013\Projects\WizardWrx_Libs\DLLServices2\DLLServices2</v>
      </c>
      <c r="I48" s="38" t="s">
        <v>168</v>
      </c>
    </row>
    <row r="49" spans="1:9" outlineLevel="2" x14ac:dyDescent="0.25">
      <c r="A49" s="51" t="s">
        <v>251</v>
      </c>
      <c r="B49" s="34">
        <v>434</v>
      </c>
      <c r="C49" s="39" t="s">
        <v>252</v>
      </c>
      <c r="D49" s="34" t="str">
        <f>[1]!GetFile(A49)</f>
        <v>FileNameTricks.cs</v>
      </c>
      <c r="E49" s="35" t="str">
        <f>IF(ISERROR(FIND("Count",$A49)),UPPER(RIGHT([1]!GetExtension(A49),LEN([1]!GetExtension(A49))-1)),"")</f>
        <v>CS</v>
      </c>
      <c r="F49" s="36">
        <f>[1]!dtmFileDateInfo(A49)</f>
        <v>0</v>
      </c>
      <c r="G49" s="37">
        <f>[1]!lngFileSize(A49)</f>
        <v>0</v>
      </c>
      <c r="H49" s="40" t="str">
        <f>[1]!GetFolder(A49)</f>
        <v>C:\Users\DAVE\Documents\Visual Studio 2013\Projects\WizardWrx_Libs\DLLServices2\DLLServices2</v>
      </c>
      <c r="I49" s="38" t="s">
        <v>168</v>
      </c>
    </row>
    <row r="50" spans="1:9" outlineLevel="2" x14ac:dyDescent="0.25">
      <c r="A50" s="51" t="s">
        <v>251</v>
      </c>
      <c r="B50" s="34">
        <v>459</v>
      </c>
      <c r="C50" s="39" t="s">
        <v>252</v>
      </c>
      <c r="D50" s="34" t="str">
        <f>[1]!GetFile(A50)</f>
        <v>FileNameTricks.cs</v>
      </c>
      <c r="E50" s="35" t="str">
        <f>IF(ISERROR(FIND("Count",$A50)),UPPER(RIGHT([1]!GetExtension(A50),LEN([1]!GetExtension(A50))-1)),"")</f>
        <v>CS</v>
      </c>
      <c r="F50" s="36">
        <f>[1]!dtmFileDateInfo(A50)</f>
        <v>0</v>
      </c>
      <c r="G50" s="37">
        <f>[1]!lngFileSize(A50)</f>
        <v>0</v>
      </c>
      <c r="H50" s="40" t="str">
        <f>[1]!GetFolder(A50)</f>
        <v>C:\Users\DAVE\Documents\Visual Studio 2013\Projects\WizardWrx_Libs\DLLServices2\DLLServices2</v>
      </c>
      <c r="I50" s="38" t="s">
        <v>168</v>
      </c>
    </row>
    <row r="51" spans="1:9" outlineLevel="2" x14ac:dyDescent="0.25">
      <c r="A51" s="51" t="s">
        <v>251</v>
      </c>
      <c r="B51" s="34">
        <v>499</v>
      </c>
      <c r="C51" s="39" t="s">
        <v>252</v>
      </c>
      <c r="D51" s="34" t="str">
        <f>[1]!GetFile(A51)</f>
        <v>FileNameTricks.cs</v>
      </c>
      <c r="E51" s="35" t="str">
        <f>IF(ISERROR(FIND("Count",$A51)),UPPER(RIGHT([1]!GetExtension(A51),LEN([1]!GetExtension(A51))-1)),"")</f>
        <v>CS</v>
      </c>
      <c r="F51" s="36">
        <f>[1]!dtmFileDateInfo(A51)</f>
        <v>0</v>
      </c>
      <c r="G51" s="37">
        <f>[1]!lngFileSize(A51)</f>
        <v>0</v>
      </c>
      <c r="H51" s="40" t="str">
        <f>[1]!GetFolder(A51)</f>
        <v>C:\Users\DAVE\Documents\Visual Studio 2013\Projects\WizardWrx_Libs\DLLServices2\DLLServices2</v>
      </c>
      <c r="I51" s="38" t="s">
        <v>168</v>
      </c>
    </row>
    <row r="52" spans="1:9" outlineLevel="2" x14ac:dyDescent="0.25">
      <c r="A52" s="51" t="s">
        <v>251</v>
      </c>
      <c r="B52" s="34">
        <v>548</v>
      </c>
      <c r="C52" s="39" t="s">
        <v>252</v>
      </c>
      <c r="D52" s="34" t="str">
        <f>[1]!GetFile(A52)</f>
        <v>FileNameTricks.cs</v>
      </c>
      <c r="E52" s="35" t="str">
        <f>IF(ISERROR(FIND("Count",$A52)),UPPER(RIGHT([1]!GetExtension(A52),LEN([1]!GetExtension(A52))-1)),"")</f>
        <v>CS</v>
      </c>
      <c r="F52" s="36">
        <f>[1]!dtmFileDateInfo(A52)</f>
        <v>0</v>
      </c>
      <c r="G52" s="37">
        <f>[1]!lngFileSize(A52)</f>
        <v>0</v>
      </c>
      <c r="H52" s="40" t="str">
        <f>[1]!GetFolder(A52)</f>
        <v>C:\Users\DAVE\Documents\Visual Studio 2013\Projects\WizardWrx_Libs\DLLServices2\DLLServices2</v>
      </c>
      <c r="I52" s="38" t="s">
        <v>168</v>
      </c>
    </row>
    <row r="53" spans="1:9" outlineLevel="2" x14ac:dyDescent="0.25">
      <c r="A53" s="51" t="s">
        <v>251</v>
      </c>
      <c r="B53" s="34">
        <v>579</v>
      </c>
      <c r="C53" s="39" t="s">
        <v>252</v>
      </c>
      <c r="D53" s="34" t="str">
        <f>[1]!GetFile(A53)</f>
        <v>FileNameTricks.cs</v>
      </c>
      <c r="E53" s="35" t="str">
        <f>IF(ISERROR(FIND("Count",$A53)),UPPER(RIGHT([1]!GetExtension(A53),LEN([1]!GetExtension(A53))-1)),"")</f>
        <v>CS</v>
      </c>
      <c r="F53" s="36">
        <f>[1]!dtmFileDateInfo(A53)</f>
        <v>0</v>
      </c>
      <c r="G53" s="37">
        <f>[1]!lngFileSize(A53)</f>
        <v>0</v>
      </c>
      <c r="H53" s="40" t="str">
        <f>[1]!GetFolder(A53)</f>
        <v>C:\Users\DAVE\Documents\Visual Studio 2013\Projects\WizardWrx_Libs\DLLServices2\DLLServices2</v>
      </c>
      <c r="I53" s="38" t="s">
        <v>168</v>
      </c>
    </row>
    <row r="54" spans="1:9" outlineLevel="1" x14ac:dyDescent="0.25">
      <c r="A54" s="52" t="s">
        <v>355</v>
      </c>
      <c r="B54" s="34">
        <f>SUBTOTAL(3,B44:B53)</f>
        <v>10</v>
      </c>
      <c r="C54" s="39"/>
      <c r="D54" s="34"/>
      <c r="E54" s="35"/>
      <c r="F54" s="36"/>
      <c r="G54" s="37"/>
      <c r="H54" s="40"/>
      <c r="I54" s="38"/>
    </row>
    <row r="55" spans="1:9" outlineLevel="2" x14ac:dyDescent="0.25">
      <c r="A55" s="51" t="s">
        <v>255</v>
      </c>
      <c r="B55" s="34">
        <v>93</v>
      </c>
      <c r="C55" s="39" t="s">
        <v>304</v>
      </c>
      <c r="D55" s="34" t="str">
        <f>[1]!GetFile(A55)</f>
        <v>Resources.Designer.cs</v>
      </c>
      <c r="E55" s="35" t="str">
        <f>IF(ISERROR(FIND("Count",$A55)),UPPER(RIGHT([1]!GetExtension(A55),LEN([1]!GetExtension(A55))-1)),"")</f>
        <v>CS</v>
      </c>
      <c r="F55" s="36">
        <f>[1]!dtmFileDateInfo(A55)</f>
        <v>0</v>
      </c>
      <c r="G55" s="37">
        <f>[1]!lngFileSize(A55)</f>
        <v>0</v>
      </c>
      <c r="H55" s="40" t="str">
        <f>[1]!GetFolder(A55)</f>
        <v>C:\Users\DAVE\Documents\Visual Studio 2013\Projects\WizardWrx_Libs\DLLServices2\DLLServices2\Properties</v>
      </c>
      <c r="I55" s="38" t="s">
        <v>168</v>
      </c>
    </row>
    <row r="56" spans="1:9" outlineLevel="2" x14ac:dyDescent="0.25">
      <c r="A56" s="51" t="s">
        <v>255</v>
      </c>
      <c r="B56" s="34">
        <v>95</v>
      </c>
      <c r="C56" s="39" t="s">
        <v>305</v>
      </c>
      <c r="D56" s="34" t="str">
        <f>[1]!GetFile(A56)</f>
        <v>Resources.Designer.cs</v>
      </c>
      <c r="E56" s="35" t="str">
        <f>IF(ISERROR(FIND("Count",$A56)),UPPER(RIGHT([1]!GetExtension(A56),LEN([1]!GetExtension(A56))-1)),"")</f>
        <v>CS</v>
      </c>
      <c r="F56" s="36">
        <f>[1]!dtmFileDateInfo(A56)</f>
        <v>0</v>
      </c>
      <c r="G56" s="37">
        <f>[1]!lngFileSize(A56)</f>
        <v>0</v>
      </c>
      <c r="H56" s="40" t="str">
        <f>[1]!GetFolder(A56)</f>
        <v>C:\Users\DAVE\Documents\Visual Studio 2013\Projects\WizardWrx_Libs\DLLServices2\DLLServices2\Properties</v>
      </c>
      <c r="I56" s="38" t="s">
        <v>168</v>
      </c>
    </row>
    <row r="57" spans="1:9" outlineLevel="2" x14ac:dyDescent="0.25">
      <c r="A57" s="51" t="s">
        <v>255</v>
      </c>
      <c r="B57" s="34">
        <v>102</v>
      </c>
      <c r="C57" s="39" t="s">
        <v>254</v>
      </c>
      <c r="D57" s="34" t="str">
        <f>[1]!GetFile(A57)</f>
        <v>Resources.Designer.cs</v>
      </c>
      <c r="E57" s="35" t="str">
        <f>IF(ISERROR(FIND("Count",$A57)),UPPER(RIGHT([1]!GetExtension(A57),LEN([1]!GetExtension(A57))-1)),"")</f>
        <v>CS</v>
      </c>
      <c r="F57" s="36">
        <f>[1]!dtmFileDateInfo(A57)</f>
        <v>0</v>
      </c>
      <c r="G57" s="37">
        <f>[1]!lngFileSize(A57)</f>
        <v>0</v>
      </c>
      <c r="H57" s="40" t="str">
        <f>[1]!GetFolder(A57)</f>
        <v>C:\Users\DAVE\Documents\Visual Studio 2013\Projects\WizardWrx_Libs\DLLServices2\DLLServices2\Properties</v>
      </c>
      <c r="I57" s="38" t="s">
        <v>168</v>
      </c>
    </row>
    <row r="58" spans="1:9" ht="30" outlineLevel="2" x14ac:dyDescent="0.25">
      <c r="A58" s="51" t="s">
        <v>255</v>
      </c>
      <c r="B58" s="34">
        <v>104</v>
      </c>
      <c r="C58" s="39" t="s">
        <v>306</v>
      </c>
      <c r="D58" s="34" t="str">
        <f>[1]!GetFile(A58)</f>
        <v>Resources.Designer.cs</v>
      </c>
      <c r="E58" s="35" t="str">
        <f>IF(ISERROR(FIND("Count",$A58)),UPPER(RIGHT([1]!GetExtension(A58),LEN([1]!GetExtension(A58))-1)),"")</f>
        <v>CS</v>
      </c>
      <c r="F58" s="36">
        <f>[1]!dtmFileDateInfo(A58)</f>
        <v>0</v>
      </c>
      <c r="G58" s="37">
        <f>[1]!lngFileSize(A58)</f>
        <v>0</v>
      </c>
      <c r="H58" s="40" t="str">
        <f>[1]!GetFolder(A58)</f>
        <v>C:\Users\DAVE\Documents\Visual Studio 2013\Projects\WizardWrx_Libs\DLLServices2\DLLServices2\Properties</v>
      </c>
      <c r="I58" s="38" t="s">
        <v>168</v>
      </c>
    </row>
    <row r="59" spans="1:9" outlineLevel="1" x14ac:dyDescent="0.25">
      <c r="A59" s="52" t="s">
        <v>356</v>
      </c>
      <c r="B59" s="34">
        <f>SUBTOTAL(3,B55:B58)</f>
        <v>4</v>
      </c>
      <c r="C59" s="39"/>
      <c r="D59" s="34"/>
      <c r="E59" s="35"/>
      <c r="F59" s="36"/>
      <c r="G59" s="37"/>
      <c r="H59" s="40"/>
      <c r="I59" s="38"/>
    </row>
    <row r="60" spans="1:9" ht="45" outlineLevel="2" x14ac:dyDescent="0.25">
      <c r="A60" s="51" t="s">
        <v>257</v>
      </c>
      <c r="B60" s="34">
        <v>681</v>
      </c>
      <c r="C60" s="39" t="s">
        <v>307</v>
      </c>
      <c r="D60" s="34" t="str">
        <f>[1]!GetFile(A60)</f>
        <v>CmdLneArgsTests.cs</v>
      </c>
      <c r="E60" s="35" t="str">
        <f>IF(ISERROR(FIND("Count",$A60)),UPPER(RIGHT([1]!GetExtension(A60),LEN([1]!GetExtension(A60))-1)),"")</f>
        <v>CS</v>
      </c>
      <c r="F60" s="36">
        <f>[1]!dtmFileDateInfo(A60)</f>
        <v>0</v>
      </c>
      <c r="G60" s="37">
        <f>[1]!lngFileSize(A60)</f>
        <v>0</v>
      </c>
      <c r="H60" s="40" t="str">
        <f>[1]!GetFolder(A60)</f>
        <v>C:\Users\DAVE\Documents\Visual Studio 2013\Projects\WizardWrx_Libs\DLLServices2\DLLServices2TestStand</v>
      </c>
      <c r="I60" s="38" t="s">
        <v>168</v>
      </c>
    </row>
    <row r="61" spans="1:9" ht="45" outlineLevel="2" x14ac:dyDescent="0.25">
      <c r="A61" s="51" t="s">
        <v>257</v>
      </c>
      <c r="B61" s="34">
        <v>691</v>
      </c>
      <c r="C61" s="39" t="s">
        <v>258</v>
      </c>
      <c r="D61" s="34" t="str">
        <f>[1]!GetFile(A61)</f>
        <v>CmdLneArgsTests.cs</v>
      </c>
      <c r="E61" s="35" t="str">
        <f>IF(ISERROR(FIND("Count",$A61)),UPPER(RIGHT([1]!GetExtension(A61),LEN([1]!GetExtension(A61))-1)),"")</f>
        <v>CS</v>
      </c>
      <c r="F61" s="36">
        <f>[1]!dtmFileDateInfo(A61)</f>
        <v>0</v>
      </c>
      <c r="G61" s="37">
        <f>[1]!lngFileSize(A61)</f>
        <v>0</v>
      </c>
      <c r="H61" s="40" t="str">
        <f>[1]!GetFolder(A61)</f>
        <v>C:\Users\DAVE\Documents\Visual Studio 2013\Projects\WizardWrx_Libs\DLLServices2\DLLServices2TestStand</v>
      </c>
      <c r="I61" s="38" t="s">
        <v>168</v>
      </c>
    </row>
    <row r="62" spans="1:9" ht="45" outlineLevel="2" x14ac:dyDescent="0.25">
      <c r="A62" s="51" t="s">
        <v>257</v>
      </c>
      <c r="B62" s="34">
        <v>735</v>
      </c>
      <c r="C62" s="39" t="s">
        <v>308</v>
      </c>
      <c r="D62" s="34" t="str">
        <f>[1]!GetFile(A62)</f>
        <v>CmdLneArgsTests.cs</v>
      </c>
      <c r="E62" s="35" t="str">
        <f>IF(ISERROR(FIND("Count",$A62)),UPPER(RIGHT([1]!GetExtension(A62),LEN([1]!GetExtension(A62))-1)),"")</f>
        <v>CS</v>
      </c>
      <c r="F62" s="36">
        <f>[1]!dtmFileDateInfo(A62)</f>
        <v>0</v>
      </c>
      <c r="G62" s="37">
        <f>[1]!lngFileSize(A62)</f>
        <v>0</v>
      </c>
      <c r="H62" s="40" t="str">
        <f>[1]!GetFolder(A62)</f>
        <v>C:\Users\DAVE\Documents\Visual Studio 2013\Projects\WizardWrx_Libs\DLLServices2\DLLServices2TestStand</v>
      </c>
      <c r="I62" s="38" t="s">
        <v>168</v>
      </c>
    </row>
    <row r="63" spans="1:9" outlineLevel="1" x14ac:dyDescent="0.25">
      <c r="A63" s="52" t="s">
        <v>357</v>
      </c>
      <c r="B63" s="34">
        <f>SUBTOTAL(3,B60:B62)</f>
        <v>3</v>
      </c>
      <c r="C63" s="39"/>
      <c r="D63" s="34"/>
      <c r="E63" s="35"/>
      <c r="F63" s="36"/>
      <c r="G63" s="37"/>
      <c r="H63" s="40"/>
      <c r="I63" s="38"/>
    </row>
    <row r="64" spans="1:9" outlineLevel="2" x14ac:dyDescent="0.25">
      <c r="A64" s="51" t="s">
        <v>309</v>
      </c>
      <c r="B64" s="34">
        <v>689</v>
      </c>
      <c r="C64" s="39" t="s">
        <v>310</v>
      </c>
      <c r="D64" s="34" t="str">
        <f>[1]!GetFile(A64)</f>
        <v>SysDateFormatters.cs</v>
      </c>
      <c r="E64" s="35" t="str">
        <f>IF(ISERROR(FIND("Count",$A64)),UPPER(RIGHT([1]!GetExtension(A64),LEN([1]!GetExtension(A64))-1)),"")</f>
        <v>CS</v>
      </c>
      <c r="F64" s="36">
        <f>[1]!dtmFileDateInfo(A64)</f>
        <v>0</v>
      </c>
      <c r="G64" s="37">
        <f>[1]!lngFileSize(A64)</f>
        <v>0</v>
      </c>
      <c r="H64" s="40" t="str">
        <f>[1]!GetFolder(A64)</f>
        <v>C:\Users\DAVE\Documents\Visual Studio 2013\Projects\WizardWrx_Libs\DLLServices2\GPConstants</v>
      </c>
      <c r="I64" s="38" t="s">
        <v>168</v>
      </c>
    </row>
    <row r="65" spans="1:9" outlineLevel="2" x14ac:dyDescent="0.25">
      <c r="A65" s="51" t="s">
        <v>309</v>
      </c>
      <c r="B65" s="34">
        <v>693</v>
      </c>
      <c r="C65" s="39" t="s">
        <v>303</v>
      </c>
      <c r="D65" s="34" t="str">
        <f>[1]!GetFile(A65)</f>
        <v>SysDateFormatters.cs</v>
      </c>
      <c r="E65" s="35" t="str">
        <f>IF(ISERROR(FIND("Count",$A65)),UPPER(RIGHT([1]!GetExtension(A65),LEN([1]!GetExtension(A65))-1)),"")</f>
        <v>CS</v>
      </c>
      <c r="F65" s="36">
        <f>[1]!dtmFileDateInfo(A65)</f>
        <v>0</v>
      </c>
      <c r="G65" s="37">
        <f>[1]!lngFileSize(A65)</f>
        <v>0</v>
      </c>
      <c r="H65" s="40" t="str">
        <f>[1]!GetFolder(A65)</f>
        <v>C:\Users\DAVE\Documents\Visual Studio 2013\Projects\WizardWrx_Libs\DLLServices2\GPConstants</v>
      </c>
      <c r="I65" s="38" t="s">
        <v>168</v>
      </c>
    </row>
    <row r="66" spans="1:9" outlineLevel="1" x14ac:dyDescent="0.25">
      <c r="A66" s="52" t="s">
        <v>358</v>
      </c>
      <c r="B66" s="34">
        <f>SUBTOTAL(3,B64:B65)</f>
        <v>2</v>
      </c>
      <c r="C66" s="39"/>
      <c r="D66" s="34"/>
      <c r="E66" s="35"/>
      <c r="F66" s="36"/>
      <c r="G66" s="37"/>
      <c r="H66" s="40"/>
      <c r="I66" s="38"/>
    </row>
    <row r="67" spans="1:9" ht="45" outlineLevel="2" x14ac:dyDescent="0.25">
      <c r="A67" s="51" t="s">
        <v>76</v>
      </c>
      <c r="B67" s="34">
        <v>1783</v>
      </c>
      <c r="C67" s="39" t="s">
        <v>260</v>
      </c>
      <c r="D67" s="34" t="str">
        <f>[1]!GetFile(A67)</f>
        <v>ApplicationHelpers3_Program_20150606_223541.CS</v>
      </c>
      <c r="E67" s="35" t="str">
        <f>IF(ISERROR(FIND("Count",$A67)),UPPER(RIGHT([1]!GetExtension(A67),LEN([1]!GetExtension(A67))-1)),"")</f>
        <v>CS</v>
      </c>
      <c r="F67" s="36">
        <f>[1]!dtmFileDateInfo(A67)</f>
        <v>0</v>
      </c>
      <c r="G67" s="37">
        <f>[1]!lngFileSize(A67)</f>
        <v>0</v>
      </c>
      <c r="H67" s="40" t="str">
        <f>[1]!GetFolder(A67)</f>
        <v>C:\Users\DAVE\Documents\Visual Studio 2013\Projects\WizardWrx_Libs\DLLServices2\_NOTES</v>
      </c>
      <c r="I67" s="38" t="s">
        <v>167</v>
      </c>
    </row>
    <row r="68" spans="1:9" ht="45" outlineLevel="2" x14ac:dyDescent="0.25">
      <c r="A68" s="51" t="s">
        <v>76</v>
      </c>
      <c r="B68" s="34">
        <v>1793</v>
      </c>
      <c r="C68" s="39" t="s">
        <v>261</v>
      </c>
      <c r="D68" s="34" t="str">
        <f>[1]!GetFile(A68)</f>
        <v>ApplicationHelpers3_Program_20150606_223541.CS</v>
      </c>
      <c r="E68" s="35" t="str">
        <f>IF(ISERROR(FIND("Count",$A68)),UPPER(RIGHT([1]!GetExtension(A68),LEN([1]!GetExtension(A68))-1)),"")</f>
        <v>CS</v>
      </c>
      <c r="F68" s="36">
        <f>[1]!dtmFileDateInfo(A68)</f>
        <v>0</v>
      </c>
      <c r="G68" s="37">
        <f>[1]!lngFileSize(A68)</f>
        <v>0</v>
      </c>
      <c r="H68" s="40" t="str">
        <f>[1]!GetFolder(A68)</f>
        <v>C:\Users\DAVE\Documents\Visual Studio 2013\Projects\WizardWrx_Libs\DLLServices2\_NOTES</v>
      </c>
      <c r="I68" s="38" t="s">
        <v>167</v>
      </c>
    </row>
    <row r="69" spans="1:9" ht="45" outlineLevel="2" x14ac:dyDescent="0.25">
      <c r="A69" s="51" t="s">
        <v>76</v>
      </c>
      <c r="B69" s="34">
        <v>1836</v>
      </c>
      <c r="C69" s="39" t="s">
        <v>311</v>
      </c>
      <c r="D69" s="34" t="str">
        <f>[1]!GetFile(A69)</f>
        <v>ApplicationHelpers3_Program_20150606_223541.CS</v>
      </c>
      <c r="E69" s="35" t="str">
        <f>IF(ISERROR(FIND("Count",$A69)),UPPER(RIGHT([1]!GetExtension(A69),LEN([1]!GetExtension(A69))-1)),"")</f>
        <v>CS</v>
      </c>
      <c r="F69" s="36">
        <f>[1]!dtmFileDateInfo(A69)</f>
        <v>0</v>
      </c>
      <c r="G69" s="37">
        <f>[1]!lngFileSize(A69)</f>
        <v>0</v>
      </c>
      <c r="H69" s="40" t="str">
        <f>[1]!GetFolder(A69)</f>
        <v>C:\Users\DAVE\Documents\Visual Studio 2013\Projects\WizardWrx_Libs\DLLServices2\_NOTES</v>
      </c>
      <c r="I69" s="38" t="s">
        <v>167</v>
      </c>
    </row>
    <row r="70" spans="1:9" outlineLevel="1" x14ac:dyDescent="0.25">
      <c r="A70" s="52" t="s">
        <v>152</v>
      </c>
      <c r="B70" s="34">
        <f>SUBTOTAL(3,B67:B69)</f>
        <v>3</v>
      </c>
      <c r="C70" s="39"/>
      <c r="D70" s="34"/>
      <c r="E70" s="35"/>
      <c r="F70" s="36"/>
      <c r="G70" s="37"/>
      <c r="H70" s="40"/>
      <c r="I70" s="38"/>
    </row>
    <row r="71" spans="1:9" outlineLevel="2" x14ac:dyDescent="0.25">
      <c r="A71" s="51" t="s">
        <v>264</v>
      </c>
      <c r="B71" s="34">
        <v>909</v>
      </c>
      <c r="C71" s="39" t="s">
        <v>265</v>
      </c>
      <c r="D71" s="34" t="str">
        <f>[1]!GetFile(A71)</f>
        <v>FormatItem.cs</v>
      </c>
      <c r="E71" s="35" t="str">
        <f>IF(ISERROR(FIND("Count",$A71)),UPPER(RIGHT([1]!GetExtension(A71),LEN([1]!GetExtension(A71))-1)),"")</f>
        <v>CS</v>
      </c>
      <c r="F71" s="36">
        <f>[1]!dtmFileDateInfo(A71)</f>
        <v>42799.160520833335</v>
      </c>
      <c r="G71" s="37">
        <f>[1]!lngFileSize(A71)</f>
        <v>72250</v>
      </c>
      <c r="H71" s="40" t="str">
        <f>[1]!GetFolder(A71)</f>
        <v>C:\Users\DAVE\Documents\Visual Studio 2013\Projects\WizardWrx_Libs\SharedUtl4\FormatStringEngine</v>
      </c>
      <c r="I71" s="38" t="s">
        <v>168</v>
      </c>
    </row>
    <row r="72" spans="1:9" outlineLevel="2" x14ac:dyDescent="0.25">
      <c r="A72" s="51" t="s">
        <v>264</v>
      </c>
      <c r="B72" s="34">
        <v>917</v>
      </c>
      <c r="C72" s="39" t="s">
        <v>265</v>
      </c>
      <c r="D72" s="34" t="str">
        <f>[1]!GetFile(A72)</f>
        <v>FormatItem.cs</v>
      </c>
      <c r="E72" s="35" t="str">
        <f>IF(ISERROR(FIND("Count",$A72)),UPPER(RIGHT([1]!GetExtension(A72),LEN([1]!GetExtension(A72))-1)),"")</f>
        <v>CS</v>
      </c>
      <c r="F72" s="36">
        <f>[1]!dtmFileDateInfo(A72)</f>
        <v>42799.160520833335</v>
      </c>
      <c r="G72" s="37">
        <f>[1]!lngFileSize(A72)</f>
        <v>72250</v>
      </c>
      <c r="H72" s="40" t="str">
        <f>[1]!GetFolder(A72)</f>
        <v>C:\Users\DAVE\Documents\Visual Studio 2013\Projects\WizardWrx_Libs\SharedUtl4\FormatStringEngine</v>
      </c>
      <c r="I72" s="38" t="s">
        <v>168</v>
      </c>
    </row>
    <row r="73" spans="1:9" outlineLevel="2" x14ac:dyDescent="0.25">
      <c r="A73" s="51" t="s">
        <v>264</v>
      </c>
      <c r="B73" s="34">
        <v>992</v>
      </c>
      <c r="C73" s="39" t="s">
        <v>265</v>
      </c>
      <c r="D73" s="34" t="str">
        <f>[1]!GetFile(A73)</f>
        <v>FormatItem.cs</v>
      </c>
      <c r="E73" s="35" t="str">
        <f>IF(ISERROR(FIND("Count",$A73)),UPPER(RIGHT([1]!GetExtension(A73),LEN([1]!GetExtension(A73))-1)),"")</f>
        <v>CS</v>
      </c>
      <c r="F73" s="36">
        <f>[1]!dtmFileDateInfo(A73)</f>
        <v>42799.160520833335</v>
      </c>
      <c r="G73" s="37">
        <f>[1]!lngFileSize(A73)</f>
        <v>72250</v>
      </c>
      <c r="H73" s="40" t="str">
        <f>[1]!GetFolder(A73)</f>
        <v>C:\Users\DAVE\Documents\Visual Studio 2013\Projects\WizardWrx_Libs\SharedUtl4\FormatStringEngine</v>
      </c>
      <c r="I73" s="38" t="s">
        <v>168</v>
      </c>
    </row>
    <row r="74" spans="1:9" outlineLevel="2" x14ac:dyDescent="0.25">
      <c r="A74" s="51" t="s">
        <v>264</v>
      </c>
      <c r="B74" s="34">
        <v>1000</v>
      </c>
      <c r="C74" s="39" t="s">
        <v>263</v>
      </c>
      <c r="D74" s="34" t="str">
        <f>[1]!GetFile(A74)</f>
        <v>FormatItem.cs</v>
      </c>
      <c r="E74" s="35" t="str">
        <f>IF(ISERROR(FIND("Count",$A74)),UPPER(RIGHT([1]!GetExtension(A74),LEN([1]!GetExtension(A74))-1)),"")</f>
        <v>CS</v>
      </c>
      <c r="F74" s="36">
        <f>[1]!dtmFileDateInfo(A74)</f>
        <v>42799.160520833335</v>
      </c>
      <c r="G74" s="37">
        <f>[1]!lngFileSize(A74)</f>
        <v>72250</v>
      </c>
      <c r="H74" s="40" t="str">
        <f>[1]!GetFolder(A74)</f>
        <v>C:\Users\DAVE\Documents\Visual Studio 2013\Projects\WizardWrx_Libs\SharedUtl4\FormatStringEngine</v>
      </c>
      <c r="I74" s="38" t="s">
        <v>168</v>
      </c>
    </row>
    <row r="75" spans="1:9" outlineLevel="1" x14ac:dyDescent="0.25">
      <c r="A75" s="52" t="s">
        <v>359</v>
      </c>
      <c r="B75" s="34">
        <f>SUBTOTAL(3,B71:B74)</f>
        <v>4</v>
      </c>
      <c r="C75" s="39"/>
      <c r="D75" s="34"/>
      <c r="E75" s="35"/>
      <c r="F75" s="36"/>
      <c r="G75" s="37"/>
      <c r="H75" s="40"/>
      <c r="I75" s="38"/>
    </row>
    <row r="76" spans="1:9" outlineLevel="2" x14ac:dyDescent="0.25">
      <c r="A76" s="51" t="s">
        <v>312</v>
      </c>
      <c r="B76" s="34">
        <v>314</v>
      </c>
      <c r="C76" s="39" t="s">
        <v>313</v>
      </c>
      <c r="D76" s="34" t="str">
        <f>[1]!GetFile(A76)</f>
        <v>ListHelpers.cs</v>
      </c>
      <c r="E76" s="35" t="str">
        <f>IF(ISERROR(FIND("Count",$A76)),UPPER(RIGHT([1]!GetExtension(A76),LEN([1]!GetExtension(A76))-1)),"")</f>
        <v>CS</v>
      </c>
      <c r="F76" s="36">
        <f>[1]!dtmFileDateInfo(A76)</f>
        <v>42526.075023148151</v>
      </c>
      <c r="G76" s="37">
        <f>[1]!lngFileSize(A76)</f>
        <v>21449</v>
      </c>
      <c r="H76" s="40" t="str">
        <f>[1]!GetFolder(A76)</f>
        <v>C:\Users\DAVE\Documents\Visual Studio 2013\Projects\WizardWrx_Libs\SharedUtl4\SharedUtl4</v>
      </c>
      <c r="I76" s="38" t="s">
        <v>168</v>
      </c>
    </row>
    <row r="77" spans="1:9" outlineLevel="2" x14ac:dyDescent="0.25">
      <c r="A77" s="51" t="s">
        <v>312</v>
      </c>
      <c r="B77" s="34">
        <v>321</v>
      </c>
      <c r="C77" s="39" t="s">
        <v>314</v>
      </c>
      <c r="D77" s="34" t="str">
        <f>[1]!GetFile(A77)</f>
        <v>ListHelpers.cs</v>
      </c>
      <c r="E77" s="35" t="str">
        <f>IF(ISERROR(FIND("Count",$A77)),UPPER(RIGHT([1]!GetExtension(A77),LEN([1]!GetExtension(A77))-1)),"")</f>
        <v>CS</v>
      </c>
      <c r="F77" s="36">
        <f>[1]!dtmFileDateInfo(A77)</f>
        <v>42526.075023148151</v>
      </c>
      <c r="G77" s="37">
        <f>[1]!lngFileSize(A77)</f>
        <v>21449</v>
      </c>
      <c r="H77" s="40" t="str">
        <f>[1]!GetFolder(A77)</f>
        <v>C:\Users\DAVE\Documents\Visual Studio 2013\Projects\WizardWrx_Libs\SharedUtl4\SharedUtl4</v>
      </c>
      <c r="I77" s="38" t="s">
        <v>168</v>
      </c>
    </row>
    <row r="78" spans="1:9" outlineLevel="1" x14ac:dyDescent="0.25">
      <c r="A78" s="52" t="s">
        <v>360</v>
      </c>
      <c r="B78" s="34">
        <f>SUBTOTAL(3,B76:B77)</f>
        <v>2</v>
      </c>
      <c r="C78" s="39"/>
      <c r="D78" s="34"/>
      <c r="E78" s="35"/>
      <c r="F78" s="36"/>
      <c r="G78" s="37"/>
      <c r="H78" s="40"/>
      <c r="I78" s="38"/>
    </row>
    <row r="79" spans="1:9" outlineLevel="2" x14ac:dyDescent="0.25">
      <c r="A79" s="51" t="s">
        <v>315</v>
      </c>
      <c r="B79" s="34">
        <v>487</v>
      </c>
      <c r="C79" s="39" t="s">
        <v>316</v>
      </c>
      <c r="D79" s="34" t="str">
        <f>[1]!GetFile(A79)</f>
        <v>MailMan.cs</v>
      </c>
      <c r="E79" s="35" t="str">
        <f>IF(ISERROR(FIND("Count",$A79)),UPPER(RIGHT([1]!GetExtension(A79),LEN([1]!GetExtension(A79))-1)),"")</f>
        <v>CS</v>
      </c>
      <c r="F79" s="36">
        <f>[1]!dtmFileDateInfo(A79)</f>
        <v>41885.400625000002</v>
      </c>
      <c r="G79" s="37">
        <f>[1]!lngFileSize(A79)</f>
        <v>20958</v>
      </c>
      <c r="H79" s="40" t="str">
        <f>[1]!GetFolder(A79)</f>
        <v>C:\Users\DAVE\Documents\Visual Studio 2013\Projects\WizardWrx_Libs\WebApp\WebApp</v>
      </c>
      <c r="I79" s="38" t="s">
        <v>168</v>
      </c>
    </row>
    <row r="80" spans="1:9" outlineLevel="1" x14ac:dyDescent="0.25">
      <c r="A80" s="52" t="s">
        <v>361</v>
      </c>
      <c r="B80" s="34">
        <f>SUBTOTAL(3,B79:B79)</f>
        <v>1</v>
      </c>
      <c r="C80" s="39"/>
      <c r="D80" s="34"/>
      <c r="E80" s="35"/>
      <c r="F80" s="36"/>
      <c r="G80" s="37"/>
      <c r="H80" s="40"/>
      <c r="I80" s="38"/>
    </row>
    <row r="81" spans="1:9" outlineLevel="2" x14ac:dyDescent="0.25">
      <c r="A81" s="51" t="s">
        <v>317</v>
      </c>
      <c r="B81" s="34">
        <v>659</v>
      </c>
      <c r="C81" s="39" t="s">
        <v>318</v>
      </c>
      <c r="D81" s="34" t="str">
        <f>[1]!GetFile(A81)</f>
        <v>UtlLib.cs</v>
      </c>
      <c r="E81" s="35" t="str">
        <f>IF(ISERROR(FIND("Count",$A81)),UPPER(RIGHT([1]!GetExtension(A81),LEN([1]!GetExtension(A81))-1)),"")</f>
        <v>CS</v>
      </c>
      <c r="F81" s="36">
        <f>[1]!dtmFileDateInfo(A81)</f>
        <v>40866.726226851853</v>
      </c>
      <c r="G81" s="37">
        <f>[1]!lngFileSize(A81)</f>
        <v>107667</v>
      </c>
      <c r="H81" s="40" t="str">
        <f>[1]!GetFolder(A81)</f>
        <v>C:\Users\DAVE\Documents\Visual Studio 2013\Projects\WizardWrx_Libs\WebApp\WebApp</v>
      </c>
      <c r="I81" s="38" t="s">
        <v>168</v>
      </c>
    </row>
    <row r="82" spans="1:9" outlineLevel="2" x14ac:dyDescent="0.25">
      <c r="A82" s="51" t="s">
        <v>317</v>
      </c>
      <c r="B82" s="34">
        <v>1073</v>
      </c>
      <c r="C82" s="39" t="s">
        <v>319</v>
      </c>
      <c r="D82" s="34" t="str">
        <f>[1]!GetFile(A82)</f>
        <v>UtlLib.cs</v>
      </c>
      <c r="E82" s="35" t="str">
        <f>IF(ISERROR(FIND("Count",$A82)),UPPER(RIGHT([1]!GetExtension(A82),LEN([1]!GetExtension(A82))-1)),"")</f>
        <v>CS</v>
      </c>
      <c r="F82" s="36">
        <f>[1]!dtmFileDateInfo(A82)</f>
        <v>40866.726226851853</v>
      </c>
      <c r="G82" s="37">
        <f>[1]!lngFileSize(A82)</f>
        <v>107667</v>
      </c>
      <c r="H82" s="40" t="str">
        <f>[1]!GetFolder(A82)</f>
        <v>C:\Users\DAVE\Documents\Visual Studio 2013\Projects\WizardWrx_Libs\WebApp\WebApp</v>
      </c>
      <c r="I82" s="38" t="s">
        <v>168</v>
      </c>
    </row>
    <row r="83" spans="1:9" outlineLevel="1" x14ac:dyDescent="0.25">
      <c r="A83" s="52" t="s">
        <v>362</v>
      </c>
      <c r="B83" s="34">
        <f>SUBTOTAL(3,B81:B82)</f>
        <v>2</v>
      </c>
      <c r="C83" s="39"/>
      <c r="D83" s="34"/>
      <c r="E83" s="35"/>
      <c r="F83" s="36"/>
      <c r="G83" s="37"/>
      <c r="H83" s="40"/>
      <c r="I83" s="38"/>
    </row>
    <row r="84" spans="1:9" ht="30" outlineLevel="2" x14ac:dyDescent="0.25">
      <c r="A84" s="51" t="s">
        <v>320</v>
      </c>
      <c r="B84" s="34">
        <v>207</v>
      </c>
      <c r="C84" s="39" t="s">
        <v>321</v>
      </c>
      <c r="D84" s="34" t="str">
        <f>[1]!GetFile(A84)</f>
        <v>Program.cs</v>
      </c>
      <c r="E84" s="35" t="str">
        <f>IF(ISERROR(FIND("Count",$A84)),UPPER(RIGHT([1]!GetExtension(A84),LEN([1]!GetExtension(A84))-1)),"")</f>
        <v>CS</v>
      </c>
      <c r="F84" s="36">
        <f>[1]!dtmFileDateInfo(A84)</f>
        <v>40629.082499999997</v>
      </c>
      <c r="G84" s="37">
        <f>[1]!lngFileSize(A84)</f>
        <v>17064</v>
      </c>
      <c r="H84" s="40" t="str">
        <f>[1]!GetFolder(A84)</f>
        <v>C:\Users\DAVE\Documents\Visual Studio 2013\Projects\WizardWrx_Libs\WebApp\WebAppLibTestHarness\WebAppLibTestHarness</v>
      </c>
      <c r="I84" s="38" t="s">
        <v>168</v>
      </c>
    </row>
    <row r="85" spans="1:9" outlineLevel="1" x14ac:dyDescent="0.25">
      <c r="A85" s="52" t="s">
        <v>363</v>
      </c>
      <c r="B85" s="34">
        <f>SUBTOTAL(3,B84:B84)</f>
        <v>1</v>
      </c>
      <c r="C85" s="39"/>
      <c r="D85" s="34"/>
      <c r="E85" s="35"/>
      <c r="F85" s="36"/>
      <c r="G85" s="37"/>
      <c r="H85" s="40"/>
      <c r="I85" s="38"/>
    </row>
    <row r="86" spans="1:9" outlineLevel="2" x14ac:dyDescent="0.25">
      <c r="A86" s="51" t="s">
        <v>322</v>
      </c>
      <c r="B86" s="34">
        <v>2432</v>
      </c>
      <c r="C86" s="39" t="s">
        <v>246</v>
      </c>
      <c r="D86" s="34" t="str">
        <f>[1]!GetFile(A86)</f>
        <v>CmdLneArgsBasic.cs</v>
      </c>
      <c r="E86" s="35" t="str">
        <f>IF(ISERROR(FIND("Count",$A86)),UPPER(RIGHT([1]!GetExtension(A86),LEN([1]!GetExtension(A86))-1)),"")</f>
        <v>CS</v>
      </c>
      <c r="F86" s="36">
        <f>[1]!dtmFileDateInfo(A86)</f>
        <v>41320.944166666668</v>
      </c>
      <c r="G86" s="37">
        <f>[1]!lngFileSize(A86)</f>
        <v>146793</v>
      </c>
      <c r="H86" s="40" t="str">
        <f>[1]!GetFolder(A86)</f>
        <v>C:\Users\DAVE\Documents\Visual Studio 2013\Projects\WizardWrx_Libs\_Deprecated_Libraries\ApplicationHelpers\ApplicationHelpers</v>
      </c>
      <c r="I86" s="38" t="s">
        <v>167</v>
      </c>
    </row>
    <row r="87" spans="1:9" outlineLevel="1" x14ac:dyDescent="0.25">
      <c r="A87" s="52" t="s">
        <v>364</v>
      </c>
      <c r="B87" s="34">
        <f>SUBTOTAL(3,B86:B86)</f>
        <v>1</v>
      </c>
      <c r="C87" s="39"/>
      <c r="D87" s="34"/>
      <c r="E87" s="35"/>
      <c r="F87" s="36"/>
      <c r="G87" s="37"/>
      <c r="H87" s="40"/>
      <c r="I87" s="38"/>
    </row>
    <row r="88" spans="1:9" outlineLevel="2" x14ac:dyDescent="0.25">
      <c r="A88" s="51" t="s">
        <v>114</v>
      </c>
      <c r="B88" s="34">
        <v>631</v>
      </c>
      <c r="C88" s="39" t="s">
        <v>292</v>
      </c>
      <c r="D88" s="34" t="str">
        <f>[1]!GetFile(A88)</f>
        <v>SysDateFormatters.cs</v>
      </c>
      <c r="E88" s="35" t="str">
        <f>IF(ISERROR(FIND("Count",$A88)),UPPER(RIGHT([1]!GetExtension(A88),LEN([1]!GetExtension(A88))-1)),"")</f>
        <v>CS</v>
      </c>
      <c r="F88" s="36">
        <f>[1]!dtmFileDateInfo(A88)</f>
        <v>41602.784513888888</v>
      </c>
      <c r="G88" s="37">
        <f>[1]!lngFileSize(A88)</f>
        <v>31966</v>
      </c>
      <c r="H88" s="40" t="str">
        <f>[1]!GetFolder(A88)</f>
        <v>C:\Users\DAVE\Documents\Visual Studio 2013\Projects\WizardWrx_Libs\_Deprecated_Libraries\ApplicationHelpers\ApplicationHelpers</v>
      </c>
      <c r="I88" s="38" t="s">
        <v>167</v>
      </c>
    </row>
    <row r="89" spans="1:9" outlineLevel="2" x14ac:dyDescent="0.25">
      <c r="A89" s="51" t="s">
        <v>114</v>
      </c>
      <c r="B89" s="34">
        <v>635</v>
      </c>
      <c r="C89" s="39" t="s">
        <v>246</v>
      </c>
      <c r="D89" s="34" t="str">
        <f>[1]!GetFile(A89)</f>
        <v>SysDateFormatters.cs</v>
      </c>
      <c r="E89" s="35" t="str">
        <f>IF(ISERROR(FIND("Count",$A89)),UPPER(RIGHT([1]!GetExtension(A89),LEN([1]!GetExtension(A89))-1)),"")</f>
        <v>CS</v>
      </c>
      <c r="F89" s="36">
        <f>[1]!dtmFileDateInfo(A89)</f>
        <v>41602.784513888888</v>
      </c>
      <c r="G89" s="37">
        <f>[1]!lngFileSize(A89)</f>
        <v>31966</v>
      </c>
      <c r="H89" s="40" t="str">
        <f>[1]!GetFolder(A89)</f>
        <v>C:\Users\DAVE\Documents\Visual Studio 2013\Projects\WizardWrx_Libs\_Deprecated_Libraries\ApplicationHelpers\ApplicationHelpers</v>
      </c>
      <c r="I89" s="38" t="s">
        <v>167</v>
      </c>
    </row>
    <row r="90" spans="1:9" outlineLevel="1" x14ac:dyDescent="0.25">
      <c r="A90" s="52" t="s">
        <v>157</v>
      </c>
      <c r="B90" s="34">
        <f>SUBTOTAL(3,B88:B89)</f>
        <v>2</v>
      </c>
      <c r="C90" s="39"/>
      <c r="D90" s="34"/>
      <c r="E90" s="35"/>
      <c r="F90" s="36"/>
      <c r="G90" s="37"/>
      <c r="H90" s="40"/>
      <c r="I90" s="38"/>
    </row>
    <row r="91" spans="1:9" ht="45" outlineLevel="2" x14ac:dyDescent="0.25">
      <c r="A91" s="51" t="s">
        <v>117</v>
      </c>
      <c r="B91" s="34">
        <v>1513</v>
      </c>
      <c r="C91" s="39" t="s">
        <v>260</v>
      </c>
      <c r="D91" s="34" t="str">
        <f>[1]!GetFile(A91)</f>
        <v>Program.cs</v>
      </c>
      <c r="E91" s="35" t="str">
        <f>IF(ISERROR(FIND("Count",$A91)),UPPER(RIGHT([1]!GetExtension(A91),LEN([1]!GetExtension(A91))-1)),"")</f>
        <v>CS</v>
      </c>
      <c r="F91" s="36">
        <f>[1]!dtmFileDateInfo(A91)</f>
        <v>41708.069236111114</v>
      </c>
      <c r="G91" s="37">
        <f>[1]!lngFileSize(A91)</f>
        <v>110794</v>
      </c>
      <c r="H91" s="40" t="str">
        <f>[1]!GetFolder(A91)</f>
        <v>C:\Users\DAVE\Documents\Visual Studio 2013\Projects\WizardWrx_Libs\_Deprecated_Libraries\ApplicationHelpers\ApplicationHelpersTestHarness\ApplicationHelpersTestHarness</v>
      </c>
      <c r="I91" s="38" t="s">
        <v>167</v>
      </c>
    </row>
    <row r="92" spans="1:9" ht="45" outlineLevel="2" x14ac:dyDescent="0.25">
      <c r="A92" s="51" t="s">
        <v>117</v>
      </c>
      <c r="B92" s="34">
        <v>1523</v>
      </c>
      <c r="C92" s="39" t="s">
        <v>261</v>
      </c>
      <c r="D92" s="34" t="str">
        <f>[1]!GetFile(A92)</f>
        <v>Program.cs</v>
      </c>
      <c r="E92" s="35" t="str">
        <f>IF(ISERROR(FIND("Count",$A92)),UPPER(RIGHT([1]!GetExtension(A92),LEN([1]!GetExtension(A92))-1)),"")</f>
        <v>CS</v>
      </c>
      <c r="F92" s="36">
        <f>[1]!dtmFileDateInfo(A92)</f>
        <v>41708.069236111114</v>
      </c>
      <c r="G92" s="37">
        <f>[1]!lngFileSize(A92)</f>
        <v>110794</v>
      </c>
      <c r="H92" s="40" t="str">
        <f>[1]!GetFolder(A92)</f>
        <v>C:\Users\DAVE\Documents\Visual Studio 2013\Projects\WizardWrx_Libs\_Deprecated_Libraries\ApplicationHelpers\ApplicationHelpersTestHarness\ApplicationHelpersTestHarness</v>
      </c>
      <c r="I92" s="38" t="s">
        <v>167</v>
      </c>
    </row>
    <row r="93" spans="1:9" ht="45" outlineLevel="2" x14ac:dyDescent="0.25">
      <c r="A93" s="51" t="s">
        <v>117</v>
      </c>
      <c r="B93" s="34">
        <v>1566</v>
      </c>
      <c r="C93" s="39" t="s">
        <v>311</v>
      </c>
      <c r="D93" s="34" t="str">
        <f>[1]!GetFile(A93)</f>
        <v>Program.cs</v>
      </c>
      <c r="E93" s="35" t="str">
        <f>IF(ISERROR(FIND("Count",$A93)),UPPER(RIGHT([1]!GetExtension(A93),LEN([1]!GetExtension(A93))-1)),"")</f>
        <v>CS</v>
      </c>
      <c r="F93" s="36">
        <f>[1]!dtmFileDateInfo(A93)</f>
        <v>41708.069236111114</v>
      </c>
      <c r="G93" s="37">
        <f>[1]!lngFileSize(A93)</f>
        <v>110794</v>
      </c>
      <c r="H93" s="40" t="str">
        <f>[1]!GetFolder(A93)</f>
        <v>C:\Users\DAVE\Documents\Visual Studio 2013\Projects\WizardWrx_Libs\_Deprecated_Libraries\ApplicationHelpers\ApplicationHelpersTestHarness\ApplicationHelpersTestHarness</v>
      </c>
      <c r="I93" s="38" t="s">
        <v>167</v>
      </c>
    </row>
    <row r="94" spans="1:9" outlineLevel="1" x14ac:dyDescent="0.25">
      <c r="A94" s="52" t="s">
        <v>158</v>
      </c>
      <c r="B94" s="34">
        <f>SUBTOTAL(3,B91:B93)</f>
        <v>3</v>
      </c>
      <c r="C94" s="39"/>
      <c r="D94" s="34"/>
      <c r="E94" s="35"/>
      <c r="F94" s="36"/>
      <c r="G94" s="37"/>
      <c r="H94" s="40"/>
      <c r="I94" s="38"/>
    </row>
    <row r="95" spans="1:9" outlineLevel="2" x14ac:dyDescent="0.25">
      <c r="A95" s="51" t="s">
        <v>323</v>
      </c>
      <c r="B95" s="34">
        <v>2529</v>
      </c>
      <c r="C95" s="39" t="s">
        <v>246</v>
      </c>
      <c r="D95" s="34" t="str">
        <f>[1]!GetFile(A95)</f>
        <v>CmdLneArgsBasic.cs</v>
      </c>
      <c r="E95" s="35" t="str">
        <f>IF(ISERROR(FIND("Count",$A95)),UPPER(RIGHT([1]!GetExtension(A95),LEN([1]!GetExtension(A95))-1)),"")</f>
        <v>CS</v>
      </c>
      <c r="F95" s="36">
        <f>[1]!dtmFileDateInfo(A95)</f>
        <v>41813.502847222226</v>
      </c>
      <c r="G95" s="37">
        <f>[1]!lngFileSize(A95)</f>
        <v>151952</v>
      </c>
      <c r="H95" s="40" t="str">
        <f>[1]!GetFolder(A95)</f>
        <v>C:\Users\DAVE\Documents\Visual Studio 2013\Projects\WizardWrx_Libs\_Deprecated_Libraries\ApplicationHelpers2\ApplicationHelpers2</v>
      </c>
      <c r="I95" s="38" t="s">
        <v>167</v>
      </c>
    </row>
    <row r="96" spans="1:9" outlineLevel="1" x14ac:dyDescent="0.25">
      <c r="A96" s="52" t="s">
        <v>365</v>
      </c>
      <c r="B96" s="34">
        <f>SUBTOTAL(3,B95:B95)</f>
        <v>1</v>
      </c>
      <c r="C96" s="39"/>
      <c r="D96" s="34"/>
      <c r="E96" s="35"/>
      <c r="F96" s="36"/>
      <c r="G96" s="37"/>
      <c r="H96" s="40"/>
      <c r="I96" s="38"/>
    </row>
    <row r="97" spans="1:9" outlineLevel="2" x14ac:dyDescent="0.25">
      <c r="A97" s="51" t="s">
        <v>123</v>
      </c>
      <c r="B97" s="34">
        <v>635</v>
      </c>
      <c r="C97" s="39" t="s">
        <v>292</v>
      </c>
      <c r="D97" s="34" t="str">
        <f>[1]!GetFile(A97)</f>
        <v>SysDateFormatters.cs</v>
      </c>
      <c r="E97" s="35" t="str">
        <f>IF(ISERROR(FIND("Count",$A97)),UPPER(RIGHT([1]!GetExtension(A97),LEN([1]!GetExtension(A97))-1)),"")</f>
        <v>CS</v>
      </c>
      <c r="F97" s="36">
        <f>[1]!dtmFileDateInfo(A97)</f>
        <v>41813.502847222226</v>
      </c>
      <c r="G97" s="37">
        <f>[1]!lngFileSize(A97)</f>
        <v>32094</v>
      </c>
      <c r="H97" s="40" t="str">
        <f>[1]!GetFolder(A97)</f>
        <v>C:\Users\DAVE\Documents\Visual Studio 2013\Projects\WizardWrx_Libs\_Deprecated_Libraries\ApplicationHelpers2\ApplicationHelpers2</v>
      </c>
      <c r="I97" s="38" t="s">
        <v>167</v>
      </c>
    </row>
    <row r="98" spans="1:9" outlineLevel="2" x14ac:dyDescent="0.25">
      <c r="A98" s="51" t="s">
        <v>123</v>
      </c>
      <c r="B98" s="34">
        <v>639</v>
      </c>
      <c r="C98" s="39" t="s">
        <v>246</v>
      </c>
      <c r="D98" s="34" t="str">
        <f>[1]!GetFile(A98)</f>
        <v>SysDateFormatters.cs</v>
      </c>
      <c r="E98" s="35" t="str">
        <f>IF(ISERROR(FIND("Count",$A98)),UPPER(RIGHT([1]!GetExtension(A98),LEN([1]!GetExtension(A98))-1)),"")</f>
        <v>CS</v>
      </c>
      <c r="F98" s="36">
        <f>[1]!dtmFileDateInfo(A98)</f>
        <v>41813.502847222226</v>
      </c>
      <c r="G98" s="37">
        <f>[1]!lngFileSize(A98)</f>
        <v>32094</v>
      </c>
      <c r="H98" s="40" t="str">
        <f>[1]!GetFolder(A98)</f>
        <v>C:\Users\DAVE\Documents\Visual Studio 2013\Projects\WizardWrx_Libs\_Deprecated_Libraries\ApplicationHelpers2\ApplicationHelpers2</v>
      </c>
      <c r="I98" s="38" t="s">
        <v>167</v>
      </c>
    </row>
    <row r="99" spans="1:9" outlineLevel="1" x14ac:dyDescent="0.25">
      <c r="A99" s="52" t="s">
        <v>160</v>
      </c>
      <c r="B99" s="34">
        <f>SUBTOTAL(3,B97:B98)</f>
        <v>2</v>
      </c>
      <c r="C99" s="39"/>
      <c r="D99" s="34"/>
      <c r="E99" s="35"/>
      <c r="F99" s="36"/>
      <c r="G99" s="37"/>
      <c r="H99" s="40"/>
      <c r="I99" s="38"/>
    </row>
    <row r="100" spans="1:9" outlineLevel="2" x14ac:dyDescent="0.25">
      <c r="A100" s="51" t="s">
        <v>220</v>
      </c>
      <c r="B100" s="34">
        <v>783</v>
      </c>
      <c r="C100" s="39" t="s">
        <v>290</v>
      </c>
      <c r="D100" s="34" t="str">
        <f>[1]!GetFile(A100)</f>
        <v>Util.cs</v>
      </c>
      <c r="E100" s="35" t="str">
        <f>IF(ISERROR(FIND("Count",$A100)),UPPER(RIGHT([1]!GetExtension(A100),LEN([1]!GetExtension(A100))-1)),"")</f>
        <v>CS</v>
      </c>
      <c r="F100" s="36">
        <f>[1]!dtmFileDateInfo(A100)</f>
        <v>42161.924421296295</v>
      </c>
      <c r="G100" s="37">
        <f>[1]!lngFileSize(A100)</f>
        <v>44337</v>
      </c>
      <c r="H100" s="40" t="str">
        <f>[1]!GetFolder(A100)</f>
        <v>C:\Users\DAVE\Documents\Visual Studio 2013\Projects\WizardWrx_Libs\_Deprecated_Libraries\ApplicationHelpers2\ApplicationHelpers2</v>
      </c>
      <c r="I100" s="38" t="s">
        <v>167</v>
      </c>
    </row>
    <row r="101" spans="1:9" outlineLevel="1" x14ac:dyDescent="0.25">
      <c r="A101" s="52" t="s">
        <v>239</v>
      </c>
      <c r="B101" s="34">
        <f>SUBTOTAL(3,B100:B100)</f>
        <v>1</v>
      </c>
      <c r="C101" s="39"/>
      <c r="D101" s="34"/>
      <c r="E101" s="35"/>
      <c r="F101" s="36"/>
      <c r="G101" s="37"/>
      <c r="H101" s="40"/>
      <c r="I101" s="38"/>
    </row>
    <row r="102" spans="1:9" ht="45" outlineLevel="2" x14ac:dyDescent="0.25">
      <c r="A102" s="51" t="s">
        <v>127</v>
      </c>
      <c r="B102" s="34">
        <v>1809</v>
      </c>
      <c r="C102" s="39" t="s">
        <v>260</v>
      </c>
      <c r="D102" s="34" t="str">
        <f>[1]!GetFile(A102)</f>
        <v>Program.cs</v>
      </c>
      <c r="E102" s="35" t="str">
        <f>IF(ISERROR(FIND("Count",$A102)),UPPER(RIGHT([1]!GetExtension(A102),LEN([1]!GetExtension(A102))-1)),"")</f>
        <v>CS</v>
      </c>
      <c r="F102" s="36">
        <f>[1]!dtmFileDateInfo(A102)</f>
        <v>41904.603055555555</v>
      </c>
      <c r="G102" s="37">
        <f>[1]!lngFileSize(A102)</f>
        <v>130536</v>
      </c>
      <c r="H102" s="40" t="str">
        <f>[1]!GetFolder(A102)</f>
        <v>C:\Users\DAVE\Documents\Visual Studio 2013\Projects\WizardWrx_Libs\_Deprecated_Libraries\ApplicationHelpers2\ApplicationHelpers2TestHarness\ApplicationHelpers2TestHarness</v>
      </c>
      <c r="I102" s="38" t="s">
        <v>167</v>
      </c>
    </row>
    <row r="103" spans="1:9" ht="45" outlineLevel="2" x14ac:dyDescent="0.25">
      <c r="A103" s="51" t="s">
        <v>127</v>
      </c>
      <c r="B103" s="34">
        <v>1819</v>
      </c>
      <c r="C103" s="39" t="s">
        <v>261</v>
      </c>
      <c r="D103" s="34" t="str">
        <f>[1]!GetFile(A103)</f>
        <v>Program.cs</v>
      </c>
      <c r="E103" s="35" t="str">
        <f>IF(ISERROR(FIND("Count",$A103)),UPPER(RIGHT([1]!GetExtension(A103),LEN([1]!GetExtension(A103))-1)),"")</f>
        <v>CS</v>
      </c>
      <c r="F103" s="36">
        <f>[1]!dtmFileDateInfo(A103)</f>
        <v>41904.603055555555</v>
      </c>
      <c r="G103" s="37">
        <f>[1]!lngFileSize(A103)</f>
        <v>130536</v>
      </c>
      <c r="H103" s="40" t="str">
        <f>[1]!GetFolder(A103)</f>
        <v>C:\Users\DAVE\Documents\Visual Studio 2013\Projects\WizardWrx_Libs\_Deprecated_Libraries\ApplicationHelpers2\ApplicationHelpers2TestHarness\ApplicationHelpers2TestHarness</v>
      </c>
      <c r="I103" s="38" t="s">
        <v>167</v>
      </c>
    </row>
    <row r="104" spans="1:9" ht="45" outlineLevel="2" x14ac:dyDescent="0.25">
      <c r="A104" s="51" t="s">
        <v>127</v>
      </c>
      <c r="B104" s="34">
        <v>1862</v>
      </c>
      <c r="C104" s="39" t="s">
        <v>311</v>
      </c>
      <c r="D104" s="34" t="str">
        <f>[1]!GetFile(A104)</f>
        <v>Program.cs</v>
      </c>
      <c r="E104" s="35" t="str">
        <f>IF(ISERROR(FIND("Count",$A104)),UPPER(RIGHT([1]!GetExtension(A104),LEN([1]!GetExtension(A104))-1)),"")</f>
        <v>CS</v>
      </c>
      <c r="F104" s="36">
        <f>[1]!dtmFileDateInfo(A104)</f>
        <v>41904.603055555555</v>
      </c>
      <c r="G104" s="37">
        <f>[1]!lngFileSize(A104)</f>
        <v>130536</v>
      </c>
      <c r="H104" s="40" t="str">
        <f>[1]!GetFolder(A104)</f>
        <v>C:\Users\DAVE\Documents\Visual Studio 2013\Projects\WizardWrx_Libs\_Deprecated_Libraries\ApplicationHelpers2\ApplicationHelpers2TestHarness\ApplicationHelpers2TestHarness</v>
      </c>
      <c r="I104" s="38" t="s">
        <v>167</v>
      </c>
    </row>
    <row r="105" spans="1:9" outlineLevel="1" x14ac:dyDescent="0.25">
      <c r="A105" s="52" t="s">
        <v>162</v>
      </c>
      <c r="B105" s="34">
        <f>SUBTOTAL(3,B102:B104)</f>
        <v>3</v>
      </c>
      <c r="C105" s="39"/>
      <c r="D105" s="34"/>
      <c r="E105" s="35"/>
      <c r="F105" s="36"/>
      <c r="G105" s="37"/>
      <c r="H105" s="40"/>
      <c r="I105" s="38"/>
    </row>
    <row r="106" spans="1:9" outlineLevel="2" x14ac:dyDescent="0.25">
      <c r="A106" s="51" t="s">
        <v>324</v>
      </c>
      <c r="B106" s="34">
        <v>2672</v>
      </c>
      <c r="C106" s="39" t="s">
        <v>303</v>
      </c>
      <c r="D106" s="34" t="str">
        <f>[1]!GetFile(A106)</f>
        <v>CmdLneArgsBasic.cs</v>
      </c>
      <c r="E106" s="35" t="str">
        <f>IF(ISERROR(FIND("Count",$A106)),UPPER(RIGHT([1]!GetExtension(A106),LEN([1]!GetExtension(A106))-1)),"")</f>
        <v>CS</v>
      </c>
      <c r="F106" s="36">
        <f>[1]!dtmFileDateInfo(A106)</f>
        <v>42162.631493055553</v>
      </c>
      <c r="G106" s="37">
        <f>[1]!lngFileSize(A106)</f>
        <v>157843</v>
      </c>
      <c r="H106" s="40" t="str">
        <f>[1]!GetFolder(A106)</f>
        <v>C:\Users\DAVE\Documents\Visual Studio 2013\Projects\WizardWrx_Libs\_Deprecated_Libraries\ApplicationHelpers3\ApplicationHelpers3</v>
      </c>
      <c r="I106" s="38" t="s">
        <v>167</v>
      </c>
    </row>
    <row r="107" spans="1:9" outlineLevel="1" x14ac:dyDescent="0.25">
      <c r="A107" s="52" t="s">
        <v>366</v>
      </c>
      <c r="B107" s="34">
        <f>SUBTOTAL(3,B106:B106)</f>
        <v>1</v>
      </c>
      <c r="C107" s="39"/>
      <c r="D107" s="34"/>
      <c r="E107" s="35"/>
      <c r="F107" s="36"/>
      <c r="G107" s="37"/>
      <c r="H107" s="40"/>
      <c r="I107" s="38"/>
    </row>
    <row r="108" spans="1:9" outlineLevel="2" x14ac:dyDescent="0.25">
      <c r="A108" s="51" t="s">
        <v>133</v>
      </c>
      <c r="B108" s="34">
        <v>643</v>
      </c>
      <c r="C108" s="39" t="s">
        <v>310</v>
      </c>
      <c r="D108" s="34" t="str">
        <f>[1]!GetFile(A108)</f>
        <v>SysDateFormatters.cs</v>
      </c>
      <c r="E108" s="35" t="str">
        <f>IF(ISERROR(FIND("Count",$A108)),UPPER(RIGHT([1]!GetExtension(A108),LEN([1]!GetExtension(A108))-1)),"")</f>
        <v>CS</v>
      </c>
      <c r="F108" s="36">
        <f>[1]!dtmFileDateInfo(A108)</f>
        <v>42162.08011574074</v>
      </c>
      <c r="G108" s="37">
        <f>[1]!lngFileSize(A108)</f>
        <v>32541</v>
      </c>
      <c r="H108" s="40" t="str">
        <f>[1]!GetFolder(A108)</f>
        <v>C:\Users\DAVE\Documents\Visual Studio 2013\Projects\WizardWrx_Libs\_Deprecated_Libraries\ApplicationHelpers3\ApplicationHelpers3</v>
      </c>
      <c r="I108" s="38" t="s">
        <v>167</v>
      </c>
    </row>
    <row r="109" spans="1:9" outlineLevel="2" x14ac:dyDescent="0.25">
      <c r="A109" s="51" t="s">
        <v>133</v>
      </c>
      <c r="B109" s="34">
        <v>647</v>
      </c>
      <c r="C109" s="39" t="s">
        <v>303</v>
      </c>
      <c r="D109" s="34" t="str">
        <f>[1]!GetFile(A109)</f>
        <v>SysDateFormatters.cs</v>
      </c>
      <c r="E109" s="35" t="str">
        <f>IF(ISERROR(FIND("Count",$A109)),UPPER(RIGHT([1]!GetExtension(A109),LEN([1]!GetExtension(A109))-1)),"")</f>
        <v>CS</v>
      </c>
      <c r="F109" s="36">
        <f>[1]!dtmFileDateInfo(A109)</f>
        <v>42162.08011574074</v>
      </c>
      <c r="G109" s="37">
        <f>[1]!lngFileSize(A109)</f>
        <v>32541</v>
      </c>
      <c r="H109" s="40" t="str">
        <f>[1]!GetFolder(A109)</f>
        <v>C:\Users\DAVE\Documents\Visual Studio 2013\Projects\WizardWrx_Libs\_Deprecated_Libraries\ApplicationHelpers3\ApplicationHelpers3</v>
      </c>
      <c r="I109" s="38" t="s">
        <v>167</v>
      </c>
    </row>
    <row r="110" spans="1:9" outlineLevel="1" x14ac:dyDescent="0.25">
      <c r="A110" s="52" t="s">
        <v>164</v>
      </c>
      <c r="B110" s="34">
        <f>SUBTOTAL(3,B108:B109)</f>
        <v>2</v>
      </c>
      <c r="C110" s="39"/>
      <c r="D110" s="34"/>
      <c r="E110" s="35"/>
      <c r="F110" s="36"/>
      <c r="G110" s="37"/>
      <c r="H110" s="40"/>
      <c r="I110" s="38"/>
    </row>
    <row r="111" spans="1:9" outlineLevel="2" x14ac:dyDescent="0.25">
      <c r="A111" s="51" t="s">
        <v>325</v>
      </c>
      <c r="B111" s="34">
        <v>815</v>
      </c>
      <c r="C111" s="39" t="s">
        <v>326</v>
      </c>
      <c r="D111" s="34" t="str">
        <f>[1]!GetFile(A111)</f>
        <v>Util.cs</v>
      </c>
      <c r="E111" s="35" t="str">
        <f>IF(ISERROR(FIND("Count",$A111)),UPPER(RIGHT([1]!GetExtension(A111),LEN([1]!GetExtension(A111))-1)),"")</f>
        <v>CS</v>
      </c>
      <c r="F111" s="36">
        <f>[1]!dtmFileDateInfo(A111)</f>
        <v>42161.952337962961</v>
      </c>
      <c r="G111" s="37">
        <f>[1]!lngFileSize(A111)</f>
        <v>46639</v>
      </c>
      <c r="H111" s="40" t="str">
        <f>[1]!GetFolder(A111)</f>
        <v>C:\Users\DAVE\Documents\Visual Studio 2013\Projects\WizardWrx_Libs\_Deprecated_Libraries\ApplicationHelpers3\ApplicationHelpers3</v>
      </c>
      <c r="I111" s="38" t="s">
        <v>167</v>
      </c>
    </row>
    <row r="112" spans="1:9" outlineLevel="1" x14ac:dyDescent="0.25">
      <c r="A112" s="52" t="s">
        <v>367</v>
      </c>
      <c r="B112" s="34">
        <f>SUBTOTAL(3,B111:B111)</f>
        <v>1</v>
      </c>
      <c r="C112" s="39"/>
      <c r="D112" s="34"/>
      <c r="E112" s="35"/>
      <c r="F112" s="36"/>
      <c r="G112" s="37"/>
      <c r="H112" s="40"/>
      <c r="I112" s="38"/>
    </row>
    <row r="113" spans="1:9" outlineLevel="2" x14ac:dyDescent="0.25">
      <c r="A113" s="51" t="s">
        <v>270</v>
      </c>
      <c r="B113" s="34">
        <v>102</v>
      </c>
      <c r="C113" s="39" t="s">
        <v>327</v>
      </c>
      <c r="D113" s="34" t="str">
        <f>[1]!GetFile(A113)</f>
        <v>Resources.Designer.cs</v>
      </c>
      <c r="E113" s="35" t="str">
        <f>IF(ISERROR(FIND("Count",$A113)),UPPER(RIGHT([1]!GetExtension(A113),LEN([1]!GetExtension(A113))-1)),"")</f>
        <v>CS</v>
      </c>
      <c r="F113" s="36">
        <f>[1]!dtmFileDateInfo(A113)</f>
        <v>42162.08011574074</v>
      </c>
      <c r="G113" s="37">
        <f>[1]!lngFileSize(A113)</f>
        <v>12289</v>
      </c>
      <c r="H113" s="40" t="str">
        <f>[1]!GetFolder(A113)</f>
        <v>C:\Users\DAVE\Documents\Visual Studio 2013\Projects\WizardWrx_Libs\_Deprecated_Libraries\ApplicationHelpers3\ApplicationHelpers3\Properties</v>
      </c>
      <c r="I113" s="38" t="s">
        <v>167</v>
      </c>
    </row>
    <row r="114" spans="1:9" outlineLevel="2" x14ac:dyDescent="0.25">
      <c r="A114" s="51" t="s">
        <v>270</v>
      </c>
      <c r="B114" s="34">
        <v>104</v>
      </c>
      <c r="C114" s="39" t="s">
        <v>305</v>
      </c>
      <c r="D114" s="34" t="str">
        <f>[1]!GetFile(A114)</f>
        <v>Resources.Designer.cs</v>
      </c>
      <c r="E114" s="35" t="str">
        <f>IF(ISERROR(FIND("Count",$A114)),UPPER(RIGHT([1]!GetExtension(A114),LEN([1]!GetExtension(A114))-1)),"")</f>
        <v>CS</v>
      </c>
      <c r="F114" s="36">
        <f>[1]!dtmFileDateInfo(A114)</f>
        <v>42162.08011574074</v>
      </c>
      <c r="G114" s="37">
        <f>[1]!lngFileSize(A114)</f>
        <v>12289</v>
      </c>
      <c r="H114" s="40" t="str">
        <f>[1]!GetFolder(A114)</f>
        <v>C:\Users\DAVE\Documents\Visual Studio 2013\Projects\WizardWrx_Libs\_Deprecated_Libraries\ApplicationHelpers3\ApplicationHelpers3\Properties</v>
      </c>
      <c r="I114" s="38" t="s">
        <v>167</v>
      </c>
    </row>
    <row r="115" spans="1:9" outlineLevel="2" x14ac:dyDescent="0.25">
      <c r="A115" s="51" t="s">
        <v>270</v>
      </c>
      <c r="B115" s="34">
        <v>111</v>
      </c>
      <c r="C115" s="39" t="s">
        <v>269</v>
      </c>
      <c r="D115" s="34" t="str">
        <f>[1]!GetFile(A115)</f>
        <v>Resources.Designer.cs</v>
      </c>
      <c r="E115" s="35" t="str">
        <f>IF(ISERROR(FIND("Count",$A115)),UPPER(RIGHT([1]!GetExtension(A115),LEN([1]!GetExtension(A115))-1)),"")</f>
        <v>CS</v>
      </c>
      <c r="F115" s="36">
        <f>[1]!dtmFileDateInfo(A115)</f>
        <v>42162.08011574074</v>
      </c>
      <c r="G115" s="37">
        <f>[1]!lngFileSize(A115)</f>
        <v>12289</v>
      </c>
      <c r="H115" s="40" t="str">
        <f>[1]!GetFolder(A115)</f>
        <v>C:\Users\DAVE\Documents\Visual Studio 2013\Projects\WizardWrx_Libs\_Deprecated_Libraries\ApplicationHelpers3\ApplicationHelpers3\Properties</v>
      </c>
      <c r="I115" s="38" t="s">
        <v>167</v>
      </c>
    </row>
    <row r="116" spans="1:9" ht="30" outlineLevel="2" x14ac:dyDescent="0.25">
      <c r="A116" s="51" t="s">
        <v>270</v>
      </c>
      <c r="B116" s="34">
        <v>113</v>
      </c>
      <c r="C116" s="39" t="s">
        <v>306</v>
      </c>
      <c r="D116" s="34" t="str">
        <f>[1]!GetFile(A116)</f>
        <v>Resources.Designer.cs</v>
      </c>
      <c r="E116" s="35" t="str">
        <f>IF(ISERROR(FIND("Count",$A116)),UPPER(RIGHT([1]!GetExtension(A116),LEN([1]!GetExtension(A116))-1)),"")</f>
        <v>CS</v>
      </c>
      <c r="F116" s="36">
        <f>[1]!dtmFileDateInfo(A116)</f>
        <v>42162.08011574074</v>
      </c>
      <c r="G116" s="37">
        <f>[1]!lngFileSize(A116)</f>
        <v>12289</v>
      </c>
      <c r="H116" s="40" t="str">
        <f>[1]!GetFolder(A116)</f>
        <v>C:\Users\DAVE\Documents\Visual Studio 2013\Projects\WizardWrx_Libs\_Deprecated_Libraries\ApplicationHelpers3\ApplicationHelpers3\Properties</v>
      </c>
      <c r="I116" s="38" t="s">
        <v>167</v>
      </c>
    </row>
    <row r="117" spans="1:9" outlineLevel="1" x14ac:dyDescent="0.25">
      <c r="A117" s="52" t="s">
        <v>368</v>
      </c>
      <c r="B117" s="34">
        <f>SUBTOTAL(3,B113:B116)</f>
        <v>4</v>
      </c>
      <c r="C117" s="39"/>
      <c r="D117" s="34"/>
      <c r="E117" s="35"/>
      <c r="F117" s="36"/>
      <c r="G117" s="37"/>
      <c r="H117" s="40"/>
      <c r="I117" s="38"/>
    </row>
    <row r="118" spans="1:9" ht="45" outlineLevel="2" x14ac:dyDescent="0.25">
      <c r="A118" s="51" t="s">
        <v>137</v>
      </c>
      <c r="B118" s="34">
        <v>1783</v>
      </c>
      <c r="C118" s="39" t="s">
        <v>260</v>
      </c>
      <c r="D118" s="34" t="str">
        <f>[1]!GetFile(A118)</f>
        <v>Program.cs</v>
      </c>
      <c r="E118" s="35" t="str">
        <f>IF(ISERROR(FIND("Count",$A118)),UPPER(RIGHT([1]!GetExtension(A118),LEN([1]!GetExtension(A118))-1)),"")</f>
        <v>CS</v>
      </c>
      <c r="F118" s="36">
        <f>[1]!dtmFileDateInfo(A118)</f>
        <v>42161.941446759258</v>
      </c>
      <c r="G118" s="37">
        <f>[1]!lngFileSize(A118)</f>
        <v>129175</v>
      </c>
      <c r="H118" s="40" t="str">
        <f>[1]!GetFolder(A118)</f>
        <v>C:\Users\DAVE\Documents\Visual Studio 2013\Projects\WizardWrx_Libs\_Deprecated_Libraries\ApplicationHelpers3\TestStand</v>
      </c>
      <c r="I118" s="38" t="s">
        <v>167</v>
      </c>
    </row>
    <row r="119" spans="1:9" ht="45" outlineLevel="2" x14ac:dyDescent="0.25">
      <c r="A119" s="51" t="s">
        <v>137</v>
      </c>
      <c r="B119" s="34">
        <v>1793</v>
      </c>
      <c r="C119" s="39" t="s">
        <v>261</v>
      </c>
      <c r="D119" s="34" t="str">
        <f>[1]!GetFile(A119)</f>
        <v>Program.cs</v>
      </c>
      <c r="E119" s="35" t="str">
        <f>IF(ISERROR(FIND("Count",$A119)),UPPER(RIGHT([1]!GetExtension(A119),LEN([1]!GetExtension(A119))-1)),"")</f>
        <v>CS</v>
      </c>
      <c r="F119" s="36">
        <f>[1]!dtmFileDateInfo(A119)</f>
        <v>42161.941446759258</v>
      </c>
      <c r="G119" s="37">
        <f>[1]!lngFileSize(A119)</f>
        <v>129175</v>
      </c>
      <c r="H119" s="40" t="str">
        <f>[1]!GetFolder(A119)</f>
        <v>C:\Users\DAVE\Documents\Visual Studio 2013\Projects\WizardWrx_Libs\_Deprecated_Libraries\ApplicationHelpers3\TestStand</v>
      </c>
      <c r="I119" s="38" t="s">
        <v>167</v>
      </c>
    </row>
    <row r="120" spans="1:9" ht="45" outlineLevel="2" x14ac:dyDescent="0.25">
      <c r="A120" s="51" t="s">
        <v>137</v>
      </c>
      <c r="B120" s="34">
        <v>1836</v>
      </c>
      <c r="C120" s="39" t="s">
        <v>311</v>
      </c>
      <c r="D120" s="34" t="str">
        <f>[1]!GetFile(A120)</f>
        <v>Program.cs</v>
      </c>
      <c r="E120" s="35" t="str">
        <f>IF(ISERROR(FIND("Count",$A120)),UPPER(RIGHT([1]!GetExtension(A120),LEN([1]!GetExtension(A120))-1)),"")</f>
        <v>CS</v>
      </c>
      <c r="F120" s="36">
        <f>[1]!dtmFileDateInfo(A120)</f>
        <v>42161.941446759258</v>
      </c>
      <c r="G120" s="37">
        <f>[1]!lngFileSize(A120)</f>
        <v>129175</v>
      </c>
      <c r="H120" s="40" t="str">
        <f>[1]!GetFolder(A120)</f>
        <v>C:\Users\DAVE\Documents\Visual Studio 2013\Projects\WizardWrx_Libs\_Deprecated_Libraries\ApplicationHelpers3\TestStand</v>
      </c>
      <c r="I120" s="38" t="s">
        <v>167</v>
      </c>
    </row>
    <row r="121" spans="1:9" outlineLevel="1" x14ac:dyDescent="0.25">
      <c r="A121" s="52" t="s">
        <v>166</v>
      </c>
      <c r="B121" s="34">
        <f>SUBTOTAL(3,B118:B120)</f>
        <v>3</v>
      </c>
      <c r="C121" s="39"/>
      <c r="D121" s="34"/>
      <c r="E121" s="35"/>
      <c r="F121" s="36"/>
      <c r="G121" s="37"/>
      <c r="H121" s="40"/>
      <c r="I121" s="38"/>
    </row>
    <row r="122" spans="1:9" outlineLevel="2" x14ac:dyDescent="0.25">
      <c r="A122" s="51" t="s">
        <v>274</v>
      </c>
      <c r="B122" s="34">
        <v>73</v>
      </c>
      <c r="C122" s="39" t="s">
        <v>273</v>
      </c>
      <c r="D122" s="34" t="str">
        <f>[1]!GetFile(A122)</f>
        <v>UtilityConstants.cs</v>
      </c>
      <c r="E122" s="35" t="str">
        <f>IF(ISERROR(FIND("Count",$A122)),UPPER(RIGHT([1]!GetExtension(A122),LEN([1]!GetExtension(A122))-1)),"")</f>
        <v>CS</v>
      </c>
      <c r="F122" s="36">
        <f>[1]!dtmFileDateInfo(A122)</f>
        <v>40272.871319444443</v>
      </c>
      <c r="G122" s="37">
        <f>[1]!lngFileSize(A122)</f>
        <v>24121</v>
      </c>
      <c r="H122" s="40" t="str">
        <f>[1]!GetFolder(A122)</f>
        <v>C:\Users\DAVE\Documents\Visual Studio 2013\Projects\WizardWrx_Libs\_Deprecated_Libraries\DateMath\DateMath</v>
      </c>
      <c r="I122" s="38" t="s">
        <v>167</v>
      </c>
    </row>
    <row r="123" spans="1:9" outlineLevel="2" x14ac:dyDescent="0.25">
      <c r="A123" s="51" t="s">
        <v>274</v>
      </c>
      <c r="B123" s="34">
        <v>506</v>
      </c>
      <c r="C123" s="39" t="s">
        <v>318</v>
      </c>
      <c r="D123" s="34" t="str">
        <f>[1]!GetFile(A123)</f>
        <v>UtilityConstants.cs</v>
      </c>
      <c r="E123" s="35" t="str">
        <f>IF(ISERROR(FIND("Count",$A123)),UPPER(RIGHT([1]!GetExtension(A123),LEN([1]!GetExtension(A123))-1)),"")</f>
        <v>CS</v>
      </c>
      <c r="F123" s="36">
        <f>[1]!dtmFileDateInfo(A123)</f>
        <v>40272.871319444443</v>
      </c>
      <c r="G123" s="37">
        <f>[1]!lngFileSize(A123)</f>
        <v>24121</v>
      </c>
      <c r="H123" s="40" t="str">
        <f>[1]!GetFolder(A123)</f>
        <v>C:\Users\DAVE\Documents\Visual Studio 2013\Projects\WizardWrx_Libs\_Deprecated_Libraries\DateMath\DateMath</v>
      </c>
      <c r="I123" s="38" t="s">
        <v>167</v>
      </c>
    </row>
    <row r="124" spans="1:9" ht="30" outlineLevel="2" x14ac:dyDescent="0.25">
      <c r="A124" s="51" t="s">
        <v>274</v>
      </c>
      <c r="B124" s="34">
        <v>511</v>
      </c>
      <c r="C124" s="39" t="s">
        <v>328</v>
      </c>
      <c r="D124" s="34" t="str">
        <f>[1]!GetFile(A124)</f>
        <v>UtilityConstants.cs</v>
      </c>
      <c r="E124" s="35" t="str">
        <f>IF(ISERROR(FIND("Count",$A124)),UPPER(RIGHT([1]!GetExtension(A124),LEN([1]!GetExtension(A124))-1)),"")</f>
        <v>CS</v>
      </c>
      <c r="F124" s="36">
        <f>[1]!dtmFileDateInfo(A124)</f>
        <v>40272.871319444443</v>
      </c>
      <c r="G124" s="37">
        <f>[1]!lngFileSize(A124)</f>
        <v>24121</v>
      </c>
      <c r="H124" s="40" t="str">
        <f>[1]!GetFolder(A124)</f>
        <v>C:\Users\DAVE\Documents\Visual Studio 2013\Projects\WizardWrx_Libs\_Deprecated_Libraries\DateMath\DateMath</v>
      </c>
      <c r="I124" s="38" t="s">
        <v>167</v>
      </c>
    </row>
    <row r="125" spans="1:9" outlineLevel="1" x14ac:dyDescent="0.25">
      <c r="A125" s="52" t="s">
        <v>369</v>
      </c>
      <c r="B125" s="34">
        <f>SUBTOTAL(3,B122:B124)</f>
        <v>3</v>
      </c>
      <c r="C125" s="39"/>
      <c r="D125" s="34"/>
      <c r="E125" s="35"/>
      <c r="F125" s="36"/>
      <c r="G125" s="37"/>
      <c r="H125" s="40"/>
      <c r="I125" s="38"/>
    </row>
    <row r="126" spans="1:9" outlineLevel="2" x14ac:dyDescent="0.25">
      <c r="A126" s="51" t="s">
        <v>329</v>
      </c>
      <c r="B126" s="34">
        <v>624</v>
      </c>
      <c r="C126" s="39" t="s">
        <v>330</v>
      </c>
      <c r="D126" s="34" t="str">
        <f>[1]!GetFile(A126)</f>
        <v>DelimitedDataReader.cs</v>
      </c>
      <c r="E126" s="35" t="str">
        <f>IF(ISERROR(FIND("Count",$A126)),UPPER(RIGHT([1]!GetExtension(A126),LEN([1]!GetExtension(A126))-1)),"")</f>
        <v>CS</v>
      </c>
      <c r="F126" s="36">
        <f>[1]!dtmFileDateInfo(A126)</f>
        <v>41146.948101851849</v>
      </c>
      <c r="G126" s="37">
        <f>[1]!lngFileSize(A126)</f>
        <v>39661</v>
      </c>
      <c r="H126" s="40" t="str">
        <f>[1]!GetFolder(A126)</f>
        <v>C:\Users\DAVE\Documents\Visual Studio 2013\Projects\WizardWrx_Libs\_Deprecated_Libraries\SharedUtl2\SharedUtl2</v>
      </c>
      <c r="I126" s="38" t="s">
        <v>167</v>
      </c>
    </row>
    <row r="127" spans="1:9" outlineLevel="1" x14ac:dyDescent="0.25">
      <c r="A127" s="52" t="s">
        <v>370</v>
      </c>
      <c r="B127" s="34">
        <f>SUBTOTAL(3,B126:B126)</f>
        <v>1</v>
      </c>
      <c r="C127" s="39"/>
      <c r="D127" s="34"/>
      <c r="E127" s="35"/>
      <c r="F127" s="36"/>
      <c r="G127" s="37"/>
      <c r="H127" s="40"/>
      <c r="I127" s="38"/>
    </row>
    <row r="128" spans="1:9" outlineLevel="2" x14ac:dyDescent="0.25">
      <c r="A128" s="51" t="s">
        <v>277</v>
      </c>
      <c r="B128" s="34">
        <v>166</v>
      </c>
      <c r="C128" s="39" t="s">
        <v>276</v>
      </c>
      <c r="D128" s="34" t="str">
        <f>[1]!GetFile(A128)</f>
        <v>FileNameTricks.cs</v>
      </c>
      <c r="E128" s="35" t="str">
        <f>IF(ISERROR(FIND("Count",$A128)),UPPER(RIGHT([1]!GetExtension(A128),LEN([1]!GetExtension(A128))-1)),"")</f>
        <v>CS</v>
      </c>
      <c r="F128" s="36">
        <f>[1]!dtmFileDateInfo(A128)</f>
        <v>40875.890023148146</v>
      </c>
      <c r="G128" s="37">
        <f>[1]!lngFileSize(A128)</f>
        <v>23335</v>
      </c>
      <c r="H128" s="40" t="str">
        <f>[1]!GetFolder(A128)</f>
        <v>C:\Users\DAVE\Documents\Visual Studio 2013\Projects\WizardWrx_Libs\_Deprecated_Libraries\SharedUtl2\SharedUtl2</v>
      </c>
      <c r="I128" s="38" t="s">
        <v>167</v>
      </c>
    </row>
    <row r="129" spans="1:9" outlineLevel="2" x14ac:dyDescent="0.25">
      <c r="A129" s="51" t="s">
        <v>277</v>
      </c>
      <c r="B129" s="34">
        <v>219</v>
      </c>
      <c r="C129" s="39" t="s">
        <v>246</v>
      </c>
      <c r="D129" s="34" t="str">
        <f>[1]!GetFile(A129)</f>
        <v>FileNameTricks.cs</v>
      </c>
      <c r="E129" s="35" t="str">
        <f>IF(ISERROR(FIND("Count",$A129)),UPPER(RIGHT([1]!GetExtension(A129),LEN([1]!GetExtension(A129))-1)),"")</f>
        <v>CS</v>
      </c>
      <c r="F129" s="36">
        <f>[1]!dtmFileDateInfo(A129)</f>
        <v>40875.890023148146</v>
      </c>
      <c r="G129" s="37">
        <f>[1]!lngFileSize(A129)</f>
        <v>23335</v>
      </c>
      <c r="H129" s="40" t="str">
        <f>[1]!GetFolder(A129)</f>
        <v>C:\Users\DAVE\Documents\Visual Studio 2013\Projects\WizardWrx_Libs\_Deprecated_Libraries\SharedUtl2\SharedUtl2</v>
      </c>
      <c r="I129" s="38" t="s">
        <v>167</v>
      </c>
    </row>
    <row r="130" spans="1:9" outlineLevel="2" x14ac:dyDescent="0.25">
      <c r="A130" s="51" t="s">
        <v>277</v>
      </c>
      <c r="B130" s="34">
        <v>224</v>
      </c>
      <c r="C130" s="39" t="s">
        <v>246</v>
      </c>
      <c r="D130" s="34" t="str">
        <f>[1]!GetFile(A130)</f>
        <v>FileNameTricks.cs</v>
      </c>
      <c r="E130" s="35" t="str">
        <f>IF(ISERROR(FIND("Count",$A130)),UPPER(RIGHT([1]!GetExtension(A130),LEN([1]!GetExtension(A130))-1)),"")</f>
        <v>CS</v>
      </c>
      <c r="F130" s="36">
        <f>[1]!dtmFileDateInfo(A130)</f>
        <v>40875.890023148146</v>
      </c>
      <c r="G130" s="37">
        <f>[1]!lngFileSize(A130)</f>
        <v>23335</v>
      </c>
      <c r="H130" s="40" t="str">
        <f>[1]!GetFolder(A130)</f>
        <v>C:\Users\DAVE\Documents\Visual Studio 2013\Projects\WizardWrx_Libs\_Deprecated_Libraries\SharedUtl2\SharedUtl2</v>
      </c>
      <c r="I130" s="38" t="s">
        <v>167</v>
      </c>
    </row>
    <row r="131" spans="1:9" outlineLevel="2" x14ac:dyDescent="0.25">
      <c r="A131" s="51" t="s">
        <v>277</v>
      </c>
      <c r="B131" s="34">
        <v>310</v>
      </c>
      <c r="C131" s="39" t="s">
        <v>276</v>
      </c>
      <c r="D131" s="34" t="str">
        <f>[1]!GetFile(A131)</f>
        <v>FileNameTricks.cs</v>
      </c>
      <c r="E131" s="35" t="str">
        <f>IF(ISERROR(FIND("Count",$A131)),UPPER(RIGHT([1]!GetExtension(A131),LEN([1]!GetExtension(A131))-1)),"")</f>
        <v>CS</v>
      </c>
      <c r="F131" s="36">
        <f>[1]!dtmFileDateInfo(A131)</f>
        <v>40875.890023148146</v>
      </c>
      <c r="G131" s="37">
        <f>[1]!lngFileSize(A131)</f>
        <v>23335</v>
      </c>
      <c r="H131" s="40" t="str">
        <f>[1]!GetFolder(A131)</f>
        <v>C:\Users\DAVE\Documents\Visual Studio 2013\Projects\WizardWrx_Libs\_Deprecated_Libraries\SharedUtl2\SharedUtl2</v>
      </c>
      <c r="I131" s="38" t="s">
        <v>167</v>
      </c>
    </row>
    <row r="132" spans="1:9" outlineLevel="2" x14ac:dyDescent="0.25">
      <c r="A132" s="51" t="s">
        <v>277</v>
      </c>
      <c r="B132" s="34">
        <v>339</v>
      </c>
      <c r="C132" s="39" t="s">
        <v>276</v>
      </c>
      <c r="D132" s="34" t="str">
        <f>[1]!GetFile(A132)</f>
        <v>FileNameTricks.cs</v>
      </c>
      <c r="E132" s="35" t="str">
        <f>IF(ISERROR(FIND("Count",$A132)),UPPER(RIGHT([1]!GetExtension(A132),LEN([1]!GetExtension(A132))-1)),"")</f>
        <v>CS</v>
      </c>
      <c r="F132" s="36">
        <f>[1]!dtmFileDateInfo(A132)</f>
        <v>40875.890023148146</v>
      </c>
      <c r="G132" s="37">
        <f>[1]!lngFileSize(A132)</f>
        <v>23335</v>
      </c>
      <c r="H132" s="40" t="str">
        <f>[1]!GetFolder(A132)</f>
        <v>C:\Users\DAVE\Documents\Visual Studio 2013\Projects\WizardWrx_Libs\_Deprecated_Libraries\SharedUtl2\SharedUtl2</v>
      </c>
      <c r="I132" s="38" t="s">
        <v>167</v>
      </c>
    </row>
    <row r="133" spans="1:9" outlineLevel="2" x14ac:dyDescent="0.25">
      <c r="A133" s="51" t="s">
        <v>277</v>
      </c>
      <c r="B133" s="34">
        <v>367</v>
      </c>
      <c r="C133" s="39" t="s">
        <v>276</v>
      </c>
      <c r="D133" s="34" t="str">
        <f>[1]!GetFile(A133)</f>
        <v>FileNameTricks.cs</v>
      </c>
      <c r="E133" s="35" t="str">
        <f>IF(ISERROR(FIND("Count",$A133)),UPPER(RIGHT([1]!GetExtension(A133),LEN([1]!GetExtension(A133))-1)),"")</f>
        <v>CS</v>
      </c>
      <c r="F133" s="36">
        <f>[1]!dtmFileDateInfo(A133)</f>
        <v>40875.890023148146</v>
      </c>
      <c r="G133" s="37">
        <f>[1]!lngFileSize(A133)</f>
        <v>23335</v>
      </c>
      <c r="H133" s="40" t="str">
        <f>[1]!GetFolder(A133)</f>
        <v>C:\Users\DAVE\Documents\Visual Studio 2013\Projects\WizardWrx_Libs\_Deprecated_Libraries\SharedUtl2\SharedUtl2</v>
      </c>
      <c r="I133" s="38" t="s">
        <v>167</v>
      </c>
    </row>
    <row r="134" spans="1:9" outlineLevel="2" x14ac:dyDescent="0.25">
      <c r="A134" s="51" t="s">
        <v>277</v>
      </c>
      <c r="B134" s="34">
        <v>391</v>
      </c>
      <c r="C134" s="39" t="s">
        <v>276</v>
      </c>
      <c r="D134" s="34" t="str">
        <f>[1]!GetFile(A134)</f>
        <v>FileNameTricks.cs</v>
      </c>
      <c r="E134" s="35" t="str">
        <f>IF(ISERROR(FIND("Count",$A134)),UPPER(RIGHT([1]!GetExtension(A134),LEN([1]!GetExtension(A134))-1)),"")</f>
        <v>CS</v>
      </c>
      <c r="F134" s="36">
        <f>[1]!dtmFileDateInfo(A134)</f>
        <v>40875.890023148146</v>
      </c>
      <c r="G134" s="37">
        <f>[1]!lngFileSize(A134)</f>
        <v>23335</v>
      </c>
      <c r="H134" s="40" t="str">
        <f>[1]!GetFolder(A134)</f>
        <v>C:\Users\DAVE\Documents\Visual Studio 2013\Projects\WizardWrx_Libs\_Deprecated_Libraries\SharedUtl2\SharedUtl2</v>
      </c>
      <c r="I134" s="38" t="s">
        <v>167</v>
      </c>
    </row>
    <row r="135" spans="1:9" outlineLevel="2" x14ac:dyDescent="0.25">
      <c r="A135" s="51" t="s">
        <v>277</v>
      </c>
      <c r="B135" s="34">
        <v>431</v>
      </c>
      <c r="C135" s="39" t="s">
        <v>276</v>
      </c>
      <c r="D135" s="34" t="str">
        <f>[1]!GetFile(A135)</f>
        <v>FileNameTricks.cs</v>
      </c>
      <c r="E135" s="35" t="str">
        <f>IF(ISERROR(FIND("Count",$A135)),UPPER(RIGHT([1]!GetExtension(A135),LEN([1]!GetExtension(A135))-1)),"")</f>
        <v>CS</v>
      </c>
      <c r="F135" s="36">
        <f>[1]!dtmFileDateInfo(A135)</f>
        <v>40875.890023148146</v>
      </c>
      <c r="G135" s="37">
        <f>[1]!lngFileSize(A135)</f>
        <v>23335</v>
      </c>
      <c r="H135" s="40" t="str">
        <f>[1]!GetFolder(A135)</f>
        <v>C:\Users\DAVE\Documents\Visual Studio 2013\Projects\WizardWrx_Libs\_Deprecated_Libraries\SharedUtl2\SharedUtl2</v>
      </c>
      <c r="I135" s="38" t="s">
        <v>167</v>
      </c>
    </row>
    <row r="136" spans="1:9" outlineLevel="2" x14ac:dyDescent="0.25">
      <c r="A136" s="51" t="s">
        <v>277</v>
      </c>
      <c r="B136" s="34">
        <v>478</v>
      </c>
      <c r="C136" s="39" t="s">
        <v>276</v>
      </c>
      <c r="D136" s="34" t="str">
        <f>[1]!GetFile(A136)</f>
        <v>FileNameTricks.cs</v>
      </c>
      <c r="E136" s="35" t="str">
        <f>IF(ISERROR(FIND("Count",$A136)),UPPER(RIGHT([1]!GetExtension(A136),LEN([1]!GetExtension(A136))-1)),"")</f>
        <v>CS</v>
      </c>
      <c r="F136" s="36">
        <f>[1]!dtmFileDateInfo(A136)</f>
        <v>40875.890023148146</v>
      </c>
      <c r="G136" s="37">
        <f>[1]!lngFileSize(A136)</f>
        <v>23335</v>
      </c>
      <c r="H136" s="40" t="str">
        <f>[1]!GetFolder(A136)</f>
        <v>C:\Users\DAVE\Documents\Visual Studio 2013\Projects\WizardWrx_Libs\_Deprecated_Libraries\SharedUtl2\SharedUtl2</v>
      </c>
      <c r="I136" s="38" t="s">
        <v>167</v>
      </c>
    </row>
    <row r="137" spans="1:9" outlineLevel="2" x14ac:dyDescent="0.25">
      <c r="A137" s="51" t="s">
        <v>277</v>
      </c>
      <c r="B137" s="34">
        <v>508</v>
      </c>
      <c r="C137" s="39" t="s">
        <v>276</v>
      </c>
      <c r="D137" s="34" t="str">
        <f>[1]!GetFile(A137)</f>
        <v>FileNameTricks.cs</v>
      </c>
      <c r="E137" s="35" t="str">
        <f>IF(ISERROR(FIND("Count",$A137)),UPPER(RIGHT([1]!GetExtension(A137),LEN([1]!GetExtension(A137))-1)),"")</f>
        <v>CS</v>
      </c>
      <c r="F137" s="36">
        <f>[1]!dtmFileDateInfo(A137)</f>
        <v>40875.890023148146</v>
      </c>
      <c r="G137" s="37">
        <f>[1]!lngFileSize(A137)</f>
        <v>23335</v>
      </c>
      <c r="H137" s="40" t="str">
        <f>[1]!GetFolder(A137)</f>
        <v>C:\Users\DAVE\Documents\Visual Studio 2013\Projects\WizardWrx_Libs\_Deprecated_Libraries\SharedUtl2\SharedUtl2</v>
      </c>
      <c r="I137" s="38" t="s">
        <v>167</v>
      </c>
    </row>
    <row r="138" spans="1:9" outlineLevel="1" x14ac:dyDescent="0.25">
      <c r="A138" s="52" t="s">
        <v>371</v>
      </c>
      <c r="B138" s="34">
        <f>SUBTOTAL(3,B128:B137)</f>
        <v>10</v>
      </c>
      <c r="C138" s="39"/>
      <c r="D138" s="34"/>
      <c r="E138" s="35"/>
      <c r="F138" s="36"/>
      <c r="G138" s="37"/>
      <c r="H138" s="40"/>
      <c r="I138" s="38"/>
    </row>
    <row r="139" spans="1:9" ht="45" outlineLevel="2" x14ac:dyDescent="0.25">
      <c r="A139" s="51" t="s">
        <v>331</v>
      </c>
      <c r="B139" s="34">
        <v>1233</v>
      </c>
      <c r="C139" s="39" t="s">
        <v>332</v>
      </c>
      <c r="D139" s="34" t="str">
        <f>[1]!GetFile(A139)</f>
        <v>MachineApplicationMutex.cs</v>
      </c>
      <c r="E139" s="35" t="str">
        <f>IF(ISERROR(FIND("Count",$A139)),UPPER(RIGHT([1]!GetExtension(A139),LEN([1]!GetExtension(A139))-1)),"")</f>
        <v>CS</v>
      </c>
      <c r="F139" s="36">
        <f>[1]!dtmFileDateInfo(A139)</f>
        <v>41158.943425925929</v>
      </c>
      <c r="G139" s="37">
        <f>[1]!lngFileSize(A139)</f>
        <v>76388</v>
      </c>
      <c r="H139" s="40" t="str">
        <f>[1]!GetFolder(A139)</f>
        <v>C:\Users\DAVE\Documents\Visual Studio 2013\Projects\WizardWrx_Libs\_Deprecated_Libraries\SharedUtl2\SharedUtl2</v>
      </c>
      <c r="I139" s="38" t="s">
        <v>167</v>
      </c>
    </row>
    <row r="140" spans="1:9" outlineLevel="2" x14ac:dyDescent="0.25">
      <c r="A140" s="51" t="s">
        <v>331</v>
      </c>
      <c r="B140" s="34">
        <v>1275</v>
      </c>
      <c r="C140" s="39" t="s">
        <v>333</v>
      </c>
      <c r="D140" s="34" t="str">
        <f>[1]!GetFile(A140)</f>
        <v>MachineApplicationMutex.cs</v>
      </c>
      <c r="E140" s="35" t="str">
        <f>IF(ISERROR(FIND("Count",$A140)),UPPER(RIGHT([1]!GetExtension(A140),LEN([1]!GetExtension(A140))-1)),"")</f>
        <v>CS</v>
      </c>
      <c r="F140" s="36">
        <f>[1]!dtmFileDateInfo(A140)</f>
        <v>41158.943425925929</v>
      </c>
      <c r="G140" s="37">
        <f>[1]!lngFileSize(A140)</f>
        <v>76388</v>
      </c>
      <c r="H140" s="40" t="str">
        <f>[1]!GetFolder(A140)</f>
        <v>C:\Users\DAVE\Documents\Visual Studio 2013\Projects\WizardWrx_Libs\_Deprecated_Libraries\SharedUtl2\SharedUtl2</v>
      </c>
      <c r="I140" s="38" t="s">
        <v>167</v>
      </c>
    </row>
    <row r="141" spans="1:9" outlineLevel="2" x14ac:dyDescent="0.25">
      <c r="A141" s="51" t="s">
        <v>331</v>
      </c>
      <c r="B141" s="34">
        <v>1443</v>
      </c>
      <c r="C141" s="39" t="s">
        <v>334</v>
      </c>
      <c r="D141" s="34" t="str">
        <f>[1]!GetFile(A141)</f>
        <v>MachineApplicationMutex.cs</v>
      </c>
      <c r="E141" s="35" t="str">
        <f>IF(ISERROR(FIND("Count",$A141)),UPPER(RIGHT([1]!GetExtension(A141),LEN([1]!GetExtension(A141))-1)),"")</f>
        <v>CS</v>
      </c>
      <c r="F141" s="36">
        <f>[1]!dtmFileDateInfo(A141)</f>
        <v>41158.943425925929</v>
      </c>
      <c r="G141" s="37">
        <f>[1]!lngFileSize(A141)</f>
        <v>76388</v>
      </c>
      <c r="H141" s="40" t="str">
        <f>[1]!GetFolder(A141)</f>
        <v>C:\Users\DAVE\Documents\Visual Studio 2013\Projects\WizardWrx_Libs\_Deprecated_Libraries\SharedUtl2\SharedUtl2</v>
      </c>
      <c r="I141" s="38" t="s">
        <v>167</v>
      </c>
    </row>
    <row r="142" spans="1:9" outlineLevel="2" x14ac:dyDescent="0.25">
      <c r="A142" s="51" t="s">
        <v>331</v>
      </c>
      <c r="B142" s="34">
        <v>1537</v>
      </c>
      <c r="C142" s="39" t="s">
        <v>292</v>
      </c>
      <c r="D142" s="34" t="str">
        <f>[1]!GetFile(A142)</f>
        <v>MachineApplicationMutex.cs</v>
      </c>
      <c r="E142" s="35" t="str">
        <f>IF(ISERROR(FIND("Count",$A142)),UPPER(RIGHT([1]!GetExtension(A142),LEN([1]!GetExtension(A142))-1)),"")</f>
        <v>CS</v>
      </c>
      <c r="F142" s="36">
        <f>[1]!dtmFileDateInfo(A142)</f>
        <v>41158.943425925929</v>
      </c>
      <c r="G142" s="37">
        <f>[1]!lngFileSize(A142)</f>
        <v>76388</v>
      </c>
      <c r="H142" s="40" t="str">
        <f>[1]!GetFolder(A142)</f>
        <v>C:\Users\DAVE\Documents\Visual Studio 2013\Projects\WizardWrx_Libs\_Deprecated_Libraries\SharedUtl2\SharedUtl2</v>
      </c>
      <c r="I142" s="38" t="s">
        <v>167</v>
      </c>
    </row>
    <row r="143" spans="1:9" outlineLevel="1" x14ac:dyDescent="0.25">
      <c r="A143" s="52" t="s">
        <v>372</v>
      </c>
      <c r="B143" s="34">
        <f>SUBTOTAL(3,B139:B142)</f>
        <v>4</v>
      </c>
      <c r="C143" s="39"/>
      <c r="D143" s="34"/>
      <c r="E143" s="35"/>
      <c r="F143" s="36"/>
      <c r="G143" s="37"/>
      <c r="H143" s="40"/>
      <c r="I143" s="38"/>
    </row>
    <row r="144" spans="1:9" outlineLevel="2" x14ac:dyDescent="0.25">
      <c r="A144" s="51" t="s">
        <v>279</v>
      </c>
      <c r="B144" s="34">
        <v>69</v>
      </c>
      <c r="C144" s="39" t="s">
        <v>273</v>
      </c>
      <c r="D144" s="34" t="str">
        <f>[1]!GetFile(A144)</f>
        <v>StandardConstants.cs</v>
      </c>
      <c r="E144" s="35" t="str">
        <f>IF(ISERROR(FIND("Count",$A144)),UPPER(RIGHT([1]!GetExtension(A144),LEN([1]!GetExtension(A144))-1)),"")</f>
        <v>CS</v>
      </c>
      <c r="F144" s="36">
        <f>[1]!dtmFileDateInfo(A144)</f>
        <v>40880.809745370374</v>
      </c>
      <c r="G144" s="37">
        <f>[1]!lngFileSize(A144)</f>
        <v>31861</v>
      </c>
      <c r="H144" s="40" t="str">
        <f>[1]!GetFolder(A144)</f>
        <v>C:\Users\DAVE\Documents\Visual Studio 2013\Projects\WizardWrx_Libs\_Deprecated_Libraries\SharedUtl2\SharedUtl2</v>
      </c>
      <c r="I144" s="38" t="s">
        <v>167</v>
      </c>
    </row>
    <row r="145" spans="1:9" outlineLevel="2" x14ac:dyDescent="0.25">
      <c r="A145" s="51" t="s">
        <v>279</v>
      </c>
      <c r="B145" s="34">
        <v>633</v>
      </c>
      <c r="C145" s="39" t="s">
        <v>318</v>
      </c>
      <c r="D145" s="34" t="str">
        <f>[1]!GetFile(A145)</f>
        <v>StandardConstants.cs</v>
      </c>
      <c r="E145" s="35" t="str">
        <f>IF(ISERROR(FIND("Count",$A145)),UPPER(RIGHT([1]!GetExtension(A145),LEN([1]!GetExtension(A145))-1)),"")</f>
        <v>CS</v>
      </c>
      <c r="F145" s="36">
        <f>[1]!dtmFileDateInfo(A145)</f>
        <v>40880.809745370374</v>
      </c>
      <c r="G145" s="37">
        <f>[1]!lngFileSize(A145)</f>
        <v>31861</v>
      </c>
      <c r="H145" s="40" t="str">
        <f>[1]!GetFolder(A145)</f>
        <v>C:\Users\DAVE\Documents\Visual Studio 2013\Projects\WizardWrx_Libs\_Deprecated_Libraries\SharedUtl2\SharedUtl2</v>
      </c>
      <c r="I145" s="38" t="s">
        <v>167</v>
      </c>
    </row>
    <row r="146" spans="1:9" ht="30" outlineLevel="2" x14ac:dyDescent="0.25">
      <c r="A146" s="51" t="s">
        <v>279</v>
      </c>
      <c r="B146" s="34">
        <v>638</v>
      </c>
      <c r="C146" s="39" t="s">
        <v>328</v>
      </c>
      <c r="D146" s="34" t="str">
        <f>[1]!GetFile(A146)</f>
        <v>StandardConstants.cs</v>
      </c>
      <c r="E146" s="35" t="str">
        <f>IF(ISERROR(FIND("Count",$A146)),UPPER(RIGHT([1]!GetExtension(A146),LEN([1]!GetExtension(A146))-1)),"")</f>
        <v>CS</v>
      </c>
      <c r="F146" s="36">
        <f>[1]!dtmFileDateInfo(A146)</f>
        <v>40880.809745370374</v>
      </c>
      <c r="G146" s="37">
        <f>[1]!lngFileSize(A146)</f>
        <v>31861</v>
      </c>
      <c r="H146" s="40" t="str">
        <f>[1]!GetFolder(A146)</f>
        <v>C:\Users\DAVE\Documents\Visual Studio 2013\Projects\WizardWrx_Libs\_Deprecated_Libraries\SharedUtl2\SharedUtl2</v>
      </c>
      <c r="I146" s="38" t="s">
        <v>167</v>
      </c>
    </row>
    <row r="147" spans="1:9" outlineLevel="1" x14ac:dyDescent="0.25">
      <c r="A147" s="52" t="s">
        <v>373</v>
      </c>
      <c r="B147" s="34">
        <f>SUBTOTAL(3,B144:B146)</f>
        <v>3</v>
      </c>
      <c r="C147" s="39"/>
      <c r="D147" s="34"/>
      <c r="E147" s="35"/>
      <c r="F147" s="36"/>
      <c r="G147" s="37"/>
      <c r="H147" s="40"/>
      <c r="I147" s="38"/>
    </row>
    <row r="148" spans="1:9" ht="30" outlineLevel="2" x14ac:dyDescent="0.25">
      <c r="A148" s="51" t="s">
        <v>282</v>
      </c>
      <c r="B148" s="34">
        <v>229</v>
      </c>
      <c r="C148" s="39" t="s">
        <v>281</v>
      </c>
      <c r="D148" s="34" t="str">
        <f>[1]!GetFile(A148)</f>
        <v>TextLog.cs</v>
      </c>
      <c r="E148" s="35" t="str">
        <f>IF(ISERROR(FIND("Count",$A148)),UPPER(RIGHT([1]!GetExtension(A148),LEN([1]!GetExtension(A148))-1)),"")</f>
        <v>CS</v>
      </c>
      <c r="F148" s="36">
        <f>[1]!dtmFileDateInfo(A148)</f>
        <v>40469.832083333335</v>
      </c>
      <c r="G148" s="37">
        <f>[1]!lngFileSize(A148)</f>
        <v>31536</v>
      </c>
      <c r="H148" s="40" t="str">
        <f>[1]!GetFolder(A148)</f>
        <v>C:\Users\DAVE\Documents\Visual Studio 2013\Projects\WizardWrx_Libs\_Deprecated_Libraries\SharedUtl2\SharedUtl2</v>
      </c>
      <c r="I148" s="38" t="s">
        <v>167</v>
      </c>
    </row>
    <row r="149" spans="1:9" outlineLevel="2" x14ac:dyDescent="0.25">
      <c r="A149" s="51" t="s">
        <v>282</v>
      </c>
      <c r="B149" s="34">
        <v>324</v>
      </c>
      <c r="C149" s="39" t="s">
        <v>335</v>
      </c>
      <c r="D149" s="34" t="str">
        <f>[1]!GetFile(A149)</f>
        <v>TextLog.cs</v>
      </c>
      <c r="E149" s="35" t="str">
        <f>IF(ISERROR(FIND("Count",$A149)),UPPER(RIGHT([1]!GetExtension(A149),LEN([1]!GetExtension(A149))-1)),"")</f>
        <v>CS</v>
      </c>
      <c r="F149" s="36">
        <f>[1]!dtmFileDateInfo(A149)</f>
        <v>40469.832083333335</v>
      </c>
      <c r="G149" s="37">
        <f>[1]!lngFileSize(A149)</f>
        <v>31536</v>
      </c>
      <c r="H149" s="40" t="str">
        <f>[1]!GetFolder(A149)</f>
        <v>C:\Users\DAVE\Documents\Visual Studio 2013\Projects\WizardWrx_Libs\_Deprecated_Libraries\SharedUtl2\SharedUtl2</v>
      </c>
      <c r="I149" s="38" t="s">
        <v>167</v>
      </c>
    </row>
    <row r="150" spans="1:9" outlineLevel="1" x14ac:dyDescent="0.25">
      <c r="A150" s="52" t="s">
        <v>374</v>
      </c>
      <c r="B150" s="34">
        <f>SUBTOTAL(3,B148:B149)</f>
        <v>2</v>
      </c>
      <c r="C150" s="39"/>
      <c r="D150" s="34"/>
      <c r="E150" s="35"/>
      <c r="F150" s="36"/>
      <c r="G150" s="37"/>
      <c r="H150" s="40"/>
      <c r="I150" s="38"/>
    </row>
    <row r="151" spans="1:9" outlineLevel="2" x14ac:dyDescent="0.25">
      <c r="A151" s="51" t="s">
        <v>336</v>
      </c>
      <c r="B151" s="34">
        <v>233</v>
      </c>
      <c r="C151" s="39" t="s">
        <v>337</v>
      </c>
      <c r="D151" s="34" t="str">
        <f>[1]!GetFile(A151)</f>
        <v>ConsoleColorNameParser.cs</v>
      </c>
      <c r="E151" s="35" t="str">
        <f>IF(ISERROR(FIND("Count",$A151)),UPPER(RIGHT([1]!GetExtension(A151),LEN([1]!GetExtension(A151))-1)),"")</f>
        <v>CS</v>
      </c>
      <c r="F151" s="36">
        <f>[1]!dtmFileDateInfo(A151)</f>
        <v>40623.796296296299</v>
      </c>
      <c r="G151" s="37">
        <f>[1]!lngFileSize(A151)</f>
        <v>14382</v>
      </c>
      <c r="H151" s="40" t="str">
        <f>[1]!GetFolder(A151)</f>
        <v>C:\Users\DAVE\Documents\Visual Studio 2013\Projects\WizardWrx_Libs\_Deprecated_Libraries\SharedUtl2\SharedUtl2_Mutex_Tester</v>
      </c>
      <c r="I151" s="38" t="s">
        <v>167</v>
      </c>
    </row>
    <row r="152" spans="1:9" outlineLevel="1" x14ac:dyDescent="0.25">
      <c r="A152" s="52" t="s">
        <v>375</v>
      </c>
      <c r="B152" s="34">
        <f>SUBTOTAL(3,B151:B151)</f>
        <v>1</v>
      </c>
      <c r="C152" s="39"/>
      <c r="D152" s="34"/>
      <c r="E152" s="35"/>
      <c r="F152" s="36"/>
      <c r="G152" s="37"/>
      <c r="H152" s="40"/>
      <c r="I152" s="38"/>
    </row>
    <row r="153" spans="1:9" ht="30" outlineLevel="2" x14ac:dyDescent="0.25">
      <c r="A153" s="51" t="s">
        <v>338</v>
      </c>
      <c r="B153" s="34">
        <v>653</v>
      </c>
      <c r="C153" s="39" t="s">
        <v>339</v>
      </c>
      <c r="D153" s="34" t="str">
        <f>[1]!GetFile(A153)</f>
        <v>Program.cs</v>
      </c>
      <c r="E153" s="35" t="str">
        <f>IF(ISERROR(FIND("Count",$A153)),UPPER(RIGHT([1]!GetExtension(A153),LEN([1]!GetExtension(A153))-1)),"")</f>
        <v>CS</v>
      </c>
      <c r="F153" s="36">
        <f>[1]!dtmFileDateInfo(A153)</f>
        <v>40880.819814814815</v>
      </c>
      <c r="G153" s="37">
        <f>[1]!lngFileSize(A153)</f>
        <v>49956</v>
      </c>
      <c r="H153" s="40" t="str">
        <f>[1]!GetFolder(A153)</f>
        <v>C:\Users\DAVE\Documents\Visual Studio 2013\Projects\WizardWrx_Libs\_Deprecated_Libraries\SharedUtl2\SharedUtl2_Test_Harness\SharedUtl2_Test_Harness</v>
      </c>
      <c r="I153" s="38" t="s">
        <v>167</v>
      </c>
    </row>
    <row r="154" spans="1:9" ht="30" outlineLevel="2" x14ac:dyDescent="0.25">
      <c r="A154" s="51" t="s">
        <v>338</v>
      </c>
      <c r="B154" s="34">
        <v>654</v>
      </c>
      <c r="C154" s="39" t="s">
        <v>340</v>
      </c>
      <c r="D154" s="34" t="str">
        <f>[1]!GetFile(A154)</f>
        <v>Program.cs</v>
      </c>
      <c r="E154" s="35" t="str">
        <f>IF(ISERROR(FIND("Count",$A154)),UPPER(RIGHT([1]!GetExtension(A154),LEN([1]!GetExtension(A154))-1)),"")</f>
        <v>CS</v>
      </c>
      <c r="F154" s="36">
        <f>[1]!dtmFileDateInfo(A154)</f>
        <v>40880.819814814815</v>
      </c>
      <c r="G154" s="37">
        <f>[1]!lngFileSize(A154)</f>
        <v>49956</v>
      </c>
      <c r="H154" s="40" t="str">
        <f>[1]!GetFolder(A154)</f>
        <v>C:\Users\DAVE\Documents\Visual Studio 2013\Projects\WizardWrx_Libs\_Deprecated_Libraries\SharedUtl2\SharedUtl2_Test_Harness\SharedUtl2_Test_Harness</v>
      </c>
      <c r="I154" s="38" t="s">
        <v>167</v>
      </c>
    </row>
    <row r="155" spans="1:9" outlineLevel="1" x14ac:dyDescent="0.25">
      <c r="A155" s="52" t="s">
        <v>376</v>
      </c>
      <c r="B155" s="34">
        <f>SUBTOTAL(3,B153:B154)</f>
        <v>2</v>
      </c>
      <c r="C155" s="39"/>
      <c r="D155" s="34"/>
      <c r="E155" s="35"/>
      <c r="F155" s="36"/>
      <c r="G155" s="37"/>
      <c r="H155" s="40"/>
      <c r="I155" s="38"/>
    </row>
    <row r="156" spans="1:9" outlineLevel="2" x14ac:dyDescent="0.25">
      <c r="A156" s="51" t="s">
        <v>341</v>
      </c>
      <c r="B156" s="34">
        <v>593</v>
      </c>
      <c r="C156" s="39" t="s">
        <v>330</v>
      </c>
      <c r="D156" s="34" t="str">
        <f>[1]!GetFile(A156)</f>
        <v>DelimitedDataReader.cs</v>
      </c>
      <c r="E156" s="35" t="str">
        <f>IF(ISERROR(FIND("Count",$A156)),UPPER(RIGHT([1]!GetExtension(A156),LEN([1]!GetExtension(A156))-1)),"")</f>
        <v>CS</v>
      </c>
      <c r="F156" s="36">
        <f>[1]!dtmFileDateInfo(A156)</f>
        <v>40272.794074074074</v>
      </c>
      <c r="G156" s="37">
        <f>[1]!lngFileSize(A156)</f>
        <v>30112</v>
      </c>
      <c r="H156" s="40" t="str">
        <f>[1]!GetFolder(A156)</f>
        <v>C:\Users\DAVE\Documents\Visual Studio 2013\Projects\_TESTING WizardWrx Libs\SharedUtl2\SharedUtl2</v>
      </c>
      <c r="I156" s="38" t="s">
        <v>167</v>
      </c>
    </row>
    <row r="157" spans="1:9" outlineLevel="1" x14ac:dyDescent="0.25">
      <c r="A157" s="52" t="s">
        <v>377</v>
      </c>
      <c r="B157" s="34">
        <f>SUBTOTAL(3,B156:B156)</f>
        <v>1</v>
      </c>
      <c r="C157" s="39"/>
      <c r="D157" s="34"/>
      <c r="E157" s="35"/>
      <c r="F157" s="36"/>
      <c r="G157" s="37"/>
      <c r="H157" s="40"/>
      <c r="I157" s="38"/>
    </row>
    <row r="158" spans="1:9" outlineLevel="2" x14ac:dyDescent="0.25">
      <c r="A158" s="51" t="s">
        <v>284</v>
      </c>
      <c r="B158" s="34">
        <v>166</v>
      </c>
      <c r="C158" s="39" t="s">
        <v>276</v>
      </c>
      <c r="D158" s="34" t="str">
        <f>[1]!GetFile(A158)</f>
        <v>FileNameTricks.cs</v>
      </c>
      <c r="E158" s="35" t="str">
        <f>IF(ISERROR(FIND("Count",$A158)),UPPER(RIGHT([1]!GetExtension(A158),LEN([1]!GetExtension(A158))-1)),"")</f>
        <v>CS</v>
      </c>
      <c r="F158" s="36">
        <f>[1]!dtmFileDateInfo(A158)</f>
        <v>40875.081388888888</v>
      </c>
      <c r="G158" s="37">
        <f>[1]!lngFileSize(A158)</f>
        <v>22942</v>
      </c>
      <c r="H158" s="40" t="str">
        <f>[1]!GetFolder(A158)</f>
        <v>C:\Users\DAVE\Documents\Visual Studio 2013\Projects\_TESTING WizardWrx Libs\SharedUtl2\SharedUtl2</v>
      </c>
      <c r="I158" s="38" t="s">
        <v>167</v>
      </c>
    </row>
    <row r="159" spans="1:9" outlineLevel="2" x14ac:dyDescent="0.25">
      <c r="A159" s="51" t="s">
        <v>284</v>
      </c>
      <c r="B159" s="34">
        <v>212</v>
      </c>
      <c r="C159" s="39" t="s">
        <v>246</v>
      </c>
      <c r="D159" s="34" t="str">
        <f>[1]!GetFile(A159)</f>
        <v>FileNameTricks.cs</v>
      </c>
      <c r="E159" s="35" t="str">
        <f>IF(ISERROR(FIND("Count",$A159)),UPPER(RIGHT([1]!GetExtension(A159),LEN([1]!GetExtension(A159))-1)),"")</f>
        <v>CS</v>
      </c>
      <c r="F159" s="36">
        <f>[1]!dtmFileDateInfo(A159)</f>
        <v>40875.081388888888</v>
      </c>
      <c r="G159" s="37">
        <f>[1]!lngFileSize(A159)</f>
        <v>22942</v>
      </c>
      <c r="H159" s="40" t="str">
        <f>[1]!GetFolder(A159)</f>
        <v>C:\Users\DAVE\Documents\Visual Studio 2013\Projects\_TESTING WizardWrx Libs\SharedUtl2\SharedUtl2</v>
      </c>
      <c r="I159" s="38" t="s">
        <v>167</v>
      </c>
    </row>
    <row r="160" spans="1:9" outlineLevel="2" x14ac:dyDescent="0.25">
      <c r="A160" s="51" t="s">
        <v>284</v>
      </c>
      <c r="B160" s="34">
        <v>217</v>
      </c>
      <c r="C160" s="39" t="s">
        <v>246</v>
      </c>
      <c r="D160" s="34" t="str">
        <f>[1]!GetFile(A160)</f>
        <v>FileNameTricks.cs</v>
      </c>
      <c r="E160" s="35" t="str">
        <f>IF(ISERROR(FIND("Count",$A160)),UPPER(RIGHT([1]!GetExtension(A160),LEN([1]!GetExtension(A160))-1)),"")</f>
        <v>CS</v>
      </c>
      <c r="F160" s="36">
        <f>[1]!dtmFileDateInfo(A160)</f>
        <v>40875.081388888888</v>
      </c>
      <c r="G160" s="37">
        <f>[1]!lngFileSize(A160)</f>
        <v>22942</v>
      </c>
      <c r="H160" s="40" t="str">
        <f>[1]!GetFolder(A160)</f>
        <v>C:\Users\DAVE\Documents\Visual Studio 2013\Projects\_TESTING WizardWrx Libs\SharedUtl2\SharedUtl2</v>
      </c>
      <c r="I160" s="38" t="s">
        <v>167</v>
      </c>
    </row>
    <row r="161" spans="1:9" outlineLevel="2" x14ac:dyDescent="0.25">
      <c r="A161" s="51" t="s">
        <v>284</v>
      </c>
      <c r="B161" s="34">
        <v>303</v>
      </c>
      <c r="C161" s="39" t="s">
        <v>276</v>
      </c>
      <c r="D161" s="34" t="str">
        <f>[1]!GetFile(A161)</f>
        <v>FileNameTricks.cs</v>
      </c>
      <c r="E161" s="35" t="str">
        <f>IF(ISERROR(FIND("Count",$A161)),UPPER(RIGHT([1]!GetExtension(A161),LEN([1]!GetExtension(A161))-1)),"")</f>
        <v>CS</v>
      </c>
      <c r="F161" s="36">
        <f>[1]!dtmFileDateInfo(A161)</f>
        <v>40875.081388888888</v>
      </c>
      <c r="G161" s="37">
        <f>[1]!lngFileSize(A161)</f>
        <v>22942</v>
      </c>
      <c r="H161" s="40" t="str">
        <f>[1]!GetFolder(A161)</f>
        <v>C:\Users\DAVE\Documents\Visual Studio 2013\Projects\_TESTING WizardWrx Libs\SharedUtl2\SharedUtl2</v>
      </c>
      <c r="I161" s="38" t="s">
        <v>167</v>
      </c>
    </row>
    <row r="162" spans="1:9" outlineLevel="2" x14ac:dyDescent="0.25">
      <c r="A162" s="51" t="s">
        <v>284</v>
      </c>
      <c r="B162" s="34">
        <v>332</v>
      </c>
      <c r="C162" s="39" t="s">
        <v>276</v>
      </c>
      <c r="D162" s="34" t="str">
        <f>[1]!GetFile(A162)</f>
        <v>FileNameTricks.cs</v>
      </c>
      <c r="E162" s="35" t="str">
        <f>IF(ISERROR(FIND("Count",$A162)),UPPER(RIGHT([1]!GetExtension(A162),LEN([1]!GetExtension(A162))-1)),"")</f>
        <v>CS</v>
      </c>
      <c r="F162" s="36">
        <f>[1]!dtmFileDateInfo(A162)</f>
        <v>40875.081388888888</v>
      </c>
      <c r="G162" s="37">
        <f>[1]!lngFileSize(A162)</f>
        <v>22942</v>
      </c>
      <c r="H162" s="40" t="str">
        <f>[1]!GetFolder(A162)</f>
        <v>C:\Users\DAVE\Documents\Visual Studio 2013\Projects\_TESTING WizardWrx Libs\SharedUtl2\SharedUtl2</v>
      </c>
      <c r="I162" s="38" t="s">
        <v>167</v>
      </c>
    </row>
    <row r="163" spans="1:9" outlineLevel="2" x14ac:dyDescent="0.25">
      <c r="A163" s="51" t="s">
        <v>284</v>
      </c>
      <c r="B163" s="34">
        <v>360</v>
      </c>
      <c r="C163" s="39" t="s">
        <v>276</v>
      </c>
      <c r="D163" s="34" t="str">
        <f>[1]!GetFile(A163)</f>
        <v>FileNameTricks.cs</v>
      </c>
      <c r="E163" s="35" t="str">
        <f>IF(ISERROR(FIND("Count",$A163)),UPPER(RIGHT([1]!GetExtension(A163),LEN([1]!GetExtension(A163))-1)),"")</f>
        <v>CS</v>
      </c>
      <c r="F163" s="36">
        <f>[1]!dtmFileDateInfo(A163)</f>
        <v>40875.081388888888</v>
      </c>
      <c r="G163" s="37">
        <f>[1]!lngFileSize(A163)</f>
        <v>22942</v>
      </c>
      <c r="H163" s="40" t="str">
        <f>[1]!GetFolder(A163)</f>
        <v>C:\Users\DAVE\Documents\Visual Studio 2013\Projects\_TESTING WizardWrx Libs\SharedUtl2\SharedUtl2</v>
      </c>
      <c r="I163" s="38" t="s">
        <v>167</v>
      </c>
    </row>
    <row r="164" spans="1:9" outlineLevel="2" x14ac:dyDescent="0.25">
      <c r="A164" s="51" t="s">
        <v>284</v>
      </c>
      <c r="B164" s="34">
        <v>384</v>
      </c>
      <c r="C164" s="39" t="s">
        <v>276</v>
      </c>
      <c r="D164" s="34" t="str">
        <f>[1]!GetFile(A164)</f>
        <v>FileNameTricks.cs</v>
      </c>
      <c r="E164" s="35" t="str">
        <f>IF(ISERROR(FIND("Count",$A164)),UPPER(RIGHT([1]!GetExtension(A164),LEN([1]!GetExtension(A164))-1)),"")</f>
        <v>CS</v>
      </c>
      <c r="F164" s="36">
        <f>[1]!dtmFileDateInfo(A164)</f>
        <v>40875.081388888888</v>
      </c>
      <c r="G164" s="37">
        <f>[1]!lngFileSize(A164)</f>
        <v>22942</v>
      </c>
      <c r="H164" s="40" t="str">
        <f>[1]!GetFolder(A164)</f>
        <v>C:\Users\DAVE\Documents\Visual Studio 2013\Projects\_TESTING WizardWrx Libs\SharedUtl2\SharedUtl2</v>
      </c>
      <c r="I164" s="38" t="s">
        <v>167</v>
      </c>
    </row>
    <row r="165" spans="1:9" outlineLevel="2" x14ac:dyDescent="0.25">
      <c r="A165" s="51" t="s">
        <v>284</v>
      </c>
      <c r="B165" s="34">
        <v>424</v>
      </c>
      <c r="C165" s="39" t="s">
        <v>276</v>
      </c>
      <c r="D165" s="34" t="str">
        <f>[1]!GetFile(A165)</f>
        <v>FileNameTricks.cs</v>
      </c>
      <c r="E165" s="35" t="str">
        <f>IF(ISERROR(FIND("Count",$A165)),UPPER(RIGHT([1]!GetExtension(A165),LEN([1]!GetExtension(A165))-1)),"")</f>
        <v>CS</v>
      </c>
      <c r="F165" s="36">
        <f>[1]!dtmFileDateInfo(A165)</f>
        <v>40875.081388888888</v>
      </c>
      <c r="G165" s="37">
        <f>[1]!lngFileSize(A165)</f>
        <v>22942</v>
      </c>
      <c r="H165" s="40" t="str">
        <f>[1]!GetFolder(A165)</f>
        <v>C:\Users\DAVE\Documents\Visual Studio 2013\Projects\_TESTING WizardWrx Libs\SharedUtl2\SharedUtl2</v>
      </c>
      <c r="I165" s="38" t="s">
        <v>167</v>
      </c>
    </row>
    <row r="166" spans="1:9" outlineLevel="2" x14ac:dyDescent="0.25">
      <c r="A166" s="51" t="s">
        <v>284</v>
      </c>
      <c r="B166" s="34">
        <v>471</v>
      </c>
      <c r="C166" s="39" t="s">
        <v>276</v>
      </c>
      <c r="D166" s="34" t="str">
        <f>[1]!GetFile(A166)</f>
        <v>FileNameTricks.cs</v>
      </c>
      <c r="E166" s="35" t="str">
        <f>IF(ISERROR(FIND("Count",$A166)),UPPER(RIGHT([1]!GetExtension(A166),LEN([1]!GetExtension(A166))-1)),"")</f>
        <v>CS</v>
      </c>
      <c r="F166" s="36">
        <f>[1]!dtmFileDateInfo(A166)</f>
        <v>40875.081388888888</v>
      </c>
      <c r="G166" s="37">
        <f>[1]!lngFileSize(A166)</f>
        <v>22942</v>
      </c>
      <c r="H166" s="40" t="str">
        <f>[1]!GetFolder(A166)</f>
        <v>C:\Users\DAVE\Documents\Visual Studio 2013\Projects\_TESTING WizardWrx Libs\SharedUtl2\SharedUtl2</v>
      </c>
      <c r="I166" s="38" t="s">
        <v>167</v>
      </c>
    </row>
    <row r="167" spans="1:9" outlineLevel="2" x14ac:dyDescent="0.25">
      <c r="A167" s="51" t="s">
        <v>284</v>
      </c>
      <c r="B167" s="34">
        <v>501</v>
      </c>
      <c r="C167" s="39" t="s">
        <v>276</v>
      </c>
      <c r="D167" s="34" t="str">
        <f>[1]!GetFile(A167)</f>
        <v>FileNameTricks.cs</v>
      </c>
      <c r="E167" s="35" t="str">
        <f>IF(ISERROR(FIND("Count",$A167)),UPPER(RIGHT([1]!GetExtension(A167),LEN([1]!GetExtension(A167))-1)),"")</f>
        <v>CS</v>
      </c>
      <c r="F167" s="36">
        <f>[1]!dtmFileDateInfo(A167)</f>
        <v>40875.081388888888</v>
      </c>
      <c r="G167" s="37">
        <f>[1]!lngFileSize(A167)</f>
        <v>22942</v>
      </c>
      <c r="H167" s="40" t="str">
        <f>[1]!GetFolder(A167)</f>
        <v>C:\Users\DAVE\Documents\Visual Studio 2013\Projects\_TESTING WizardWrx Libs\SharedUtl2\SharedUtl2</v>
      </c>
      <c r="I167" s="38" t="s">
        <v>167</v>
      </c>
    </row>
    <row r="168" spans="1:9" outlineLevel="1" x14ac:dyDescent="0.25">
      <c r="A168" s="52" t="s">
        <v>378</v>
      </c>
      <c r="B168" s="34">
        <f>SUBTOTAL(3,B158:B167)</f>
        <v>10</v>
      </c>
      <c r="C168" s="39"/>
      <c r="D168" s="34"/>
      <c r="E168" s="35"/>
      <c r="F168" s="36"/>
      <c r="G168" s="37"/>
      <c r="H168" s="40"/>
      <c r="I168" s="38"/>
    </row>
    <row r="169" spans="1:9" ht="45" outlineLevel="2" x14ac:dyDescent="0.25">
      <c r="A169" s="51" t="s">
        <v>342</v>
      </c>
      <c r="B169" s="34">
        <v>1227</v>
      </c>
      <c r="C169" s="39" t="s">
        <v>332</v>
      </c>
      <c r="D169" s="34" t="str">
        <f>[1]!GetFile(A169)</f>
        <v>MachineApplicationMutex.cs</v>
      </c>
      <c r="E169" s="35" t="str">
        <f>IF(ISERROR(FIND("Count",$A169)),UPPER(RIGHT([1]!GetExtension(A169),LEN([1]!GetExtension(A169))-1)),"")</f>
        <v>CS</v>
      </c>
      <c r="F169" s="36">
        <f>[1]!dtmFileDateInfo(A169)</f>
        <v>40627.993101851855</v>
      </c>
      <c r="G169" s="37">
        <f>[1]!lngFileSize(A169)</f>
        <v>76034</v>
      </c>
      <c r="H169" s="40" t="str">
        <f>[1]!GetFolder(A169)</f>
        <v>C:\Users\DAVE\Documents\Visual Studio 2013\Projects\_TESTING WizardWrx Libs\SharedUtl2\SharedUtl2</v>
      </c>
      <c r="I169" s="38" t="s">
        <v>167</v>
      </c>
    </row>
    <row r="170" spans="1:9" outlineLevel="2" x14ac:dyDescent="0.25">
      <c r="A170" s="51" t="s">
        <v>342</v>
      </c>
      <c r="B170" s="34">
        <v>1269</v>
      </c>
      <c r="C170" s="39" t="s">
        <v>333</v>
      </c>
      <c r="D170" s="34" t="str">
        <f>[1]!GetFile(A170)</f>
        <v>MachineApplicationMutex.cs</v>
      </c>
      <c r="E170" s="35" t="str">
        <f>IF(ISERROR(FIND("Count",$A170)),UPPER(RIGHT([1]!GetExtension(A170),LEN([1]!GetExtension(A170))-1)),"")</f>
        <v>CS</v>
      </c>
      <c r="F170" s="36">
        <f>[1]!dtmFileDateInfo(A170)</f>
        <v>40627.993101851855</v>
      </c>
      <c r="G170" s="37">
        <f>[1]!lngFileSize(A170)</f>
        <v>76034</v>
      </c>
      <c r="H170" s="40" t="str">
        <f>[1]!GetFolder(A170)</f>
        <v>C:\Users\DAVE\Documents\Visual Studio 2013\Projects\_TESTING WizardWrx Libs\SharedUtl2\SharedUtl2</v>
      </c>
      <c r="I170" s="38" t="s">
        <v>167</v>
      </c>
    </row>
    <row r="171" spans="1:9" outlineLevel="2" x14ac:dyDescent="0.25">
      <c r="A171" s="51" t="s">
        <v>342</v>
      </c>
      <c r="B171" s="34">
        <v>1437</v>
      </c>
      <c r="C171" s="39" t="s">
        <v>334</v>
      </c>
      <c r="D171" s="34" t="str">
        <f>[1]!GetFile(A171)</f>
        <v>MachineApplicationMutex.cs</v>
      </c>
      <c r="E171" s="35" t="str">
        <f>IF(ISERROR(FIND("Count",$A171)),UPPER(RIGHT([1]!GetExtension(A171),LEN([1]!GetExtension(A171))-1)),"")</f>
        <v>CS</v>
      </c>
      <c r="F171" s="36">
        <f>[1]!dtmFileDateInfo(A171)</f>
        <v>40627.993101851855</v>
      </c>
      <c r="G171" s="37">
        <f>[1]!lngFileSize(A171)</f>
        <v>76034</v>
      </c>
      <c r="H171" s="40" t="str">
        <f>[1]!GetFolder(A171)</f>
        <v>C:\Users\DAVE\Documents\Visual Studio 2013\Projects\_TESTING WizardWrx Libs\SharedUtl2\SharedUtl2</v>
      </c>
      <c r="I171" s="38" t="s">
        <v>167</v>
      </c>
    </row>
    <row r="172" spans="1:9" outlineLevel="2" x14ac:dyDescent="0.25">
      <c r="A172" s="51" t="s">
        <v>342</v>
      </c>
      <c r="B172" s="34">
        <v>1531</v>
      </c>
      <c r="C172" s="39" t="s">
        <v>292</v>
      </c>
      <c r="D172" s="34" t="str">
        <f>[1]!GetFile(A172)</f>
        <v>MachineApplicationMutex.cs</v>
      </c>
      <c r="E172" s="35" t="str">
        <f>IF(ISERROR(FIND("Count",$A172)),UPPER(RIGHT([1]!GetExtension(A172),LEN([1]!GetExtension(A172))-1)),"")</f>
        <v>CS</v>
      </c>
      <c r="F172" s="36">
        <f>[1]!dtmFileDateInfo(A172)</f>
        <v>40627.993101851855</v>
      </c>
      <c r="G172" s="37">
        <f>[1]!lngFileSize(A172)</f>
        <v>76034</v>
      </c>
      <c r="H172" s="40" t="str">
        <f>[1]!GetFolder(A172)</f>
        <v>C:\Users\DAVE\Documents\Visual Studio 2013\Projects\_TESTING WizardWrx Libs\SharedUtl2\SharedUtl2</v>
      </c>
      <c r="I172" s="38" t="s">
        <v>167</v>
      </c>
    </row>
    <row r="173" spans="1:9" outlineLevel="1" x14ac:dyDescent="0.25">
      <c r="A173" s="52" t="s">
        <v>379</v>
      </c>
      <c r="B173" s="34">
        <f>SUBTOTAL(3,B169:B172)</f>
        <v>4</v>
      </c>
      <c r="C173" s="39"/>
      <c r="D173" s="34"/>
      <c r="E173" s="35"/>
      <c r="F173" s="36"/>
      <c r="G173" s="37"/>
      <c r="H173" s="40"/>
      <c r="I173" s="38"/>
    </row>
    <row r="174" spans="1:9" outlineLevel="2" x14ac:dyDescent="0.25">
      <c r="A174" s="51" t="s">
        <v>286</v>
      </c>
      <c r="B174" s="34">
        <v>69</v>
      </c>
      <c r="C174" s="39" t="s">
        <v>273</v>
      </c>
      <c r="D174" s="34" t="str">
        <f>[1]!GetFile(A174)</f>
        <v>StandardConstants.cs</v>
      </c>
      <c r="E174" s="35" t="str">
        <f>IF(ISERROR(FIND("Count",$A174)),UPPER(RIGHT([1]!GetExtension(A174),LEN([1]!GetExtension(A174))-1)),"")</f>
        <v>CS</v>
      </c>
      <c r="F174" s="36">
        <f>[1]!dtmFileDateInfo(A174)</f>
        <v>40671.037222222221</v>
      </c>
      <c r="G174" s="37">
        <f>[1]!lngFileSize(A174)</f>
        <v>29291</v>
      </c>
      <c r="H174" s="40" t="str">
        <f>[1]!GetFolder(A174)</f>
        <v>C:\Users\DAVE\Documents\Visual Studio 2013\Projects\_TESTING WizardWrx Libs\SharedUtl2\SharedUtl2</v>
      </c>
      <c r="I174" s="38" t="s">
        <v>167</v>
      </c>
    </row>
    <row r="175" spans="1:9" outlineLevel="2" x14ac:dyDescent="0.25">
      <c r="A175" s="51" t="s">
        <v>286</v>
      </c>
      <c r="B175" s="34">
        <v>572</v>
      </c>
      <c r="C175" s="39" t="s">
        <v>318</v>
      </c>
      <c r="D175" s="34" t="str">
        <f>[1]!GetFile(A175)</f>
        <v>StandardConstants.cs</v>
      </c>
      <c r="E175" s="35" t="str">
        <f>IF(ISERROR(FIND("Count",$A175)),UPPER(RIGHT([1]!GetExtension(A175),LEN([1]!GetExtension(A175))-1)),"")</f>
        <v>CS</v>
      </c>
      <c r="F175" s="36">
        <f>[1]!dtmFileDateInfo(A175)</f>
        <v>40671.037222222221</v>
      </c>
      <c r="G175" s="37">
        <f>[1]!lngFileSize(A175)</f>
        <v>29291</v>
      </c>
      <c r="H175" s="40" t="str">
        <f>[1]!GetFolder(A175)</f>
        <v>C:\Users\DAVE\Documents\Visual Studio 2013\Projects\_TESTING WizardWrx Libs\SharedUtl2\SharedUtl2</v>
      </c>
      <c r="I175" s="38" t="s">
        <v>167</v>
      </c>
    </row>
    <row r="176" spans="1:9" ht="30" outlineLevel="2" x14ac:dyDescent="0.25">
      <c r="A176" s="51" t="s">
        <v>286</v>
      </c>
      <c r="B176" s="34">
        <v>577</v>
      </c>
      <c r="C176" s="39" t="s">
        <v>328</v>
      </c>
      <c r="D176" s="34" t="str">
        <f>[1]!GetFile(A176)</f>
        <v>StandardConstants.cs</v>
      </c>
      <c r="E176" s="35" t="str">
        <f>IF(ISERROR(FIND("Count",$A176)),UPPER(RIGHT([1]!GetExtension(A176),LEN([1]!GetExtension(A176))-1)),"")</f>
        <v>CS</v>
      </c>
      <c r="F176" s="36">
        <f>[1]!dtmFileDateInfo(A176)</f>
        <v>40671.037222222221</v>
      </c>
      <c r="G176" s="37">
        <f>[1]!lngFileSize(A176)</f>
        <v>29291</v>
      </c>
      <c r="H176" s="40" t="str">
        <f>[1]!GetFolder(A176)</f>
        <v>C:\Users\DAVE\Documents\Visual Studio 2013\Projects\_TESTING WizardWrx Libs\SharedUtl2\SharedUtl2</v>
      </c>
      <c r="I176" s="38" t="s">
        <v>167</v>
      </c>
    </row>
    <row r="177" spans="1:10" outlineLevel="1" x14ac:dyDescent="0.25">
      <c r="A177" s="52" t="s">
        <v>380</v>
      </c>
      <c r="B177" s="34">
        <f>SUBTOTAL(3,B174:B176)</f>
        <v>3</v>
      </c>
      <c r="C177" s="39"/>
      <c r="D177" s="34"/>
      <c r="E177" s="35"/>
      <c r="F177" s="36"/>
      <c r="G177" s="37"/>
      <c r="H177" s="40"/>
      <c r="I177" s="38"/>
    </row>
    <row r="178" spans="1:10" ht="30" outlineLevel="2" x14ac:dyDescent="0.25">
      <c r="A178" s="51" t="s">
        <v>288</v>
      </c>
      <c r="B178" s="34">
        <v>229</v>
      </c>
      <c r="C178" s="39" t="s">
        <v>281</v>
      </c>
      <c r="D178" s="34" t="str">
        <f>[1]!GetFile(A178)</f>
        <v>TextLog.cs</v>
      </c>
      <c r="E178" s="35" t="str">
        <f>IF(ISERROR(FIND("Count",$A178)),UPPER(RIGHT([1]!GetExtension(A178),LEN([1]!GetExtension(A178))-1)),"")</f>
        <v>CS</v>
      </c>
      <c r="F178" s="36">
        <f>[1]!dtmFileDateInfo(A178)</f>
        <v>40469.832083333335</v>
      </c>
      <c r="G178" s="37">
        <f>[1]!lngFileSize(A178)</f>
        <v>31536</v>
      </c>
      <c r="H178" s="40" t="str">
        <f>[1]!GetFolder(A178)</f>
        <v>C:\Users\DAVE\Documents\Visual Studio 2013\Projects\_TESTING WizardWrx Libs\SharedUtl2\SharedUtl2</v>
      </c>
      <c r="I178" s="38" t="s">
        <v>167</v>
      </c>
    </row>
    <row r="179" spans="1:10" outlineLevel="2" x14ac:dyDescent="0.25">
      <c r="A179" s="51" t="s">
        <v>288</v>
      </c>
      <c r="B179" s="34">
        <v>324</v>
      </c>
      <c r="C179" s="39" t="s">
        <v>335</v>
      </c>
      <c r="D179" s="34" t="str">
        <f>[1]!GetFile(A179)</f>
        <v>TextLog.cs</v>
      </c>
      <c r="E179" s="35" t="str">
        <f>IF(ISERROR(FIND("Count",$A179)),UPPER(RIGHT([1]!GetExtension(A179),LEN([1]!GetExtension(A179))-1)),"")</f>
        <v>CS</v>
      </c>
      <c r="F179" s="36">
        <f>[1]!dtmFileDateInfo(A179)</f>
        <v>40469.832083333335</v>
      </c>
      <c r="G179" s="37">
        <f>[1]!lngFileSize(A179)</f>
        <v>31536</v>
      </c>
      <c r="H179" s="40" t="str">
        <f>[1]!GetFolder(A179)</f>
        <v>C:\Users\DAVE\Documents\Visual Studio 2013\Projects\_TESTING WizardWrx Libs\SharedUtl2\SharedUtl2</v>
      </c>
      <c r="I179" s="38" t="s">
        <v>167</v>
      </c>
    </row>
    <row r="180" spans="1:10" outlineLevel="1" x14ac:dyDescent="0.25">
      <c r="A180" s="52" t="s">
        <v>381</v>
      </c>
      <c r="B180" s="34">
        <f>SUBTOTAL(3,B178:B179)</f>
        <v>2</v>
      </c>
      <c r="C180" s="39"/>
      <c r="D180" s="34"/>
      <c r="E180" s="35"/>
      <c r="F180" s="36"/>
      <c r="G180" s="37"/>
      <c r="H180" s="40"/>
      <c r="I180" s="38"/>
    </row>
    <row r="181" spans="1:10" outlineLevel="2" x14ac:dyDescent="0.25">
      <c r="A181" s="51" t="s">
        <v>343</v>
      </c>
      <c r="B181" s="34">
        <v>233</v>
      </c>
      <c r="C181" s="39" t="s">
        <v>337</v>
      </c>
      <c r="D181" s="34" t="str">
        <f>[1]!GetFile(A181)</f>
        <v>ConsoleColorNameParser.cs</v>
      </c>
      <c r="E181" s="35" t="str">
        <f>IF(ISERROR(FIND("Count",$A181)),UPPER(RIGHT([1]!GetExtension(A181),LEN([1]!GetExtension(A181))-1)),"")</f>
        <v>CS</v>
      </c>
      <c r="F181" s="36">
        <f>[1]!dtmFileDateInfo(A181)</f>
        <v>40623.796296296299</v>
      </c>
      <c r="G181" s="37">
        <f>[1]!lngFileSize(A181)</f>
        <v>14382</v>
      </c>
      <c r="H181" s="40" t="str">
        <f>[1]!GetFolder(A181)</f>
        <v>C:\Users\DAVE\Documents\Visual Studio 2013\Projects\_TESTING WizardWrx Libs\SharedUtl2\SharedUtl2_Mutex_Tester</v>
      </c>
      <c r="I181" s="38" t="s">
        <v>167</v>
      </c>
    </row>
    <row r="182" spans="1:10" outlineLevel="1" x14ac:dyDescent="0.25">
      <c r="A182" s="52" t="s">
        <v>382</v>
      </c>
      <c r="B182" s="34">
        <f>SUBTOTAL(3,B181:B181)</f>
        <v>1</v>
      </c>
      <c r="C182" s="39"/>
      <c r="D182" s="34"/>
      <c r="E182" s="35"/>
      <c r="F182" s="36"/>
      <c r="G182" s="37"/>
      <c r="H182" s="40"/>
      <c r="I182" s="38"/>
    </row>
    <row r="183" spans="1:10" ht="30" outlineLevel="2" x14ac:dyDescent="0.25">
      <c r="A183" s="51" t="s">
        <v>344</v>
      </c>
      <c r="B183" s="34">
        <v>658</v>
      </c>
      <c r="C183" s="39" t="s">
        <v>339</v>
      </c>
      <c r="D183" s="34" t="str">
        <f>[1]!GetFile(A183)</f>
        <v>Program.cs</v>
      </c>
      <c r="E183" s="35" t="str">
        <f>IF(ISERROR(FIND("Count",$A183)),UPPER(RIGHT([1]!GetExtension(A183),LEN([1]!GetExtension(A183))-1)),"")</f>
        <v>CS</v>
      </c>
      <c r="F183" s="36">
        <f>[1]!dtmFileDateInfo(A183)</f>
        <v>40672.004004629627</v>
      </c>
      <c r="G183" s="37">
        <f>[1]!lngFileSize(A183)</f>
        <v>49049</v>
      </c>
      <c r="H183" s="40" t="str">
        <f>[1]!GetFolder(A183)</f>
        <v>C:\Users\DAVE\Documents\Visual Studio 2013\Projects\_TESTING WizardWrx Libs\SharedUtl2\SharedUtl2_Test_Harness\SharedUtl2_Test_Harness</v>
      </c>
      <c r="I183" s="38" t="s">
        <v>167</v>
      </c>
    </row>
    <row r="184" spans="1:10" ht="30" outlineLevel="2" x14ac:dyDescent="0.25">
      <c r="A184" s="51" t="s">
        <v>344</v>
      </c>
      <c r="B184" s="34">
        <v>659</v>
      </c>
      <c r="C184" s="39" t="s">
        <v>340</v>
      </c>
      <c r="D184" s="34" t="str">
        <f>[1]!GetFile(A184)</f>
        <v>Program.cs</v>
      </c>
      <c r="E184" s="35" t="str">
        <f>IF(ISERROR(FIND("Count",$A184)),UPPER(RIGHT([1]!GetExtension(A184),LEN([1]!GetExtension(A184))-1)),"")</f>
        <v>CS</v>
      </c>
      <c r="F184" s="36">
        <f>[1]!dtmFileDateInfo(A184)</f>
        <v>40672.004004629627</v>
      </c>
      <c r="G184" s="37">
        <f>[1]!lngFileSize(A184)</f>
        <v>49049</v>
      </c>
      <c r="H184" s="40" t="str">
        <f>[1]!GetFolder(A184)</f>
        <v>C:\Users\DAVE\Documents\Visual Studio 2013\Projects\_TESTING WizardWrx Libs\SharedUtl2\SharedUtl2_Test_Harness\SharedUtl2_Test_Harness</v>
      </c>
      <c r="I184" s="38" t="s">
        <v>167</v>
      </c>
    </row>
    <row r="185" spans="1:10" outlineLevel="1" x14ac:dyDescent="0.25">
      <c r="A185" s="53" t="s">
        <v>383</v>
      </c>
      <c r="B185" s="42">
        <f>SUBTOTAL(3,B183:B184)</f>
        <v>2</v>
      </c>
      <c r="C185" s="43"/>
      <c r="D185" s="42"/>
      <c r="E185" s="44"/>
      <c r="F185" s="45"/>
      <c r="G185" s="46"/>
      <c r="H185" s="47"/>
      <c r="I185" s="38"/>
    </row>
    <row r="186" spans="1:10" x14ac:dyDescent="0.25">
      <c r="A186" s="53" t="s">
        <v>142</v>
      </c>
      <c r="B186" s="42">
        <f>SUBTOTAL(3,B7:B184)</f>
        <v>131</v>
      </c>
      <c r="C186" s="43"/>
      <c r="D186" s="42"/>
      <c r="E186" s="44"/>
      <c r="F186" s="45"/>
      <c r="G186" s="46"/>
      <c r="H186" s="47"/>
      <c r="I186" s="38"/>
    </row>
    <row r="188" spans="1:10" x14ac:dyDescent="0.25">
      <c r="I188" s="21">
        <f>COUNTIF(Source_File_Statuses,J188)</f>
        <v>86</v>
      </c>
      <c r="J188" s="21" t="str">
        <f>Source_File_Status_Obsolete_Frozen</f>
        <v>Obsolete (Frozen)</v>
      </c>
    </row>
    <row r="189" spans="1:10" x14ac:dyDescent="0.25">
      <c r="I189" s="19">
        <f>COUNTIF(Source_File_Statuses,J189)</f>
        <v>45</v>
      </c>
      <c r="J189" s="19" t="str">
        <f>Source_File_Status_Will_Break</f>
        <v>Will Break</v>
      </c>
    </row>
    <row r="190" spans="1:10" x14ac:dyDescent="0.25">
      <c r="I190" s="20">
        <f>COUNTIF(Source_File_Statuses,J190)</f>
        <v>0</v>
      </c>
      <c r="J190" s="20" t="str">
        <f>Source_File_Status_Fixed</f>
        <v>Fixed</v>
      </c>
    </row>
    <row r="192" spans="1:10" ht="18" x14ac:dyDescent="0.25">
      <c r="I192" s="9">
        <f>SUM(I187:I191)</f>
        <v>131</v>
      </c>
      <c r="J192" s="9" t="s">
        <v>170</v>
      </c>
    </row>
  </sheetData>
  <conditionalFormatting sqref="A9:C186 E10:H186">
    <cfRule type="expression" dxfId="130" priority="54">
      <formula>FIND("Count",$A9)</formula>
    </cfRule>
  </conditionalFormatting>
  <conditionalFormatting sqref="A9:C186 E10:H186">
    <cfRule type="expression" dxfId="129" priority="32">
      <formula>$I9=Source_File_Status_Fixed</formula>
    </cfRule>
    <cfRule type="expression" dxfId="128" priority="33">
      <formula>$I9=Source_File_Status_Will_Break</formula>
    </cfRule>
    <cfRule type="expression" dxfId="127" priority="34">
      <formula>$I9=Source_File_Status_Obsolete_Frozen</formula>
    </cfRule>
  </conditionalFormatting>
  <conditionalFormatting sqref="A7:C8">
    <cfRule type="expression" dxfId="126" priority="47">
      <formula>FIND("Count",$A7)</formula>
    </cfRule>
  </conditionalFormatting>
  <conditionalFormatting sqref="A7:C8">
    <cfRule type="expression" dxfId="125" priority="44">
      <formula>$I7=Source_File_Status_Fixed</formula>
    </cfRule>
    <cfRule type="expression" dxfId="124" priority="45">
      <formula>$I7=Source_File_Status_Will_Break</formula>
    </cfRule>
    <cfRule type="expression" dxfId="123" priority="46">
      <formula>$I7=Source_File_Status_Obsolete_Frozen</formula>
    </cfRule>
  </conditionalFormatting>
  <conditionalFormatting sqref="D9:D186">
    <cfRule type="expression" dxfId="122" priority="17">
      <formula>FIND("Count",$A9)</formula>
    </cfRule>
  </conditionalFormatting>
  <conditionalFormatting sqref="D7:H8">
    <cfRule type="expression" dxfId="121" priority="29">
      <formula>FIND("Count",$A7)</formula>
    </cfRule>
  </conditionalFormatting>
  <conditionalFormatting sqref="D7:H8">
    <cfRule type="expression" dxfId="120" priority="26">
      <formula>$I7=Source_File_Status_Fixed</formula>
    </cfRule>
    <cfRule type="expression" dxfId="119" priority="27">
      <formula>$I7=Source_File_Status_Will_Break</formula>
    </cfRule>
    <cfRule type="expression" dxfId="118" priority="28">
      <formula>$I7=Source_File_Status_Obsolete_Frozen</formula>
    </cfRule>
  </conditionalFormatting>
  <conditionalFormatting sqref="E9:H9">
    <cfRule type="expression" dxfId="117" priority="25">
      <formula>FIND("Count",$A9)</formula>
    </cfRule>
  </conditionalFormatting>
  <conditionalFormatting sqref="E9:H9">
    <cfRule type="expression" dxfId="116" priority="22">
      <formula>$I9=Source_File_Status_Fixed</formula>
    </cfRule>
    <cfRule type="expression" dxfId="115" priority="23">
      <formula>$I9=Source_File_Status_Will_Break</formula>
    </cfRule>
    <cfRule type="expression" dxfId="114" priority="24">
      <formula>$I9=Source_File_Status_Obsolete_Frozen</formula>
    </cfRule>
  </conditionalFormatting>
  <conditionalFormatting sqref="D9:D186">
    <cfRule type="expression" dxfId="113" priority="14">
      <formula>$I9=Source_File_Status_Fixed</formula>
    </cfRule>
    <cfRule type="expression" dxfId="112" priority="15">
      <formula>$I9=Source_File_Status_Will_Break</formula>
    </cfRule>
    <cfRule type="expression" dxfId="111" priority="16">
      <formula>$I9=Source_File_Status_Obsolete_Frozen</formula>
    </cfRule>
  </conditionalFormatting>
  <conditionalFormatting sqref="J190">
    <cfRule type="expression" dxfId="110" priority="8">
      <formula>FIND("Count",$A190)</formula>
    </cfRule>
  </conditionalFormatting>
  <conditionalFormatting sqref="I188">
    <cfRule type="expression" dxfId="109" priority="13">
      <formula>FIND("Count",$A188)</formula>
    </cfRule>
  </conditionalFormatting>
  <conditionalFormatting sqref="I189">
    <cfRule type="expression" dxfId="108" priority="12">
      <formula>FIND("Count",$A189)</formula>
    </cfRule>
  </conditionalFormatting>
  <conditionalFormatting sqref="I190">
    <cfRule type="expression" dxfId="107" priority="11">
      <formula>FIND("Count",$A190)</formula>
    </cfRule>
  </conditionalFormatting>
  <conditionalFormatting sqref="J188">
    <cfRule type="expression" dxfId="106" priority="10">
      <formula>FIND("Count",$A188)</formula>
    </cfRule>
  </conditionalFormatting>
  <conditionalFormatting sqref="J189">
    <cfRule type="expression" dxfId="105" priority="9">
      <formula>FIND("Count",$A189)</formula>
    </cfRule>
  </conditionalFormatting>
  <conditionalFormatting sqref="I7:I186">
    <cfRule type="expression" dxfId="104" priority="7">
      <formula>FIND("Count",$A7)</formula>
    </cfRule>
  </conditionalFormatting>
  <conditionalFormatting sqref="I7:I186">
    <cfRule type="expression" dxfId="103" priority="4">
      <formula>$I7=Source_File_Status_Fixed</formula>
    </cfRule>
    <cfRule type="expression" dxfId="102" priority="5">
      <formula>$I7=Source_File_Status_Will_Break</formula>
    </cfRule>
    <cfRule type="expression" dxfId="101" priority="6">
      <formula>$I7=Source_File_Status_Obsolete_Frozen</formula>
    </cfRule>
  </conditionalFormatting>
  <conditionalFormatting sqref="I2">
    <cfRule type="expression" dxfId="100" priority="3">
      <formula>FIND("Count",$A2)</formula>
    </cfRule>
  </conditionalFormatting>
  <conditionalFormatting sqref="I3">
    <cfRule type="expression" dxfId="99" priority="2">
      <formula>FIND("Count",$A3)</formula>
    </cfRule>
  </conditionalFormatting>
  <conditionalFormatting sqref="I4">
    <cfRule type="expression" dxfId="98" priority="1">
      <formula>FIND("Count",$A4)</formula>
    </cfRule>
  </conditionalFormatting>
  <dataValidations count="1">
    <dataValidation type="list" allowBlank="1" showInputMessage="1" showErrorMessage="1" sqref="I7 I9:I10 I12:I23 I181 I27 I25 I29 I31:I32 I34:I35 I40 I42 I44:I53 I55:I58 I60:I62 I64:I65 I37:I38 I71:I74 I76:I77 I79 I81:I82 I84 I67:I69 I86 I88:I89 I91:I93 I95 I97:I98 I100 I102:I104 I106 I108:I109 I111 I113:I116 I118:I120 I122:I124 I126 I128:I137 I139:I142 I144:I146 I148:I149 I151 I153:I154 I156 I158:I167 I169:I172 I174:I176 I178:I179 I183:I184">
      <formula1>Source_Code_Status_Choices</formula1>
    </dataValidation>
  </dataValidations>
  <pageMargins left="0.7" right="0.7" top="0.75" bottom="0.75" header="0.3" footer="0.3"/>
  <pageSetup orientation="portrait" horizontalDpi="0" verticalDpi="0"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8" tint="-0.499984740745262"/>
  </sheetPr>
  <dimension ref="A1:J114"/>
  <sheetViews>
    <sheetView workbookViewId="0">
      <pane xSplit="2" ySplit="6" topLeftCell="I7" activePane="bottomRight" state="frozen"/>
      <selection pane="topRight" activeCell="C1" sqref="C1"/>
      <selection pane="bottomLeft" activeCell="A2" sqref="A2"/>
      <selection pane="bottomRight" activeCell="I1" sqref="I1"/>
    </sheetView>
  </sheetViews>
  <sheetFormatPr defaultRowHeight="15" outlineLevelRow="2" x14ac:dyDescent="0.25"/>
  <cols>
    <col min="1" max="1" width="22.75" customWidth="1"/>
    <col min="2" max="2" width="6.125" bestFit="1" customWidth="1"/>
    <col min="3" max="3" width="255.625" bestFit="1" customWidth="1"/>
    <col min="4" max="4" width="48" bestFit="1" customWidth="1"/>
    <col min="5" max="5" width="6.875" bestFit="1" customWidth="1"/>
    <col min="6" max="6" width="20.125" bestFit="1" customWidth="1"/>
    <col min="7" max="7" width="7.875" bestFit="1" customWidth="1"/>
    <col min="8" max="8" width="132" bestFit="1" customWidth="1"/>
    <col min="9" max="9" width="22.75" bestFit="1" customWidth="1"/>
    <col min="10" max="10" width="18.375" bestFit="1" customWidth="1"/>
    <col min="11" max="11" width="22.75" bestFit="1" customWidth="1"/>
  </cols>
  <sheetData>
    <row r="1" spans="1:9" ht="18" x14ac:dyDescent="0.25">
      <c r="I1" s="9" t="s">
        <v>11</v>
      </c>
    </row>
    <row r="2" spans="1:9" x14ac:dyDescent="0.25">
      <c r="I2" s="18" t="str">
        <f>Source_File_Status_Obsolete_Frozen</f>
        <v>Obsolete (Frozen)</v>
      </c>
    </row>
    <row r="3" spans="1:9" x14ac:dyDescent="0.25">
      <c r="I3" s="19" t="str">
        <f>Source_File_Status_Will_Break</f>
        <v>Will Break</v>
      </c>
    </row>
    <row r="4" spans="1:9" x14ac:dyDescent="0.25">
      <c r="I4" s="20" t="str">
        <f>Source_File_Status_Fixed</f>
        <v>Fixed</v>
      </c>
    </row>
    <row r="6" spans="1:9" ht="18" x14ac:dyDescent="0.25">
      <c r="A6" s="32" t="s">
        <v>18</v>
      </c>
      <c r="B6" s="32" t="s">
        <v>17</v>
      </c>
      <c r="C6" s="32" t="s">
        <v>16</v>
      </c>
      <c r="D6" s="32" t="s">
        <v>15</v>
      </c>
      <c r="E6" s="32" t="s">
        <v>6</v>
      </c>
      <c r="F6" s="32" t="s">
        <v>14</v>
      </c>
      <c r="G6" s="32" t="s">
        <v>13</v>
      </c>
      <c r="H6" s="32" t="s">
        <v>12</v>
      </c>
      <c r="I6" s="32" t="s">
        <v>11</v>
      </c>
    </row>
    <row r="7" spans="1:9" outlineLevel="2" x14ac:dyDescent="0.25">
      <c r="A7" s="33" t="s">
        <v>244</v>
      </c>
      <c r="B7" s="34">
        <v>536</v>
      </c>
      <c r="C7" s="39" t="s">
        <v>245</v>
      </c>
      <c r="D7" s="34" t="str">
        <f>[1]!GetFile(A7)</f>
        <v>FormsDirectory.cs</v>
      </c>
      <c r="E7" s="35" t="str">
        <f>IF(ISERROR(FIND("Count",$A7)),UPPER(RIGHT([1]!GetExtension(A7),LEN([1]!GetExtension(A7))-1)),"")</f>
        <v>CS</v>
      </c>
      <c r="F7" s="36">
        <f>[1]!dtmFileDateInfo(A7)</f>
        <v>42004.162303240744</v>
      </c>
      <c r="G7" s="37">
        <f>[1]!lngFileSize(A7)</f>
        <v>24519</v>
      </c>
      <c r="H7" s="40" t="str">
        <f>[1]!GetFolder(A7)</f>
        <v>C:\Users\DAVE\Documents\Visual Studio 2013\Projects\NOLANB\DataEaseDirectoryReader\DataEase</v>
      </c>
      <c r="I7" s="38" t="s">
        <v>168</v>
      </c>
    </row>
    <row r="8" spans="1:9" outlineLevel="1" x14ac:dyDescent="0.25">
      <c r="A8" s="41" t="s">
        <v>345</v>
      </c>
      <c r="B8" s="34">
        <f>SUBTOTAL(3,B7:B7)</f>
        <v>1</v>
      </c>
      <c r="C8" s="39"/>
      <c r="D8" s="34"/>
      <c r="E8" s="35"/>
      <c r="F8" s="36"/>
      <c r="G8" s="37"/>
      <c r="H8" s="40"/>
      <c r="I8" s="38"/>
    </row>
    <row r="9" spans="1:9" outlineLevel="2" x14ac:dyDescent="0.25">
      <c r="A9" s="33" t="s">
        <v>247</v>
      </c>
      <c r="B9" s="34">
        <v>912</v>
      </c>
      <c r="C9" s="39" t="s">
        <v>246</v>
      </c>
      <c r="D9" s="34" t="str">
        <f>[1]!GetFile(A9)</f>
        <v>TableDrivenConversionEngine.cs</v>
      </c>
      <c r="E9" s="35" t="str">
        <f>IF(ISERROR(FIND("Count",$A9)),UPPER(RIGHT([1]!GetExtension(A9),LEN([1]!GetExtension(A9))-1)),"")</f>
        <v>CS</v>
      </c>
      <c r="F9" s="36">
        <f>[1]!dtmFileDateInfo(A9)</f>
        <v>42004.152083333334</v>
      </c>
      <c r="G9" s="37">
        <f>[1]!lngFileSize(A9)</f>
        <v>127438</v>
      </c>
      <c r="H9" s="40" t="str">
        <f>[1]!GetFolder(A9)</f>
        <v>C:\Users\DAVE\Documents\Visual Studio 2013\Projects\NOLANB\DataEaseDirectoryReader\WizardWrx.BinaryIO</v>
      </c>
      <c r="I9" s="38" t="s">
        <v>168</v>
      </c>
    </row>
    <row r="10" spans="1:9" outlineLevel="2" x14ac:dyDescent="0.25">
      <c r="A10" s="33" t="s">
        <v>247</v>
      </c>
      <c r="B10" s="34">
        <v>975</v>
      </c>
      <c r="C10" s="39" t="s">
        <v>246</v>
      </c>
      <c r="D10" s="34" t="str">
        <f>[1]!GetFile(A10)</f>
        <v>TableDrivenConversionEngine.cs</v>
      </c>
      <c r="E10" s="35" t="str">
        <f>IF(ISERROR(FIND("Count",$A10)),UPPER(RIGHT([1]!GetExtension(A10),LEN([1]!GetExtension(A10))-1)),"")</f>
        <v>CS</v>
      </c>
      <c r="F10" s="36">
        <f>[1]!dtmFileDateInfo(A10)</f>
        <v>42004.152083333334</v>
      </c>
      <c r="G10" s="37">
        <f>[1]!lngFileSize(A10)</f>
        <v>127438</v>
      </c>
      <c r="H10" s="40" t="str">
        <f>[1]!GetFolder(A10)</f>
        <v>C:\Users\DAVE\Documents\Visual Studio 2013\Projects\NOLANB\DataEaseDirectoryReader\WizardWrx.BinaryIO</v>
      </c>
      <c r="I10" s="38" t="s">
        <v>168</v>
      </c>
    </row>
    <row r="11" spans="1:9" outlineLevel="2" x14ac:dyDescent="0.25">
      <c r="A11" s="33" t="s">
        <v>247</v>
      </c>
      <c r="B11" s="34">
        <v>2012</v>
      </c>
      <c r="C11" s="39" t="s">
        <v>246</v>
      </c>
      <c r="D11" s="34" t="str">
        <f>[1]!GetFile(A11)</f>
        <v>TableDrivenConversionEngine.cs</v>
      </c>
      <c r="E11" s="35" t="str">
        <f>IF(ISERROR(FIND("Count",$A11)),UPPER(RIGHT([1]!GetExtension(A11),LEN([1]!GetExtension(A11))-1)),"")</f>
        <v>CS</v>
      </c>
      <c r="F11" s="36">
        <f>[1]!dtmFileDateInfo(A11)</f>
        <v>42004.152083333334</v>
      </c>
      <c r="G11" s="37">
        <f>[1]!lngFileSize(A11)</f>
        <v>127438</v>
      </c>
      <c r="H11" s="40" t="str">
        <f>[1]!GetFolder(A11)</f>
        <v>C:\Users\DAVE\Documents\Visual Studio 2013\Projects\NOLANB\DataEaseDirectoryReader\WizardWrx.BinaryIO</v>
      </c>
      <c r="I11" s="38" t="s">
        <v>168</v>
      </c>
    </row>
    <row r="12" spans="1:9" outlineLevel="2" x14ac:dyDescent="0.25">
      <c r="A12" s="33" t="s">
        <v>247</v>
      </c>
      <c r="B12" s="34">
        <v>2670</v>
      </c>
      <c r="C12" s="39" t="s">
        <v>246</v>
      </c>
      <c r="D12" s="34" t="str">
        <f>[1]!GetFile(A12)</f>
        <v>TableDrivenConversionEngine.cs</v>
      </c>
      <c r="E12" s="35" t="str">
        <f>IF(ISERROR(FIND("Count",$A12)),UPPER(RIGHT([1]!GetExtension(A12),LEN([1]!GetExtension(A12))-1)),"")</f>
        <v>CS</v>
      </c>
      <c r="F12" s="36">
        <f>[1]!dtmFileDateInfo(A12)</f>
        <v>42004.152083333334</v>
      </c>
      <c r="G12" s="37">
        <f>[1]!lngFileSize(A12)</f>
        <v>127438</v>
      </c>
      <c r="H12" s="40" t="str">
        <f>[1]!GetFolder(A12)</f>
        <v>C:\Users\DAVE\Documents\Visual Studio 2013\Projects\NOLANB\DataEaseDirectoryReader\WizardWrx.BinaryIO</v>
      </c>
      <c r="I12" s="38" t="s">
        <v>168</v>
      </c>
    </row>
    <row r="13" spans="1:9" outlineLevel="2" x14ac:dyDescent="0.25">
      <c r="A13" s="33" t="s">
        <v>247</v>
      </c>
      <c r="B13" s="34">
        <v>2707</v>
      </c>
      <c r="C13" s="39" t="s">
        <v>248</v>
      </c>
      <c r="D13" s="34" t="str">
        <f>[1]!GetFile(A13)</f>
        <v>TableDrivenConversionEngine.cs</v>
      </c>
      <c r="E13" s="35" t="str">
        <f>IF(ISERROR(FIND("Count",$A13)),UPPER(RIGHT([1]!GetExtension(A13),LEN([1]!GetExtension(A13))-1)),"")</f>
        <v>CS</v>
      </c>
      <c r="F13" s="36">
        <f>[1]!dtmFileDateInfo(A13)</f>
        <v>42004.152083333334</v>
      </c>
      <c r="G13" s="37">
        <f>[1]!lngFileSize(A13)</f>
        <v>127438</v>
      </c>
      <c r="H13" s="40" t="str">
        <f>[1]!GetFolder(A13)</f>
        <v>C:\Users\DAVE\Documents\Visual Studio 2013\Projects\NOLANB\DataEaseDirectoryReader\WizardWrx.BinaryIO</v>
      </c>
      <c r="I13" s="38" t="s">
        <v>168</v>
      </c>
    </row>
    <row r="14" spans="1:9" outlineLevel="1" x14ac:dyDescent="0.25">
      <c r="A14" s="41" t="s">
        <v>347</v>
      </c>
      <c r="B14" s="34">
        <f>SUBTOTAL(3,B9:B13)</f>
        <v>5</v>
      </c>
      <c r="C14" s="39"/>
      <c r="D14" s="34"/>
      <c r="E14" s="35"/>
      <c r="F14" s="36"/>
      <c r="G14" s="37"/>
      <c r="H14" s="40"/>
      <c r="I14" s="38"/>
    </row>
    <row r="15" spans="1:9" outlineLevel="2" x14ac:dyDescent="0.25">
      <c r="A15" s="33" t="s">
        <v>50</v>
      </c>
      <c r="B15" s="34">
        <v>94</v>
      </c>
      <c r="C15" s="39" t="s">
        <v>250</v>
      </c>
      <c r="D15" s="34" t="str">
        <f>[1]!GetFile(A15)</f>
        <v>ZZ_DirectoryImport.cs</v>
      </c>
      <c r="E15" s="35" t="str">
        <f>IF(ISERROR(FIND("Count",$A15)),UPPER(RIGHT([1]!GetExtension(A15),LEN([1]!GetExtension(A15))-1)),"")</f>
        <v>CS</v>
      </c>
      <c r="F15" s="36">
        <f>[1]!dtmFileDateInfo(A15)</f>
        <v>42004.920497685183</v>
      </c>
      <c r="G15" s="37">
        <f>[1]!lngFileSize(A15)</f>
        <v>7648</v>
      </c>
      <c r="H15" s="40" t="str">
        <f>[1]!GetFolder(A15)</f>
        <v>C:\Users\DAVE\Documents\Visual Studio 2013\Projects\NOLANB\ZZRdInts\ZZRdInts</v>
      </c>
      <c r="I15" s="38" t="s">
        <v>167</v>
      </c>
    </row>
    <row r="16" spans="1:9" outlineLevel="1" x14ac:dyDescent="0.25">
      <c r="A16" s="41" t="s">
        <v>149</v>
      </c>
      <c r="B16" s="34">
        <f>SUBTOTAL(3,B15:B15)</f>
        <v>1</v>
      </c>
      <c r="C16" s="39"/>
      <c r="D16" s="34"/>
      <c r="E16" s="35"/>
      <c r="F16" s="36"/>
      <c r="G16" s="37"/>
      <c r="H16" s="40"/>
      <c r="I16" s="38"/>
    </row>
    <row r="17" spans="1:9" outlineLevel="2" x14ac:dyDescent="0.25">
      <c r="A17" s="33" t="s">
        <v>251</v>
      </c>
      <c r="B17" s="34">
        <v>280</v>
      </c>
      <c r="C17" s="39" t="s">
        <v>252</v>
      </c>
      <c r="D17" s="34" t="str">
        <f>[1]!GetFile(A17)</f>
        <v>FileNameTricks.cs</v>
      </c>
      <c r="E17" s="35" t="str">
        <f>IF(ISERROR(FIND("Count",$A17)),UPPER(RIGHT([1]!GetExtension(A17),LEN([1]!GetExtension(A17))-1)),"")</f>
        <v>CS</v>
      </c>
      <c r="F17" s="36">
        <f>[1]!dtmFileDateInfo(A17)</f>
        <v>0</v>
      </c>
      <c r="G17" s="37">
        <f>[1]!lngFileSize(A17)</f>
        <v>0</v>
      </c>
      <c r="H17" s="40" t="str">
        <f>[1]!GetFolder(A17)</f>
        <v>C:\Users\DAVE\Documents\Visual Studio 2013\Projects\WizardWrx_Libs\DLLServices2\DLLServices2</v>
      </c>
      <c r="I17" s="38" t="s">
        <v>168</v>
      </c>
    </row>
    <row r="18" spans="1:9" outlineLevel="2" x14ac:dyDescent="0.25">
      <c r="A18" s="33" t="s">
        <v>251</v>
      </c>
      <c r="B18" s="34">
        <v>285</v>
      </c>
      <c r="C18" s="39" t="s">
        <v>252</v>
      </c>
      <c r="D18" s="34" t="str">
        <f>[1]!GetFile(A18)</f>
        <v>FileNameTricks.cs</v>
      </c>
      <c r="E18" s="35" t="str">
        <f>IF(ISERROR(FIND("Count",$A18)),UPPER(RIGHT([1]!GetExtension(A18),LEN([1]!GetExtension(A18))-1)),"")</f>
        <v>CS</v>
      </c>
      <c r="F18" s="36">
        <f>[1]!dtmFileDateInfo(A18)</f>
        <v>0</v>
      </c>
      <c r="G18" s="37">
        <f>[1]!lngFileSize(A18)</f>
        <v>0</v>
      </c>
      <c r="H18" s="40" t="str">
        <f>[1]!GetFolder(A18)</f>
        <v>C:\Users\DAVE\Documents\Visual Studio 2013\Projects\WizardWrx_Libs\DLLServices2\DLLServices2</v>
      </c>
      <c r="I18" s="38" t="s">
        <v>168</v>
      </c>
    </row>
    <row r="19" spans="1:9" outlineLevel="2" x14ac:dyDescent="0.25">
      <c r="A19" s="33" t="s">
        <v>251</v>
      </c>
      <c r="B19" s="34">
        <v>372</v>
      </c>
      <c r="C19" s="39" t="s">
        <v>252</v>
      </c>
      <c r="D19" s="34" t="str">
        <f>[1]!GetFile(A19)</f>
        <v>FileNameTricks.cs</v>
      </c>
      <c r="E19" s="35" t="str">
        <f>IF(ISERROR(FIND("Count",$A19)),UPPER(RIGHT([1]!GetExtension(A19),LEN([1]!GetExtension(A19))-1)),"")</f>
        <v>CS</v>
      </c>
      <c r="F19" s="36">
        <f>[1]!dtmFileDateInfo(A19)</f>
        <v>0</v>
      </c>
      <c r="G19" s="37">
        <f>[1]!lngFileSize(A19)</f>
        <v>0</v>
      </c>
      <c r="H19" s="40" t="str">
        <f>[1]!GetFolder(A19)</f>
        <v>C:\Users\DAVE\Documents\Visual Studio 2013\Projects\WizardWrx_Libs\DLLServices2\DLLServices2</v>
      </c>
      <c r="I19" s="38" t="s">
        <v>168</v>
      </c>
    </row>
    <row r="20" spans="1:9" outlineLevel="2" x14ac:dyDescent="0.25">
      <c r="A20" s="33" t="s">
        <v>251</v>
      </c>
      <c r="B20" s="34">
        <v>405</v>
      </c>
      <c r="C20" s="39" t="s">
        <v>252</v>
      </c>
      <c r="D20" s="34" t="str">
        <f>[1]!GetFile(A20)</f>
        <v>FileNameTricks.cs</v>
      </c>
      <c r="E20" s="35" t="str">
        <f>IF(ISERROR(FIND("Count",$A20)),UPPER(RIGHT([1]!GetExtension(A20),LEN([1]!GetExtension(A20))-1)),"")</f>
        <v>CS</v>
      </c>
      <c r="F20" s="36">
        <f>[1]!dtmFileDateInfo(A20)</f>
        <v>0</v>
      </c>
      <c r="G20" s="37">
        <f>[1]!lngFileSize(A20)</f>
        <v>0</v>
      </c>
      <c r="H20" s="40" t="str">
        <f>[1]!GetFolder(A20)</f>
        <v>C:\Users\DAVE\Documents\Visual Studio 2013\Projects\WizardWrx_Libs\DLLServices2\DLLServices2</v>
      </c>
      <c r="I20" s="38" t="s">
        <v>168</v>
      </c>
    </row>
    <row r="21" spans="1:9" outlineLevel="2" x14ac:dyDescent="0.25">
      <c r="A21" s="33" t="s">
        <v>251</v>
      </c>
      <c r="B21" s="34">
        <v>434</v>
      </c>
      <c r="C21" s="39" t="s">
        <v>252</v>
      </c>
      <c r="D21" s="34" t="str">
        <f>[1]!GetFile(A21)</f>
        <v>FileNameTricks.cs</v>
      </c>
      <c r="E21" s="35" t="str">
        <f>IF(ISERROR(FIND("Count",$A21)),UPPER(RIGHT([1]!GetExtension(A21),LEN([1]!GetExtension(A21))-1)),"")</f>
        <v>CS</v>
      </c>
      <c r="F21" s="36">
        <f>[1]!dtmFileDateInfo(A21)</f>
        <v>0</v>
      </c>
      <c r="G21" s="37">
        <f>[1]!lngFileSize(A21)</f>
        <v>0</v>
      </c>
      <c r="H21" s="40" t="str">
        <f>[1]!GetFolder(A21)</f>
        <v>C:\Users\DAVE\Documents\Visual Studio 2013\Projects\WizardWrx_Libs\DLLServices2\DLLServices2</v>
      </c>
      <c r="I21" s="38" t="s">
        <v>168</v>
      </c>
    </row>
    <row r="22" spans="1:9" outlineLevel="2" x14ac:dyDescent="0.25">
      <c r="A22" s="33" t="s">
        <v>251</v>
      </c>
      <c r="B22" s="34">
        <v>459</v>
      </c>
      <c r="C22" s="39" t="s">
        <v>252</v>
      </c>
      <c r="D22" s="34" t="str">
        <f>[1]!GetFile(A22)</f>
        <v>FileNameTricks.cs</v>
      </c>
      <c r="E22" s="35" t="str">
        <f>IF(ISERROR(FIND("Count",$A22)),UPPER(RIGHT([1]!GetExtension(A22),LEN([1]!GetExtension(A22))-1)),"")</f>
        <v>CS</v>
      </c>
      <c r="F22" s="36">
        <f>[1]!dtmFileDateInfo(A22)</f>
        <v>0</v>
      </c>
      <c r="G22" s="37">
        <f>[1]!lngFileSize(A22)</f>
        <v>0</v>
      </c>
      <c r="H22" s="40" t="str">
        <f>[1]!GetFolder(A22)</f>
        <v>C:\Users\DAVE\Documents\Visual Studio 2013\Projects\WizardWrx_Libs\DLLServices2\DLLServices2</v>
      </c>
      <c r="I22" s="38" t="s">
        <v>168</v>
      </c>
    </row>
    <row r="23" spans="1:9" outlineLevel="2" x14ac:dyDescent="0.25">
      <c r="A23" s="33" t="s">
        <v>251</v>
      </c>
      <c r="B23" s="34">
        <v>499</v>
      </c>
      <c r="C23" s="39" t="s">
        <v>252</v>
      </c>
      <c r="D23" s="34" t="str">
        <f>[1]!GetFile(A23)</f>
        <v>FileNameTricks.cs</v>
      </c>
      <c r="E23" s="35" t="str">
        <f>IF(ISERROR(FIND("Count",$A23)),UPPER(RIGHT([1]!GetExtension(A23),LEN([1]!GetExtension(A23))-1)),"")</f>
        <v>CS</v>
      </c>
      <c r="F23" s="36">
        <f>[1]!dtmFileDateInfo(A23)</f>
        <v>0</v>
      </c>
      <c r="G23" s="37">
        <f>[1]!lngFileSize(A23)</f>
        <v>0</v>
      </c>
      <c r="H23" s="40" t="str">
        <f>[1]!GetFolder(A23)</f>
        <v>C:\Users\DAVE\Documents\Visual Studio 2013\Projects\WizardWrx_Libs\DLLServices2\DLLServices2</v>
      </c>
      <c r="I23" s="38" t="s">
        <v>168</v>
      </c>
    </row>
    <row r="24" spans="1:9" outlineLevel="2" x14ac:dyDescent="0.25">
      <c r="A24" s="33" t="s">
        <v>251</v>
      </c>
      <c r="B24" s="34">
        <v>548</v>
      </c>
      <c r="C24" s="39" t="s">
        <v>252</v>
      </c>
      <c r="D24" s="34" t="str">
        <f>[1]!GetFile(A24)</f>
        <v>FileNameTricks.cs</v>
      </c>
      <c r="E24" s="35" t="str">
        <f>IF(ISERROR(FIND("Count",$A24)),UPPER(RIGHT([1]!GetExtension(A24),LEN([1]!GetExtension(A24))-1)),"")</f>
        <v>CS</v>
      </c>
      <c r="F24" s="36">
        <f>[1]!dtmFileDateInfo(A24)</f>
        <v>0</v>
      </c>
      <c r="G24" s="37">
        <f>[1]!lngFileSize(A24)</f>
        <v>0</v>
      </c>
      <c r="H24" s="40" t="str">
        <f>[1]!GetFolder(A24)</f>
        <v>C:\Users\DAVE\Documents\Visual Studio 2013\Projects\WizardWrx_Libs\DLLServices2\DLLServices2</v>
      </c>
      <c r="I24" s="38" t="s">
        <v>168</v>
      </c>
    </row>
    <row r="25" spans="1:9" outlineLevel="2" x14ac:dyDescent="0.25">
      <c r="A25" s="33" t="s">
        <v>251</v>
      </c>
      <c r="B25" s="34">
        <v>579</v>
      </c>
      <c r="C25" s="39" t="s">
        <v>253</v>
      </c>
      <c r="D25" s="34" t="str">
        <f>[1]!GetFile(A25)</f>
        <v>FileNameTricks.cs</v>
      </c>
      <c r="E25" s="35" t="str">
        <f>IF(ISERROR(FIND("Count",$A25)),UPPER(RIGHT([1]!GetExtension(A25),LEN([1]!GetExtension(A25))-1)),"")</f>
        <v>CS</v>
      </c>
      <c r="F25" s="36">
        <f>[1]!dtmFileDateInfo(A25)</f>
        <v>0</v>
      </c>
      <c r="G25" s="37">
        <f>[1]!lngFileSize(A25)</f>
        <v>0</v>
      </c>
      <c r="H25" s="40" t="str">
        <f>[1]!GetFolder(A25)</f>
        <v>C:\Users\DAVE\Documents\Visual Studio 2013\Projects\WizardWrx_Libs\DLLServices2\DLLServices2</v>
      </c>
      <c r="I25" s="38" t="s">
        <v>168</v>
      </c>
    </row>
    <row r="26" spans="1:9" outlineLevel="1" x14ac:dyDescent="0.25">
      <c r="A26" s="41" t="s">
        <v>355</v>
      </c>
      <c r="B26" s="34">
        <f>SUBTOTAL(3,B17:B25)</f>
        <v>9</v>
      </c>
      <c r="C26" s="39"/>
      <c r="D26" s="34"/>
      <c r="E26" s="35"/>
      <c r="F26" s="36"/>
      <c r="G26" s="37"/>
      <c r="H26" s="40"/>
      <c r="I26" s="38"/>
    </row>
    <row r="27" spans="1:9" outlineLevel="2" x14ac:dyDescent="0.25">
      <c r="A27" s="33" t="s">
        <v>255</v>
      </c>
      <c r="B27" s="34">
        <v>104</v>
      </c>
      <c r="C27" s="39" t="s">
        <v>256</v>
      </c>
      <c r="D27" s="34" t="str">
        <f>[1]!GetFile(A27)</f>
        <v>Resources.Designer.cs</v>
      </c>
      <c r="E27" s="35" t="str">
        <f>IF(ISERROR(FIND("Count",$A27)),UPPER(RIGHT([1]!GetExtension(A27),LEN([1]!GetExtension(A27))-1)),"")</f>
        <v>CS</v>
      </c>
      <c r="F27" s="36">
        <f>[1]!dtmFileDateInfo(A27)</f>
        <v>0</v>
      </c>
      <c r="G27" s="37">
        <f>[1]!lngFileSize(A27)</f>
        <v>0</v>
      </c>
      <c r="H27" s="40" t="str">
        <f>[1]!GetFolder(A27)</f>
        <v>C:\Users\DAVE\Documents\Visual Studio 2013\Projects\WizardWrx_Libs\DLLServices2\DLLServices2\Properties</v>
      </c>
      <c r="I27" s="38" t="s">
        <v>168</v>
      </c>
    </row>
    <row r="28" spans="1:9" outlineLevel="1" x14ac:dyDescent="0.25">
      <c r="A28" s="41" t="s">
        <v>356</v>
      </c>
      <c r="B28" s="34">
        <f>SUBTOTAL(3,B27:B27)</f>
        <v>1</v>
      </c>
      <c r="C28" s="39"/>
      <c r="D28" s="34"/>
      <c r="E28" s="35"/>
      <c r="F28" s="36"/>
      <c r="G28" s="37"/>
      <c r="H28" s="40"/>
      <c r="I28" s="38"/>
    </row>
    <row r="29" spans="1:9" outlineLevel="2" x14ac:dyDescent="0.25">
      <c r="A29" s="33" t="s">
        <v>257</v>
      </c>
      <c r="B29" s="34">
        <v>691</v>
      </c>
      <c r="C29" s="39" t="s">
        <v>258</v>
      </c>
      <c r="D29" s="34" t="str">
        <f>[1]!GetFile(A29)</f>
        <v>CmdLneArgsTests.cs</v>
      </c>
      <c r="E29" s="35" t="str">
        <f>IF(ISERROR(FIND("Count",$A29)),UPPER(RIGHT([1]!GetExtension(A29),LEN([1]!GetExtension(A29))-1)),"")</f>
        <v>CS</v>
      </c>
      <c r="F29" s="36">
        <f>[1]!dtmFileDateInfo(A29)</f>
        <v>0</v>
      </c>
      <c r="G29" s="37">
        <f>[1]!lngFileSize(A29)</f>
        <v>0</v>
      </c>
      <c r="H29" s="40" t="str">
        <f>[1]!GetFolder(A29)</f>
        <v>C:\Users\DAVE\Documents\Visual Studio 2013\Projects\WizardWrx_Libs\DLLServices2\DLLServices2TestStand</v>
      </c>
      <c r="I29" s="38" t="s">
        <v>168</v>
      </c>
    </row>
    <row r="30" spans="1:9" ht="30" outlineLevel="2" x14ac:dyDescent="0.25">
      <c r="A30" s="33" t="s">
        <v>257</v>
      </c>
      <c r="B30" s="34">
        <v>735</v>
      </c>
      <c r="C30" s="39" t="s">
        <v>259</v>
      </c>
      <c r="D30" s="34" t="str">
        <f>[1]!GetFile(A30)</f>
        <v>CmdLneArgsTests.cs</v>
      </c>
      <c r="E30" s="35" t="str">
        <f>IF(ISERROR(FIND("Count",$A30)),UPPER(RIGHT([1]!GetExtension(A30),LEN([1]!GetExtension(A30))-1)),"")</f>
        <v>CS</v>
      </c>
      <c r="F30" s="36">
        <f>[1]!dtmFileDateInfo(A30)</f>
        <v>0</v>
      </c>
      <c r="G30" s="37">
        <f>[1]!lngFileSize(A30)</f>
        <v>0</v>
      </c>
      <c r="H30" s="40" t="str">
        <f>[1]!GetFolder(A30)</f>
        <v>C:\Users\DAVE\Documents\Visual Studio 2013\Projects\WizardWrx_Libs\DLLServices2\DLLServices2TestStand</v>
      </c>
      <c r="I30" s="38" t="s">
        <v>168</v>
      </c>
    </row>
    <row r="31" spans="1:9" outlineLevel="1" x14ac:dyDescent="0.25">
      <c r="A31" s="41" t="s">
        <v>357</v>
      </c>
      <c r="B31" s="34">
        <f>SUBTOTAL(3,B29:B30)</f>
        <v>2</v>
      </c>
      <c r="C31" s="39"/>
      <c r="D31" s="34"/>
      <c r="E31" s="35"/>
      <c r="F31" s="36"/>
      <c r="G31" s="37"/>
      <c r="H31" s="40"/>
      <c r="I31" s="38"/>
    </row>
    <row r="32" spans="1:9" outlineLevel="2" x14ac:dyDescent="0.25">
      <c r="A32" s="33" t="s">
        <v>76</v>
      </c>
      <c r="B32" s="34">
        <v>1793</v>
      </c>
      <c r="C32" s="39" t="s">
        <v>261</v>
      </c>
      <c r="D32" s="34" t="str">
        <f>[1]!GetFile(A32)</f>
        <v>ApplicationHelpers3_Program_20150606_223541.CS</v>
      </c>
      <c r="E32" s="35" t="str">
        <f>IF(ISERROR(FIND("Count",$A32)),UPPER(RIGHT([1]!GetExtension(A32),LEN([1]!GetExtension(A32))-1)),"")</f>
        <v>CS</v>
      </c>
      <c r="F32" s="36">
        <f>[1]!dtmFileDateInfo(A32)</f>
        <v>0</v>
      </c>
      <c r="G32" s="37">
        <f>[1]!lngFileSize(A32)</f>
        <v>0</v>
      </c>
      <c r="H32" s="40" t="str">
        <f>[1]!GetFolder(A32)</f>
        <v>C:\Users\DAVE\Documents\Visual Studio 2013\Projects\WizardWrx_Libs\DLLServices2\_NOTES</v>
      </c>
      <c r="I32" s="38" t="s">
        <v>167</v>
      </c>
    </row>
    <row r="33" spans="1:9" ht="30" outlineLevel="2" x14ac:dyDescent="0.25">
      <c r="A33" s="33" t="s">
        <v>76</v>
      </c>
      <c r="B33" s="34">
        <v>1836</v>
      </c>
      <c r="C33" s="39" t="s">
        <v>262</v>
      </c>
      <c r="D33" s="34" t="str">
        <f>[1]!GetFile(A33)</f>
        <v>ApplicationHelpers3_Program_20150606_223541.CS</v>
      </c>
      <c r="E33" s="35" t="str">
        <f>IF(ISERROR(FIND("Count",$A33)),UPPER(RIGHT([1]!GetExtension(A33),LEN([1]!GetExtension(A33))-1)),"")</f>
        <v>CS</v>
      </c>
      <c r="F33" s="36">
        <f>[1]!dtmFileDateInfo(A33)</f>
        <v>0</v>
      </c>
      <c r="G33" s="37">
        <f>[1]!lngFileSize(A33)</f>
        <v>0</v>
      </c>
      <c r="H33" s="40" t="str">
        <f>[1]!GetFolder(A33)</f>
        <v>C:\Users\DAVE\Documents\Visual Studio 2013\Projects\WizardWrx_Libs\DLLServices2\_NOTES</v>
      </c>
      <c r="I33" s="38" t="s">
        <v>167</v>
      </c>
    </row>
    <row r="34" spans="1:9" outlineLevel="1" x14ac:dyDescent="0.25">
      <c r="A34" s="41" t="s">
        <v>152</v>
      </c>
      <c r="B34" s="34">
        <f>SUBTOTAL(3,B32:B33)</f>
        <v>2</v>
      </c>
      <c r="C34" s="39"/>
      <c r="D34" s="34"/>
      <c r="E34" s="35"/>
      <c r="F34" s="36"/>
      <c r="G34" s="37"/>
      <c r="H34" s="40"/>
      <c r="I34" s="38"/>
    </row>
    <row r="35" spans="1:9" outlineLevel="2" x14ac:dyDescent="0.25">
      <c r="A35" s="33" t="s">
        <v>264</v>
      </c>
      <c r="B35" s="34">
        <v>917</v>
      </c>
      <c r="C35" s="39" t="s">
        <v>265</v>
      </c>
      <c r="D35" s="34" t="str">
        <f>[1]!GetFile(A35)</f>
        <v>FormatItem.cs</v>
      </c>
      <c r="E35" s="35" t="str">
        <f>IF(ISERROR(FIND("Count",$A35)),UPPER(RIGHT([1]!GetExtension(A35),LEN([1]!GetExtension(A35))-1)),"")</f>
        <v>CS</v>
      </c>
      <c r="F35" s="36">
        <f>[1]!dtmFileDateInfo(A35)</f>
        <v>42799.160520833335</v>
      </c>
      <c r="G35" s="37">
        <f>[1]!lngFileSize(A35)</f>
        <v>72250</v>
      </c>
      <c r="H35" s="40" t="str">
        <f>[1]!GetFolder(A35)</f>
        <v>C:\Users\DAVE\Documents\Visual Studio 2013\Projects\WizardWrx_Libs\SharedUtl4\FormatStringEngine</v>
      </c>
      <c r="I35" s="38" t="s">
        <v>168</v>
      </c>
    </row>
    <row r="36" spans="1:9" outlineLevel="2" x14ac:dyDescent="0.25">
      <c r="A36" s="33" t="s">
        <v>264</v>
      </c>
      <c r="B36" s="34">
        <v>992</v>
      </c>
      <c r="C36" s="39" t="s">
        <v>265</v>
      </c>
      <c r="D36" s="34" t="str">
        <f>[1]!GetFile(A36)</f>
        <v>FormatItem.cs</v>
      </c>
      <c r="E36" s="35" t="str">
        <f>IF(ISERROR(FIND("Count",$A36)),UPPER(RIGHT([1]!GetExtension(A36),LEN([1]!GetExtension(A36))-1)),"")</f>
        <v>CS</v>
      </c>
      <c r="F36" s="36">
        <f>[1]!dtmFileDateInfo(A36)</f>
        <v>42799.160520833335</v>
      </c>
      <c r="G36" s="37">
        <f>[1]!lngFileSize(A36)</f>
        <v>72250</v>
      </c>
      <c r="H36" s="40" t="str">
        <f>[1]!GetFolder(A36)</f>
        <v>C:\Users\DAVE\Documents\Visual Studio 2013\Projects\WizardWrx_Libs\SharedUtl4\FormatStringEngine</v>
      </c>
      <c r="I36" s="38" t="s">
        <v>168</v>
      </c>
    </row>
    <row r="37" spans="1:9" outlineLevel="2" x14ac:dyDescent="0.25">
      <c r="A37" s="33" t="s">
        <v>264</v>
      </c>
      <c r="B37" s="34">
        <v>1000</v>
      </c>
      <c r="C37" s="39" t="s">
        <v>266</v>
      </c>
      <c r="D37" s="34" t="str">
        <f>[1]!GetFile(A37)</f>
        <v>FormatItem.cs</v>
      </c>
      <c r="E37" s="35" t="str">
        <f>IF(ISERROR(FIND("Count",$A37)),UPPER(RIGHT([1]!GetExtension(A37),LEN([1]!GetExtension(A37))-1)),"")</f>
        <v>CS</v>
      </c>
      <c r="F37" s="36">
        <f>[1]!dtmFileDateInfo(A37)</f>
        <v>42799.160520833335</v>
      </c>
      <c r="G37" s="37">
        <f>[1]!lngFileSize(A37)</f>
        <v>72250</v>
      </c>
      <c r="H37" s="40" t="str">
        <f>[1]!GetFolder(A37)</f>
        <v>C:\Users\DAVE\Documents\Visual Studio 2013\Projects\WizardWrx_Libs\SharedUtl4\FormatStringEngine</v>
      </c>
      <c r="I37" s="38" t="s">
        <v>168</v>
      </c>
    </row>
    <row r="38" spans="1:9" outlineLevel="1" x14ac:dyDescent="0.25">
      <c r="A38" s="41" t="s">
        <v>359</v>
      </c>
      <c r="B38" s="34">
        <f>SUBTOTAL(3,B35:B37)</f>
        <v>3</v>
      </c>
      <c r="C38" s="39"/>
      <c r="D38" s="34"/>
      <c r="E38" s="35"/>
      <c r="F38" s="36"/>
      <c r="G38" s="37"/>
      <c r="H38" s="40"/>
      <c r="I38" s="38"/>
    </row>
    <row r="39" spans="1:9" outlineLevel="2" x14ac:dyDescent="0.25">
      <c r="A39" s="33" t="s">
        <v>117</v>
      </c>
      <c r="B39" s="34">
        <v>1523</v>
      </c>
      <c r="C39" s="39" t="s">
        <v>261</v>
      </c>
      <c r="D39" s="34" t="str">
        <f>[1]!GetFile(A39)</f>
        <v>Program.cs</v>
      </c>
      <c r="E39" s="35" t="str">
        <f>IF(ISERROR(FIND("Count",$A39)),UPPER(RIGHT([1]!GetExtension(A39),LEN([1]!GetExtension(A39))-1)),"")</f>
        <v>CS</v>
      </c>
      <c r="F39" s="36">
        <f>[1]!dtmFileDateInfo(A39)</f>
        <v>41708.069236111114</v>
      </c>
      <c r="G39" s="37">
        <f>[1]!lngFileSize(A39)</f>
        <v>110794</v>
      </c>
      <c r="H39" s="40" t="str">
        <f>[1]!GetFolder(A39)</f>
        <v>C:\Users\DAVE\Documents\Visual Studio 2013\Projects\WizardWrx_Libs\_Deprecated_Libraries\ApplicationHelpers\ApplicationHelpersTestHarness\ApplicationHelpersTestHarness</v>
      </c>
      <c r="I39" s="38" t="s">
        <v>167</v>
      </c>
    </row>
    <row r="40" spans="1:9" ht="30" outlineLevel="2" x14ac:dyDescent="0.25">
      <c r="A40" s="33" t="s">
        <v>117</v>
      </c>
      <c r="B40" s="34">
        <v>1566</v>
      </c>
      <c r="C40" s="39" t="s">
        <v>267</v>
      </c>
      <c r="D40" s="34" t="str">
        <f>[1]!GetFile(A40)</f>
        <v>Program.cs</v>
      </c>
      <c r="E40" s="35" t="str">
        <f>IF(ISERROR(FIND("Count",$A40)),UPPER(RIGHT([1]!GetExtension(A40),LEN([1]!GetExtension(A40))-1)),"")</f>
        <v>CS</v>
      </c>
      <c r="F40" s="36">
        <f>[1]!dtmFileDateInfo(A40)</f>
        <v>41708.069236111114</v>
      </c>
      <c r="G40" s="37">
        <f>[1]!lngFileSize(A40)</f>
        <v>110794</v>
      </c>
      <c r="H40" s="40" t="str">
        <f>[1]!GetFolder(A40)</f>
        <v>C:\Users\DAVE\Documents\Visual Studio 2013\Projects\WizardWrx_Libs\_Deprecated_Libraries\ApplicationHelpers\ApplicationHelpersTestHarness\ApplicationHelpersTestHarness</v>
      </c>
      <c r="I40" s="38" t="s">
        <v>167</v>
      </c>
    </row>
    <row r="41" spans="1:9" outlineLevel="1" x14ac:dyDescent="0.25">
      <c r="A41" s="41" t="s">
        <v>158</v>
      </c>
      <c r="B41" s="34">
        <f>SUBTOTAL(3,B39:B40)</f>
        <v>2</v>
      </c>
      <c r="C41" s="39"/>
      <c r="D41" s="34"/>
      <c r="E41" s="35"/>
      <c r="F41" s="36"/>
      <c r="G41" s="37"/>
      <c r="H41" s="40"/>
      <c r="I41" s="38"/>
    </row>
    <row r="42" spans="1:9" outlineLevel="2" x14ac:dyDescent="0.25">
      <c r="A42" s="33" t="s">
        <v>127</v>
      </c>
      <c r="B42" s="34">
        <v>1819</v>
      </c>
      <c r="C42" s="39" t="s">
        <v>261</v>
      </c>
      <c r="D42" s="34" t="str">
        <f>[1]!GetFile(A42)</f>
        <v>Program.cs</v>
      </c>
      <c r="E42" s="35" t="str">
        <f>IF(ISERROR(FIND("Count",$A42)),UPPER(RIGHT([1]!GetExtension(A42),LEN([1]!GetExtension(A42))-1)),"")</f>
        <v>CS</v>
      </c>
      <c r="F42" s="36">
        <f>[1]!dtmFileDateInfo(A42)</f>
        <v>41904.603055555555</v>
      </c>
      <c r="G42" s="37">
        <f>[1]!lngFileSize(A42)</f>
        <v>130536</v>
      </c>
      <c r="H42" s="40" t="str">
        <f>[1]!GetFolder(A42)</f>
        <v>C:\Users\DAVE\Documents\Visual Studio 2013\Projects\WizardWrx_Libs\_Deprecated_Libraries\ApplicationHelpers2\ApplicationHelpers2TestHarness\ApplicationHelpers2TestHarness</v>
      </c>
      <c r="I42" s="38" t="s">
        <v>167</v>
      </c>
    </row>
    <row r="43" spans="1:9" ht="30" outlineLevel="2" x14ac:dyDescent="0.25">
      <c r="A43" s="33" t="s">
        <v>127</v>
      </c>
      <c r="B43" s="34">
        <v>1862</v>
      </c>
      <c r="C43" s="39" t="s">
        <v>268</v>
      </c>
      <c r="D43" s="34" t="str">
        <f>[1]!GetFile(A43)</f>
        <v>Program.cs</v>
      </c>
      <c r="E43" s="35" t="str">
        <f>IF(ISERROR(FIND("Count",$A43)),UPPER(RIGHT([1]!GetExtension(A43),LEN([1]!GetExtension(A43))-1)),"")</f>
        <v>CS</v>
      </c>
      <c r="F43" s="36">
        <f>[1]!dtmFileDateInfo(A43)</f>
        <v>41904.603055555555</v>
      </c>
      <c r="G43" s="37">
        <f>[1]!lngFileSize(A43)</f>
        <v>130536</v>
      </c>
      <c r="H43" s="40" t="str">
        <f>[1]!GetFolder(A43)</f>
        <v>C:\Users\DAVE\Documents\Visual Studio 2013\Projects\WizardWrx_Libs\_Deprecated_Libraries\ApplicationHelpers2\ApplicationHelpers2TestHarness\ApplicationHelpers2TestHarness</v>
      </c>
      <c r="I43" s="38" t="s">
        <v>167</v>
      </c>
    </row>
    <row r="44" spans="1:9" outlineLevel="1" x14ac:dyDescent="0.25">
      <c r="A44" s="41" t="s">
        <v>162</v>
      </c>
      <c r="B44" s="34">
        <f>SUBTOTAL(3,B42:B43)</f>
        <v>2</v>
      </c>
      <c r="C44" s="39"/>
      <c r="D44" s="34"/>
      <c r="E44" s="35"/>
      <c r="F44" s="36"/>
      <c r="G44" s="37"/>
      <c r="H44" s="40"/>
      <c r="I44" s="38"/>
    </row>
    <row r="45" spans="1:9" outlineLevel="2" x14ac:dyDescent="0.25">
      <c r="A45" s="33" t="s">
        <v>270</v>
      </c>
      <c r="B45" s="34">
        <v>113</v>
      </c>
      <c r="C45" s="39" t="s">
        <v>271</v>
      </c>
      <c r="D45" s="34" t="str">
        <f>[1]!GetFile(A45)</f>
        <v>Resources.Designer.cs</v>
      </c>
      <c r="E45" s="35" t="str">
        <f>IF(ISERROR(FIND("Count",$A45)),UPPER(RIGHT([1]!GetExtension(A45),LEN([1]!GetExtension(A45))-1)),"")</f>
        <v>CS</v>
      </c>
      <c r="F45" s="36">
        <f>[1]!dtmFileDateInfo(A45)</f>
        <v>42162.08011574074</v>
      </c>
      <c r="G45" s="37">
        <f>[1]!lngFileSize(A45)</f>
        <v>12289</v>
      </c>
      <c r="H45" s="40" t="str">
        <f>[1]!GetFolder(A45)</f>
        <v>C:\Users\DAVE\Documents\Visual Studio 2013\Projects\WizardWrx_Libs\_Deprecated_Libraries\ApplicationHelpers3\ApplicationHelpers3\Properties</v>
      </c>
      <c r="I45" s="38" t="s">
        <v>167</v>
      </c>
    </row>
    <row r="46" spans="1:9" outlineLevel="1" x14ac:dyDescent="0.25">
      <c r="A46" s="41" t="s">
        <v>368</v>
      </c>
      <c r="B46" s="34">
        <f>SUBTOTAL(3,B45:B45)</f>
        <v>1</v>
      </c>
      <c r="C46" s="39"/>
      <c r="D46" s="34"/>
      <c r="E46" s="35"/>
      <c r="F46" s="36"/>
      <c r="G46" s="37"/>
      <c r="H46" s="40"/>
      <c r="I46" s="38"/>
    </row>
    <row r="47" spans="1:9" outlineLevel="2" x14ac:dyDescent="0.25">
      <c r="A47" s="33" t="s">
        <v>137</v>
      </c>
      <c r="B47" s="34">
        <v>1793</v>
      </c>
      <c r="C47" s="39" t="s">
        <v>261</v>
      </c>
      <c r="D47" s="34" t="str">
        <f>[1]!GetFile(A47)</f>
        <v>Program.cs</v>
      </c>
      <c r="E47" s="35" t="str">
        <f>IF(ISERROR(FIND("Count",$A47)),UPPER(RIGHT([1]!GetExtension(A47),LEN([1]!GetExtension(A47))-1)),"")</f>
        <v>CS</v>
      </c>
      <c r="F47" s="36">
        <f>[1]!dtmFileDateInfo(A47)</f>
        <v>42161.941446759258</v>
      </c>
      <c r="G47" s="37">
        <f>[1]!lngFileSize(A47)</f>
        <v>129175</v>
      </c>
      <c r="H47" s="40" t="str">
        <f>[1]!GetFolder(A47)</f>
        <v>C:\Users\DAVE\Documents\Visual Studio 2013\Projects\WizardWrx_Libs\_Deprecated_Libraries\ApplicationHelpers3\TestStand</v>
      </c>
      <c r="I47" s="38" t="s">
        <v>167</v>
      </c>
    </row>
    <row r="48" spans="1:9" ht="30" outlineLevel="2" x14ac:dyDescent="0.25">
      <c r="A48" s="33" t="s">
        <v>137</v>
      </c>
      <c r="B48" s="34">
        <v>1836</v>
      </c>
      <c r="C48" s="39" t="s">
        <v>272</v>
      </c>
      <c r="D48" s="34" t="str">
        <f>[1]!GetFile(A48)</f>
        <v>Program.cs</v>
      </c>
      <c r="E48" s="35" t="str">
        <f>IF(ISERROR(FIND("Count",$A48)),UPPER(RIGHT([1]!GetExtension(A48),LEN([1]!GetExtension(A48))-1)),"")</f>
        <v>CS</v>
      </c>
      <c r="F48" s="36">
        <f>[1]!dtmFileDateInfo(A48)</f>
        <v>42161.941446759258</v>
      </c>
      <c r="G48" s="37">
        <f>[1]!lngFileSize(A48)</f>
        <v>129175</v>
      </c>
      <c r="H48" s="40" t="str">
        <f>[1]!GetFolder(A48)</f>
        <v>C:\Users\DAVE\Documents\Visual Studio 2013\Projects\WizardWrx_Libs\_Deprecated_Libraries\ApplicationHelpers3\TestStand</v>
      </c>
      <c r="I48" s="38" t="s">
        <v>167</v>
      </c>
    </row>
    <row r="49" spans="1:9" outlineLevel="1" x14ac:dyDescent="0.25">
      <c r="A49" s="41" t="s">
        <v>166</v>
      </c>
      <c r="B49" s="34">
        <f>SUBTOTAL(3,B47:B48)</f>
        <v>2</v>
      </c>
      <c r="C49" s="39"/>
      <c r="D49" s="34"/>
      <c r="E49" s="35"/>
      <c r="F49" s="36"/>
      <c r="G49" s="37"/>
      <c r="H49" s="40"/>
      <c r="I49" s="38"/>
    </row>
    <row r="50" spans="1:9" outlineLevel="2" x14ac:dyDescent="0.25">
      <c r="A50" s="33" t="s">
        <v>274</v>
      </c>
      <c r="B50" s="34">
        <v>511</v>
      </c>
      <c r="C50" s="39" t="s">
        <v>275</v>
      </c>
      <c r="D50" s="34" t="str">
        <f>[1]!GetFile(A50)</f>
        <v>UtilityConstants.cs</v>
      </c>
      <c r="E50" s="35" t="str">
        <f>IF(ISERROR(FIND("Count",$A50)),UPPER(RIGHT([1]!GetExtension(A50),LEN([1]!GetExtension(A50))-1)),"")</f>
        <v>CS</v>
      </c>
      <c r="F50" s="36">
        <f>[1]!dtmFileDateInfo(A50)</f>
        <v>40272.871319444443</v>
      </c>
      <c r="G50" s="37">
        <f>[1]!lngFileSize(A50)</f>
        <v>24121</v>
      </c>
      <c r="H50" s="40" t="str">
        <f>[1]!GetFolder(A50)</f>
        <v>C:\Users\DAVE\Documents\Visual Studio 2013\Projects\WizardWrx_Libs\_Deprecated_Libraries\DateMath\DateMath</v>
      </c>
      <c r="I50" s="38" t="s">
        <v>167</v>
      </c>
    </row>
    <row r="51" spans="1:9" outlineLevel="1" x14ac:dyDescent="0.25">
      <c r="A51" s="41" t="s">
        <v>369</v>
      </c>
      <c r="B51" s="34">
        <f>SUBTOTAL(3,B50:B50)</f>
        <v>1</v>
      </c>
      <c r="C51" s="39"/>
      <c r="D51" s="34"/>
      <c r="E51" s="35"/>
      <c r="F51" s="36"/>
      <c r="G51" s="37"/>
      <c r="H51" s="40"/>
      <c r="I51" s="38"/>
    </row>
    <row r="52" spans="1:9" outlineLevel="2" x14ac:dyDescent="0.25">
      <c r="A52" s="33" t="s">
        <v>277</v>
      </c>
      <c r="B52" s="34">
        <v>219</v>
      </c>
      <c r="C52" s="39" t="s">
        <v>246</v>
      </c>
      <c r="D52" s="34" t="str">
        <f>[1]!GetFile(A52)</f>
        <v>FileNameTricks.cs</v>
      </c>
      <c r="E52" s="35" t="str">
        <f>IF(ISERROR(FIND("Count",$A52)),UPPER(RIGHT([1]!GetExtension(A52),LEN([1]!GetExtension(A52))-1)),"")</f>
        <v>CS</v>
      </c>
      <c r="F52" s="36">
        <f>[1]!dtmFileDateInfo(A52)</f>
        <v>40875.890023148146</v>
      </c>
      <c r="G52" s="37">
        <f>[1]!lngFileSize(A52)</f>
        <v>23335</v>
      </c>
      <c r="H52" s="40" t="str">
        <f>[1]!GetFolder(A52)</f>
        <v>C:\Users\DAVE\Documents\Visual Studio 2013\Projects\WizardWrx_Libs\_Deprecated_Libraries\SharedUtl2\SharedUtl2</v>
      </c>
      <c r="I52" s="38" t="s">
        <v>167</v>
      </c>
    </row>
    <row r="53" spans="1:9" outlineLevel="2" x14ac:dyDescent="0.25">
      <c r="A53" s="33" t="s">
        <v>277</v>
      </c>
      <c r="B53" s="34">
        <v>224</v>
      </c>
      <c r="C53" s="39" t="s">
        <v>246</v>
      </c>
      <c r="D53" s="34" t="str">
        <f>[1]!GetFile(A53)</f>
        <v>FileNameTricks.cs</v>
      </c>
      <c r="E53" s="35" t="str">
        <f>IF(ISERROR(FIND("Count",$A53)),UPPER(RIGHT([1]!GetExtension(A53),LEN([1]!GetExtension(A53))-1)),"")</f>
        <v>CS</v>
      </c>
      <c r="F53" s="36">
        <f>[1]!dtmFileDateInfo(A53)</f>
        <v>40875.890023148146</v>
      </c>
      <c r="G53" s="37">
        <f>[1]!lngFileSize(A53)</f>
        <v>23335</v>
      </c>
      <c r="H53" s="40" t="str">
        <f>[1]!GetFolder(A53)</f>
        <v>C:\Users\DAVE\Documents\Visual Studio 2013\Projects\WizardWrx_Libs\_Deprecated_Libraries\SharedUtl2\SharedUtl2</v>
      </c>
      <c r="I53" s="38" t="s">
        <v>167</v>
      </c>
    </row>
    <row r="54" spans="1:9" outlineLevel="2" x14ac:dyDescent="0.25">
      <c r="A54" s="33" t="s">
        <v>277</v>
      </c>
      <c r="B54" s="34">
        <v>310</v>
      </c>
      <c r="C54" s="39" t="s">
        <v>276</v>
      </c>
      <c r="D54" s="34" t="str">
        <f>[1]!GetFile(A54)</f>
        <v>FileNameTricks.cs</v>
      </c>
      <c r="E54" s="35" t="str">
        <f>IF(ISERROR(FIND("Count",$A54)),UPPER(RIGHT([1]!GetExtension(A54),LEN([1]!GetExtension(A54))-1)),"")</f>
        <v>CS</v>
      </c>
      <c r="F54" s="36">
        <f>[1]!dtmFileDateInfo(A54)</f>
        <v>40875.890023148146</v>
      </c>
      <c r="G54" s="37">
        <f>[1]!lngFileSize(A54)</f>
        <v>23335</v>
      </c>
      <c r="H54" s="40" t="str">
        <f>[1]!GetFolder(A54)</f>
        <v>C:\Users\DAVE\Documents\Visual Studio 2013\Projects\WizardWrx_Libs\_Deprecated_Libraries\SharedUtl2\SharedUtl2</v>
      </c>
      <c r="I54" s="38" t="s">
        <v>167</v>
      </c>
    </row>
    <row r="55" spans="1:9" outlineLevel="2" x14ac:dyDescent="0.25">
      <c r="A55" s="33" t="s">
        <v>277</v>
      </c>
      <c r="B55" s="34">
        <v>339</v>
      </c>
      <c r="C55" s="39" t="s">
        <v>276</v>
      </c>
      <c r="D55" s="34" t="str">
        <f>[1]!GetFile(A55)</f>
        <v>FileNameTricks.cs</v>
      </c>
      <c r="E55" s="35" t="str">
        <f>IF(ISERROR(FIND("Count",$A55)),UPPER(RIGHT([1]!GetExtension(A55),LEN([1]!GetExtension(A55))-1)),"")</f>
        <v>CS</v>
      </c>
      <c r="F55" s="36">
        <f>[1]!dtmFileDateInfo(A55)</f>
        <v>40875.890023148146</v>
      </c>
      <c r="G55" s="37">
        <f>[1]!lngFileSize(A55)</f>
        <v>23335</v>
      </c>
      <c r="H55" s="40" t="str">
        <f>[1]!GetFolder(A55)</f>
        <v>C:\Users\DAVE\Documents\Visual Studio 2013\Projects\WizardWrx_Libs\_Deprecated_Libraries\SharedUtl2\SharedUtl2</v>
      </c>
      <c r="I55" s="38" t="s">
        <v>167</v>
      </c>
    </row>
    <row r="56" spans="1:9" outlineLevel="2" x14ac:dyDescent="0.25">
      <c r="A56" s="33" t="s">
        <v>277</v>
      </c>
      <c r="B56" s="34">
        <v>367</v>
      </c>
      <c r="C56" s="39" t="s">
        <v>276</v>
      </c>
      <c r="D56" s="34" t="str">
        <f>[1]!GetFile(A56)</f>
        <v>FileNameTricks.cs</v>
      </c>
      <c r="E56" s="35" t="str">
        <f>IF(ISERROR(FIND("Count",$A56)),UPPER(RIGHT([1]!GetExtension(A56),LEN([1]!GetExtension(A56))-1)),"")</f>
        <v>CS</v>
      </c>
      <c r="F56" s="36">
        <f>[1]!dtmFileDateInfo(A56)</f>
        <v>40875.890023148146</v>
      </c>
      <c r="G56" s="37">
        <f>[1]!lngFileSize(A56)</f>
        <v>23335</v>
      </c>
      <c r="H56" s="40" t="str">
        <f>[1]!GetFolder(A56)</f>
        <v>C:\Users\DAVE\Documents\Visual Studio 2013\Projects\WizardWrx_Libs\_Deprecated_Libraries\SharedUtl2\SharedUtl2</v>
      </c>
      <c r="I56" s="38" t="s">
        <v>167</v>
      </c>
    </row>
    <row r="57" spans="1:9" outlineLevel="2" x14ac:dyDescent="0.25">
      <c r="A57" s="33" t="s">
        <v>277</v>
      </c>
      <c r="B57" s="34">
        <v>391</v>
      </c>
      <c r="C57" s="39" t="s">
        <v>276</v>
      </c>
      <c r="D57" s="34" t="str">
        <f>[1]!GetFile(A57)</f>
        <v>FileNameTricks.cs</v>
      </c>
      <c r="E57" s="35" t="str">
        <f>IF(ISERROR(FIND("Count",$A57)),UPPER(RIGHT([1]!GetExtension(A57),LEN([1]!GetExtension(A57))-1)),"")</f>
        <v>CS</v>
      </c>
      <c r="F57" s="36">
        <f>[1]!dtmFileDateInfo(A57)</f>
        <v>40875.890023148146</v>
      </c>
      <c r="G57" s="37">
        <f>[1]!lngFileSize(A57)</f>
        <v>23335</v>
      </c>
      <c r="H57" s="40" t="str">
        <f>[1]!GetFolder(A57)</f>
        <v>C:\Users\DAVE\Documents\Visual Studio 2013\Projects\WizardWrx_Libs\_Deprecated_Libraries\SharedUtl2\SharedUtl2</v>
      </c>
      <c r="I57" s="38" t="s">
        <v>167</v>
      </c>
    </row>
    <row r="58" spans="1:9" outlineLevel="2" x14ac:dyDescent="0.25">
      <c r="A58" s="33" t="s">
        <v>277</v>
      </c>
      <c r="B58" s="34">
        <v>431</v>
      </c>
      <c r="C58" s="39" t="s">
        <v>276</v>
      </c>
      <c r="D58" s="34" t="str">
        <f>[1]!GetFile(A58)</f>
        <v>FileNameTricks.cs</v>
      </c>
      <c r="E58" s="35" t="str">
        <f>IF(ISERROR(FIND("Count",$A58)),UPPER(RIGHT([1]!GetExtension(A58),LEN([1]!GetExtension(A58))-1)),"")</f>
        <v>CS</v>
      </c>
      <c r="F58" s="36">
        <f>[1]!dtmFileDateInfo(A58)</f>
        <v>40875.890023148146</v>
      </c>
      <c r="G58" s="37">
        <f>[1]!lngFileSize(A58)</f>
        <v>23335</v>
      </c>
      <c r="H58" s="40" t="str">
        <f>[1]!GetFolder(A58)</f>
        <v>C:\Users\DAVE\Documents\Visual Studio 2013\Projects\WizardWrx_Libs\_Deprecated_Libraries\SharedUtl2\SharedUtl2</v>
      </c>
      <c r="I58" s="38" t="s">
        <v>167</v>
      </c>
    </row>
    <row r="59" spans="1:9" outlineLevel="2" x14ac:dyDescent="0.25">
      <c r="A59" s="33" t="s">
        <v>277</v>
      </c>
      <c r="B59" s="34">
        <v>478</v>
      </c>
      <c r="C59" s="39" t="s">
        <v>276</v>
      </c>
      <c r="D59" s="34" t="str">
        <f>[1]!GetFile(A59)</f>
        <v>FileNameTricks.cs</v>
      </c>
      <c r="E59" s="35" t="str">
        <f>IF(ISERROR(FIND("Count",$A59)),UPPER(RIGHT([1]!GetExtension(A59),LEN([1]!GetExtension(A59))-1)),"")</f>
        <v>CS</v>
      </c>
      <c r="F59" s="36">
        <f>[1]!dtmFileDateInfo(A59)</f>
        <v>40875.890023148146</v>
      </c>
      <c r="G59" s="37">
        <f>[1]!lngFileSize(A59)</f>
        <v>23335</v>
      </c>
      <c r="H59" s="40" t="str">
        <f>[1]!GetFolder(A59)</f>
        <v>C:\Users\DAVE\Documents\Visual Studio 2013\Projects\WizardWrx_Libs\_Deprecated_Libraries\SharedUtl2\SharedUtl2</v>
      </c>
      <c r="I59" s="38" t="s">
        <v>167</v>
      </c>
    </row>
    <row r="60" spans="1:9" outlineLevel="2" x14ac:dyDescent="0.25">
      <c r="A60" s="33" t="s">
        <v>277</v>
      </c>
      <c r="B60" s="34">
        <v>508</v>
      </c>
      <c r="C60" s="39" t="s">
        <v>278</v>
      </c>
      <c r="D60" s="34" t="str">
        <f>[1]!GetFile(A60)</f>
        <v>FileNameTricks.cs</v>
      </c>
      <c r="E60" s="35" t="str">
        <f>IF(ISERROR(FIND("Count",$A60)),UPPER(RIGHT([1]!GetExtension(A60),LEN([1]!GetExtension(A60))-1)),"")</f>
        <v>CS</v>
      </c>
      <c r="F60" s="36">
        <f>[1]!dtmFileDateInfo(A60)</f>
        <v>40875.890023148146</v>
      </c>
      <c r="G60" s="37">
        <f>[1]!lngFileSize(A60)</f>
        <v>23335</v>
      </c>
      <c r="H60" s="40" t="str">
        <f>[1]!GetFolder(A60)</f>
        <v>C:\Users\DAVE\Documents\Visual Studio 2013\Projects\WizardWrx_Libs\_Deprecated_Libraries\SharedUtl2\SharedUtl2</v>
      </c>
      <c r="I60" s="38" t="s">
        <v>167</v>
      </c>
    </row>
    <row r="61" spans="1:9" outlineLevel="1" x14ac:dyDescent="0.25">
      <c r="A61" s="41" t="s">
        <v>371</v>
      </c>
      <c r="B61" s="34">
        <f>SUBTOTAL(3,B52:B60)</f>
        <v>9</v>
      </c>
      <c r="C61" s="39"/>
      <c r="D61" s="34"/>
      <c r="E61" s="35"/>
      <c r="F61" s="36"/>
      <c r="G61" s="37"/>
      <c r="H61" s="40"/>
      <c r="I61" s="38"/>
    </row>
    <row r="62" spans="1:9" outlineLevel="2" x14ac:dyDescent="0.25">
      <c r="A62" s="33" t="s">
        <v>279</v>
      </c>
      <c r="B62" s="34">
        <v>638</v>
      </c>
      <c r="C62" s="39" t="s">
        <v>280</v>
      </c>
      <c r="D62" s="34" t="str">
        <f>[1]!GetFile(A62)</f>
        <v>StandardConstants.cs</v>
      </c>
      <c r="E62" s="35" t="str">
        <f>IF(ISERROR(FIND("Count",$A62)),UPPER(RIGHT([1]!GetExtension(A62),LEN([1]!GetExtension(A62))-1)),"")</f>
        <v>CS</v>
      </c>
      <c r="F62" s="36">
        <f>[1]!dtmFileDateInfo(A62)</f>
        <v>40880.809745370374</v>
      </c>
      <c r="G62" s="37">
        <f>[1]!lngFileSize(A62)</f>
        <v>31861</v>
      </c>
      <c r="H62" s="40" t="str">
        <f>[1]!GetFolder(A62)</f>
        <v>C:\Users\DAVE\Documents\Visual Studio 2013\Projects\WizardWrx_Libs\_Deprecated_Libraries\SharedUtl2\SharedUtl2</v>
      </c>
      <c r="I62" s="38" t="s">
        <v>167</v>
      </c>
    </row>
    <row r="63" spans="1:9" outlineLevel="1" x14ac:dyDescent="0.25">
      <c r="A63" s="41" t="s">
        <v>373</v>
      </c>
      <c r="B63" s="34">
        <f>SUBTOTAL(3,B62:B62)</f>
        <v>1</v>
      </c>
      <c r="C63" s="39"/>
      <c r="D63" s="34"/>
      <c r="E63" s="35"/>
      <c r="F63" s="36"/>
      <c r="G63" s="37"/>
      <c r="H63" s="40"/>
      <c r="I63" s="38"/>
    </row>
    <row r="64" spans="1:9" outlineLevel="2" x14ac:dyDescent="0.25">
      <c r="A64" s="33" t="s">
        <v>282</v>
      </c>
      <c r="B64" s="34">
        <v>324</v>
      </c>
      <c r="C64" s="39" t="s">
        <v>283</v>
      </c>
      <c r="D64" s="34" t="str">
        <f>[1]!GetFile(A64)</f>
        <v>TextLog.cs</v>
      </c>
      <c r="E64" s="35" t="str">
        <f>IF(ISERROR(FIND("Count",$A64)),UPPER(RIGHT([1]!GetExtension(A64),LEN([1]!GetExtension(A64))-1)),"")</f>
        <v>CS</v>
      </c>
      <c r="F64" s="36">
        <f>[1]!dtmFileDateInfo(A64)</f>
        <v>40469.832083333335</v>
      </c>
      <c r="G64" s="37">
        <f>[1]!lngFileSize(A64)</f>
        <v>31536</v>
      </c>
      <c r="H64" s="40" t="str">
        <f>[1]!GetFolder(A64)</f>
        <v>C:\Users\DAVE\Documents\Visual Studio 2013\Projects\WizardWrx_Libs\_Deprecated_Libraries\SharedUtl2\SharedUtl2</v>
      </c>
      <c r="I64" s="38" t="s">
        <v>167</v>
      </c>
    </row>
    <row r="65" spans="1:9" outlineLevel="1" x14ac:dyDescent="0.25">
      <c r="A65" s="41" t="s">
        <v>374</v>
      </c>
      <c r="B65" s="34">
        <f>SUBTOTAL(3,B64:B64)</f>
        <v>1</v>
      </c>
      <c r="C65" s="39"/>
      <c r="D65" s="34"/>
      <c r="E65" s="35"/>
      <c r="F65" s="36"/>
      <c r="G65" s="37"/>
      <c r="H65" s="40"/>
      <c r="I65" s="38"/>
    </row>
    <row r="66" spans="1:9" outlineLevel="2" x14ac:dyDescent="0.25">
      <c r="A66" s="33" t="s">
        <v>284</v>
      </c>
      <c r="B66" s="34">
        <v>212</v>
      </c>
      <c r="C66" s="39" t="s">
        <v>246</v>
      </c>
      <c r="D66" s="34" t="str">
        <f>[1]!GetFile(A66)</f>
        <v>FileNameTricks.cs</v>
      </c>
      <c r="E66" s="35" t="str">
        <f>IF(ISERROR(FIND("Count",$A66)),UPPER(RIGHT([1]!GetExtension(A66),LEN([1]!GetExtension(A66))-1)),"")</f>
        <v>CS</v>
      </c>
      <c r="F66" s="36">
        <f>[1]!dtmFileDateInfo(A66)</f>
        <v>40875.081388888888</v>
      </c>
      <c r="G66" s="37">
        <f>[1]!lngFileSize(A66)</f>
        <v>22942</v>
      </c>
      <c r="H66" s="40" t="str">
        <f>[1]!GetFolder(A66)</f>
        <v>C:\Users\DAVE\Documents\Visual Studio 2013\Projects\_TESTING WizardWrx Libs\SharedUtl2\SharedUtl2</v>
      </c>
      <c r="I66" s="38" t="s">
        <v>167</v>
      </c>
    </row>
    <row r="67" spans="1:9" outlineLevel="2" x14ac:dyDescent="0.25">
      <c r="A67" s="33" t="s">
        <v>284</v>
      </c>
      <c r="B67" s="34">
        <v>217</v>
      </c>
      <c r="C67" s="39" t="s">
        <v>246</v>
      </c>
      <c r="D67" s="34" t="str">
        <f>[1]!GetFile(A67)</f>
        <v>FileNameTricks.cs</v>
      </c>
      <c r="E67" s="35" t="str">
        <f>IF(ISERROR(FIND("Count",$A67)),UPPER(RIGHT([1]!GetExtension(A67),LEN([1]!GetExtension(A67))-1)),"")</f>
        <v>CS</v>
      </c>
      <c r="F67" s="36">
        <f>[1]!dtmFileDateInfo(A67)</f>
        <v>40875.081388888888</v>
      </c>
      <c r="G67" s="37">
        <f>[1]!lngFileSize(A67)</f>
        <v>22942</v>
      </c>
      <c r="H67" s="40" t="str">
        <f>[1]!GetFolder(A67)</f>
        <v>C:\Users\DAVE\Documents\Visual Studio 2013\Projects\_TESTING WizardWrx Libs\SharedUtl2\SharedUtl2</v>
      </c>
      <c r="I67" s="38" t="s">
        <v>167</v>
      </c>
    </row>
    <row r="68" spans="1:9" outlineLevel="2" x14ac:dyDescent="0.25">
      <c r="A68" s="33" t="s">
        <v>284</v>
      </c>
      <c r="B68" s="34">
        <v>303</v>
      </c>
      <c r="C68" s="39" t="s">
        <v>276</v>
      </c>
      <c r="D68" s="34" t="str">
        <f>[1]!GetFile(A68)</f>
        <v>FileNameTricks.cs</v>
      </c>
      <c r="E68" s="35" t="str">
        <f>IF(ISERROR(FIND("Count",$A68)),UPPER(RIGHT([1]!GetExtension(A68),LEN([1]!GetExtension(A68))-1)),"")</f>
        <v>CS</v>
      </c>
      <c r="F68" s="36">
        <f>[1]!dtmFileDateInfo(A68)</f>
        <v>40875.081388888888</v>
      </c>
      <c r="G68" s="37">
        <f>[1]!lngFileSize(A68)</f>
        <v>22942</v>
      </c>
      <c r="H68" s="40" t="str">
        <f>[1]!GetFolder(A68)</f>
        <v>C:\Users\DAVE\Documents\Visual Studio 2013\Projects\_TESTING WizardWrx Libs\SharedUtl2\SharedUtl2</v>
      </c>
      <c r="I68" s="38" t="s">
        <v>167</v>
      </c>
    </row>
    <row r="69" spans="1:9" outlineLevel="2" x14ac:dyDescent="0.25">
      <c r="A69" s="33" t="s">
        <v>284</v>
      </c>
      <c r="B69" s="34">
        <v>332</v>
      </c>
      <c r="C69" s="39" t="s">
        <v>276</v>
      </c>
      <c r="D69" s="34" t="str">
        <f>[1]!GetFile(A69)</f>
        <v>FileNameTricks.cs</v>
      </c>
      <c r="E69" s="35" t="str">
        <f>IF(ISERROR(FIND("Count",$A69)),UPPER(RIGHT([1]!GetExtension(A69),LEN([1]!GetExtension(A69))-1)),"")</f>
        <v>CS</v>
      </c>
      <c r="F69" s="36">
        <f>[1]!dtmFileDateInfo(A69)</f>
        <v>40875.081388888888</v>
      </c>
      <c r="G69" s="37">
        <f>[1]!lngFileSize(A69)</f>
        <v>22942</v>
      </c>
      <c r="H69" s="40" t="str">
        <f>[1]!GetFolder(A69)</f>
        <v>C:\Users\DAVE\Documents\Visual Studio 2013\Projects\_TESTING WizardWrx Libs\SharedUtl2\SharedUtl2</v>
      </c>
      <c r="I69" s="38" t="s">
        <v>167</v>
      </c>
    </row>
    <row r="70" spans="1:9" outlineLevel="2" x14ac:dyDescent="0.25">
      <c r="A70" s="33" t="s">
        <v>284</v>
      </c>
      <c r="B70" s="34">
        <v>360</v>
      </c>
      <c r="C70" s="39" t="s">
        <v>276</v>
      </c>
      <c r="D70" s="34" t="str">
        <f>[1]!GetFile(A70)</f>
        <v>FileNameTricks.cs</v>
      </c>
      <c r="E70" s="35" t="str">
        <f>IF(ISERROR(FIND("Count",$A70)),UPPER(RIGHT([1]!GetExtension(A70),LEN([1]!GetExtension(A70))-1)),"")</f>
        <v>CS</v>
      </c>
      <c r="F70" s="36">
        <f>[1]!dtmFileDateInfo(A70)</f>
        <v>40875.081388888888</v>
      </c>
      <c r="G70" s="37">
        <f>[1]!lngFileSize(A70)</f>
        <v>22942</v>
      </c>
      <c r="H70" s="40" t="str">
        <f>[1]!GetFolder(A70)</f>
        <v>C:\Users\DAVE\Documents\Visual Studio 2013\Projects\_TESTING WizardWrx Libs\SharedUtl2\SharedUtl2</v>
      </c>
      <c r="I70" s="38" t="s">
        <v>167</v>
      </c>
    </row>
    <row r="71" spans="1:9" outlineLevel="2" x14ac:dyDescent="0.25">
      <c r="A71" s="33" t="s">
        <v>284</v>
      </c>
      <c r="B71" s="34">
        <v>384</v>
      </c>
      <c r="C71" s="39" t="s">
        <v>276</v>
      </c>
      <c r="D71" s="34" t="str">
        <f>[1]!GetFile(A71)</f>
        <v>FileNameTricks.cs</v>
      </c>
      <c r="E71" s="35" t="str">
        <f>IF(ISERROR(FIND("Count",$A71)),UPPER(RIGHT([1]!GetExtension(A71),LEN([1]!GetExtension(A71))-1)),"")</f>
        <v>CS</v>
      </c>
      <c r="F71" s="36">
        <f>[1]!dtmFileDateInfo(A71)</f>
        <v>40875.081388888888</v>
      </c>
      <c r="G71" s="37">
        <f>[1]!lngFileSize(A71)</f>
        <v>22942</v>
      </c>
      <c r="H71" s="40" t="str">
        <f>[1]!GetFolder(A71)</f>
        <v>C:\Users\DAVE\Documents\Visual Studio 2013\Projects\_TESTING WizardWrx Libs\SharedUtl2\SharedUtl2</v>
      </c>
      <c r="I71" s="38" t="s">
        <v>167</v>
      </c>
    </row>
    <row r="72" spans="1:9" outlineLevel="2" x14ac:dyDescent="0.25">
      <c r="A72" s="33" t="s">
        <v>284</v>
      </c>
      <c r="B72" s="34">
        <v>424</v>
      </c>
      <c r="C72" s="39" t="s">
        <v>276</v>
      </c>
      <c r="D72" s="34" t="str">
        <f>[1]!GetFile(A72)</f>
        <v>FileNameTricks.cs</v>
      </c>
      <c r="E72" s="35" t="str">
        <f>IF(ISERROR(FIND("Count",$A72)),UPPER(RIGHT([1]!GetExtension(A72),LEN([1]!GetExtension(A72))-1)),"")</f>
        <v>CS</v>
      </c>
      <c r="F72" s="36">
        <f>[1]!dtmFileDateInfo(A72)</f>
        <v>40875.081388888888</v>
      </c>
      <c r="G72" s="37">
        <f>[1]!lngFileSize(A72)</f>
        <v>22942</v>
      </c>
      <c r="H72" s="40" t="str">
        <f>[1]!GetFolder(A72)</f>
        <v>C:\Users\DAVE\Documents\Visual Studio 2013\Projects\_TESTING WizardWrx Libs\SharedUtl2\SharedUtl2</v>
      </c>
      <c r="I72" s="38" t="s">
        <v>167</v>
      </c>
    </row>
    <row r="73" spans="1:9" outlineLevel="2" x14ac:dyDescent="0.25">
      <c r="A73" s="33" t="s">
        <v>284</v>
      </c>
      <c r="B73" s="34">
        <v>471</v>
      </c>
      <c r="C73" s="39" t="s">
        <v>276</v>
      </c>
      <c r="D73" s="34" t="str">
        <f>[1]!GetFile(A73)</f>
        <v>FileNameTricks.cs</v>
      </c>
      <c r="E73" s="35" t="str">
        <f>IF(ISERROR(FIND("Count",$A73)),UPPER(RIGHT([1]!GetExtension(A73),LEN([1]!GetExtension(A73))-1)),"")</f>
        <v>CS</v>
      </c>
      <c r="F73" s="36">
        <f>[1]!dtmFileDateInfo(A73)</f>
        <v>40875.081388888888</v>
      </c>
      <c r="G73" s="37">
        <f>[1]!lngFileSize(A73)</f>
        <v>22942</v>
      </c>
      <c r="H73" s="40" t="str">
        <f>[1]!GetFolder(A73)</f>
        <v>C:\Users\DAVE\Documents\Visual Studio 2013\Projects\_TESTING WizardWrx Libs\SharedUtl2\SharedUtl2</v>
      </c>
      <c r="I73" s="38" t="s">
        <v>167</v>
      </c>
    </row>
    <row r="74" spans="1:9" outlineLevel="2" x14ac:dyDescent="0.25">
      <c r="A74" s="33" t="s">
        <v>284</v>
      </c>
      <c r="B74" s="34">
        <v>501</v>
      </c>
      <c r="C74" s="39" t="s">
        <v>285</v>
      </c>
      <c r="D74" s="34" t="str">
        <f>[1]!GetFile(A74)</f>
        <v>FileNameTricks.cs</v>
      </c>
      <c r="E74" s="35" t="str">
        <f>IF(ISERROR(FIND("Count",$A74)),UPPER(RIGHT([1]!GetExtension(A74),LEN([1]!GetExtension(A74))-1)),"")</f>
        <v>CS</v>
      </c>
      <c r="F74" s="36">
        <f>[1]!dtmFileDateInfo(A74)</f>
        <v>40875.081388888888</v>
      </c>
      <c r="G74" s="37">
        <f>[1]!lngFileSize(A74)</f>
        <v>22942</v>
      </c>
      <c r="H74" s="40" t="str">
        <f>[1]!GetFolder(A74)</f>
        <v>C:\Users\DAVE\Documents\Visual Studio 2013\Projects\_TESTING WizardWrx Libs\SharedUtl2\SharedUtl2</v>
      </c>
      <c r="I74" s="38" t="s">
        <v>167</v>
      </c>
    </row>
    <row r="75" spans="1:9" outlineLevel="1" x14ac:dyDescent="0.25">
      <c r="A75" s="41" t="s">
        <v>378</v>
      </c>
      <c r="B75" s="34">
        <f>SUBTOTAL(3,B66:B74)</f>
        <v>9</v>
      </c>
      <c r="C75" s="39"/>
      <c r="D75" s="34"/>
      <c r="E75" s="35"/>
      <c r="F75" s="36"/>
      <c r="G75" s="37"/>
      <c r="H75" s="40"/>
      <c r="I75" s="38"/>
    </row>
    <row r="76" spans="1:9" outlineLevel="2" x14ac:dyDescent="0.25">
      <c r="A76" s="33" t="s">
        <v>286</v>
      </c>
      <c r="B76" s="34">
        <v>577</v>
      </c>
      <c r="C76" s="39" t="s">
        <v>287</v>
      </c>
      <c r="D76" s="34" t="str">
        <f>[1]!GetFile(A76)</f>
        <v>StandardConstants.cs</v>
      </c>
      <c r="E76" s="35" t="str">
        <f>IF(ISERROR(FIND("Count",$A76)),UPPER(RIGHT([1]!GetExtension(A76),LEN([1]!GetExtension(A76))-1)),"")</f>
        <v>CS</v>
      </c>
      <c r="F76" s="36">
        <f>[1]!dtmFileDateInfo(A76)</f>
        <v>40671.037222222221</v>
      </c>
      <c r="G76" s="37">
        <f>[1]!lngFileSize(A76)</f>
        <v>29291</v>
      </c>
      <c r="H76" s="40" t="str">
        <f>[1]!GetFolder(A76)</f>
        <v>C:\Users\DAVE\Documents\Visual Studio 2013\Projects\_TESTING WizardWrx Libs\SharedUtl2\SharedUtl2</v>
      </c>
      <c r="I76" s="38" t="s">
        <v>167</v>
      </c>
    </row>
    <row r="77" spans="1:9" outlineLevel="1" x14ac:dyDescent="0.25">
      <c r="A77" s="41" t="s">
        <v>380</v>
      </c>
      <c r="B77" s="34">
        <f>SUBTOTAL(3,B76:B76)</f>
        <v>1</v>
      </c>
      <c r="C77" s="39"/>
      <c r="D77" s="34"/>
      <c r="E77" s="35"/>
      <c r="F77" s="36"/>
      <c r="G77" s="37"/>
      <c r="H77" s="40"/>
      <c r="I77" s="38"/>
    </row>
    <row r="78" spans="1:9" outlineLevel="2" x14ac:dyDescent="0.25">
      <c r="A78" s="33" t="s">
        <v>288</v>
      </c>
      <c r="B78" s="34">
        <v>324</v>
      </c>
      <c r="C78" s="39" t="s">
        <v>289</v>
      </c>
      <c r="D78" s="34" t="str">
        <f>[1]!GetFile(A78)</f>
        <v>TextLog.cs</v>
      </c>
      <c r="E78" s="35" t="str">
        <f>IF(ISERROR(FIND("Count",$A78)),UPPER(RIGHT([1]!GetExtension(A78),LEN([1]!GetExtension(A78))-1)),"")</f>
        <v>CS</v>
      </c>
      <c r="F78" s="36">
        <f>[1]!dtmFileDateInfo(A78)</f>
        <v>40469.832083333335</v>
      </c>
      <c r="G78" s="37">
        <f>[1]!lngFileSize(A78)</f>
        <v>31536</v>
      </c>
      <c r="H78" s="40" t="str">
        <f>[1]!GetFolder(A78)</f>
        <v>C:\Users\DAVE\Documents\Visual Studio 2013\Projects\_TESTING WizardWrx Libs\SharedUtl2\SharedUtl2</v>
      </c>
      <c r="I78" s="38" t="s">
        <v>167</v>
      </c>
    </row>
    <row r="79" spans="1:9" outlineLevel="1" x14ac:dyDescent="0.25">
      <c r="A79" s="49" t="s">
        <v>381</v>
      </c>
      <c r="B79" s="42">
        <f>SUBTOTAL(3,B78:B78)</f>
        <v>1</v>
      </c>
      <c r="C79" s="43"/>
      <c r="D79" s="42"/>
      <c r="E79" s="44"/>
      <c r="F79" s="45"/>
      <c r="G79" s="46"/>
      <c r="H79" s="47"/>
      <c r="I79" s="48"/>
    </row>
    <row r="80" spans="1:9" x14ac:dyDescent="0.25">
      <c r="A80" s="49" t="s">
        <v>142</v>
      </c>
      <c r="B80" s="42">
        <f>SUBTOTAL(3,B7:B78)</f>
        <v>54</v>
      </c>
      <c r="C80" s="43"/>
      <c r="D80" s="42"/>
      <c r="E80" s="44"/>
      <c r="F80" s="45"/>
      <c r="G80" s="46"/>
      <c r="H80" s="47"/>
      <c r="I80" s="48"/>
    </row>
    <row r="81" spans="1:10" x14ac:dyDescent="0.25">
      <c r="A81" s="8"/>
      <c r="C81" s="7"/>
      <c r="F81" s="6"/>
      <c r="G81" s="5"/>
    </row>
    <row r="82" spans="1:10" x14ac:dyDescent="0.25">
      <c r="A82" s="8"/>
      <c r="C82" s="7"/>
      <c r="F82" s="6"/>
      <c r="G82" s="5"/>
      <c r="I82" s="21">
        <f>COUNTIF(Source_File_Statuses,J82)</f>
        <v>33</v>
      </c>
      <c r="J82" s="21" t="str">
        <f>Source_File_Status_Obsolete_Frozen</f>
        <v>Obsolete (Frozen)</v>
      </c>
    </row>
    <row r="83" spans="1:10" x14ac:dyDescent="0.25">
      <c r="A83" s="8"/>
      <c r="C83" s="7"/>
      <c r="F83" s="6"/>
      <c r="G83" s="5"/>
      <c r="I83" s="19">
        <f>COUNTIF(Source_File_Statuses,J83)</f>
        <v>21</v>
      </c>
      <c r="J83" s="19" t="str">
        <f>Source_File_Status_Will_Break</f>
        <v>Will Break</v>
      </c>
    </row>
    <row r="84" spans="1:10" x14ac:dyDescent="0.25">
      <c r="A84" s="8"/>
      <c r="C84" s="7"/>
      <c r="F84" s="6"/>
      <c r="G84" s="5"/>
      <c r="I84" s="20">
        <f>COUNTIF(Source_File_Statuses,J84)</f>
        <v>0</v>
      </c>
      <c r="J84" s="20" t="str">
        <f>Source_File_Status_Fixed</f>
        <v>Fixed</v>
      </c>
    </row>
    <row r="85" spans="1:10" x14ac:dyDescent="0.25">
      <c r="A85" s="8"/>
      <c r="C85" s="7"/>
      <c r="F85" s="6"/>
      <c r="G85" s="5"/>
    </row>
    <row r="86" spans="1:10" ht="18" x14ac:dyDescent="0.25">
      <c r="A86" s="8"/>
      <c r="C86" s="7"/>
      <c r="F86" s="6"/>
      <c r="G86" s="5"/>
      <c r="I86" s="9">
        <f>SUM(I81:I85)</f>
        <v>54</v>
      </c>
      <c r="J86" s="9" t="s">
        <v>170</v>
      </c>
    </row>
    <row r="87" spans="1:10" x14ac:dyDescent="0.25">
      <c r="A87" s="8"/>
      <c r="C87" s="7"/>
      <c r="F87" s="6"/>
      <c r="G87" s="5"/>
    </row>
    <row r="88" spans="1:10" x14ac:dyDescent="0.25">
      <c r="A88" s="8"/>
      <c r="C88" s="7"/>
      <c r="F88" s="6"/>
      <c r="G88" s="5"/>
    </row>
    <row r="89" spans="1:10" x14ac:dyDescent="0.25">
      <c r="A89" s="8"/>
      <c r="C89" s="7"/>
      <c r="F89" s="6"/>
      <c r="G89" s="5"/>
    </row>
    <row r="90" spans="1:10" x14ac:dyDescent="0.25">
      <c r="A90" s="8"/>
      <c r="C90" s="7"/>
      <c r="F90" s="6"/>
      <c r="G90" s="5"/>
    </row>
    <row r="91" spans="1:10" x14ac:dyDescent="0.25">
      <c r="A91" s="8"/>
      <c r="C91" s="7"/>
      <c r="F91" s="6"/>
      <c r="G91" s="5"/>
    </row>
    <row r="92" spans="1:10" x14ac:dyDescent="0.25">
      <c r="A92" s="8"/>
      <c r="C92" s="7"/>
      <c r="F92" s="6"/>
      <c r="G92" s="5"/>
    </row>
    <row r="93" spans="1:10" x14ac:dyDescent="0.25">
      <c r="A93" s="8"/>
      <c r="C93" s="7"/>
      <c r="F93" s="6"/>
      <c r="G93" s="5"/>
    </row>
    <row r="94" spans="1:10" x14ac:dyDescent="0.25">
      <c r="A94" s="8"/>
      <c r="C94" s="7"/>
      <c r="F94" s="6"/>
      <c r="G94" s="5"/>
    </row>
    <row r="95" spans="1:10" x14ac:dyDescent="0.25">
      <c r="A95" s="8"/>
      <c r="C95" s="7"/>
      <c r="F95" s="6"/>
      <c r="G95" s="5"/>
    </row>
    <row r="96" spans="1:10" x14ac:dyDescent="0.25">
      <c r="A96" s="8"/>
      <c r="C96" s="7"/>
      <c r="F96" s="6"/>
      <c r="G96" s="5"/>
    </row>
    <row r="97" spans="1:7" x14ac:dyDescent="0.25">
      <c r="A97" s="8"/>
      <c r="C97" s="7"/>
      <c r="F97" s="6"/>
      <c r="G97" s="5"/>
    </row>
    <row r="98" spans="1:7" x14ac:dyDescent="0.25">
      <c r="A98" s="8"/>
      <c r="C98" s="7"/>
      <c r="F98" s="6"/>
      <c r="G98" s="5"/>
    </row>
    <row r="99" spans="1:7" x14ac:dyDescent="0.25">
      <c r="A99" s="8"/>
      <c r="C99" s="7"/>
      <c r="F99" s="6"/>
      <c r="G99" s="5"/>
    </row>
    <row r="100" spans="1:7" x14ac:dyDescent="0.25">
      <c r="A100" s="8"/>
      <c r="C100" s="7"/>
      <c r="F100" s="6"/>
      <c r="G100" s="5"/>
    </row>
    <row r="101" spans="1:7" x14ac:dyDescent="0.25">
      <c r="A101" s="8"/>
      <c r="C101" s="7"/>
      <c r="F101" s="6"/>
      <c r="G101" s="5"/>
    </row>
    <row r="102" spans="1:7" x14ac:dyDescent="0.25">
      <c r="A102" s="8"/>
      <c r="C102" s="7"/>
      <c r="F102" s="6"/>
      <c r="G102" s="5"/>
    </row>
    <row r="103" spans="1:7" x14ac:dyDescent="0.25">
      <c r="A103" s="8"/>
      <c r="C103" s="7"/>
      <c r="F103" s="6"/>
      <c r="G103" s="5"/>
    </row>
    <row r="104" spans="1:7" x14ac:dyDescent="0.25">
      <c r="A104" s="8"/>
      <c r="C104" s="7"/>
      <c r="F104" s="6"/>
      <c r="G104" s="5"/>
    </row>
    <row r="105" spans="1:7" x14ac:dyDescent="0.25">
      <c r="A105" s="8"/>
      <c r="C105" s="7"/>
      <c r="F105" s="6"/>
      <c r="G105" s="5"/>
    </row>
    <row r="106" spans="1:7" x14ac:dyDescent="0.25">
      <c r="A106" s="8"/>
      <c r="C106" s="7"/>
      <c r="F106" s="6"/>
      <c r="G106" s="5"/>
    </row>
    <row r="107" spans="1:7" x14ac:dyDescent="0.25">
      <c r="A107" s="8"/>
      <c r="C107" s="7"/>
      <c r="F107" s="6"/>
      <c r="G107" s="5"/>
    </row>
    <row r="108" spans="1:7" x14ac:dyDescent="0.25">
      <c r="A108" s="8"/>
      <c r="C108" s="7"/>
      <c r="F108" s="6"/>
      <c r="G108" s="5"/>
    </row>
    <row r="109" spans="1:7" x14ac:dyDescent="0.25">
      <c r="A109" s="8"/>
      <c r="C109" s="7"/>
      <c r="F109" s="6"/>
      <c r="G109" s="5"/>
    </row>
    <row r="110" spans="1:7" x14ac:dyDescent="0.25">
      <c r="A110" s="8"/>
      <c r="C110" s="7"/>
      <c r="F110" s="6"/>
      <c r="G110" s="5"/>
    </row>
    <row r="111" spans="1:7" x14ac:dyDescent="0.25">
      <c r="A111" s="8"/>
      <c r="C111" s="7"/>
      <c r="F111" s="6"/>
      <c r="G111" s="5"/>
    </row>
    <row r="112" spans="1:7" x14ac:dyDescent="0.25">
      <c r="A112" s="8"/>
      <c r="C112" s="7"/>
      <c r="F112" s="6"/>
      <c r="G112" s="5"/>
    </row>
    <row r="113" spans="1:7" x14ac:dyDescent="0.25">
      <c r="A113" s="8"/>
      <c r="C113" s="7"/>
      <c r="F113" s="6"/>
      <c r="G113" s="5"/>
    </row>
    <row r="114" spans="1:7" x14ac:dyDescent="0.25">
      <c r="A114" s="8"/>
      <c r="C114" s="7"/>
      <c r="F114" s="6"/>
      <c r="G114" s="5"/>
    </row>
  </sheetData>
  <conditionalFormatting sqref="J84">
    <cfRule type="expression" dxfId="97" priority="4">
      <formula>FIND("Count",$A84)</formula>
    </cfRule>
  </conditionalFormatting>
  <conditionalFormatting sqref="I7:I8">
    <cfRule type="expression" dxfId="96" priority="25">
      <formula>FIND("Count",$A7)</formula>
    </cfRule>
  </conditionalFormatting>
  <conditionalFormatting sqref="I7:I8">
    <cfRule type="expression" dxfId="95" priority="22">
      <formula>$I7=Source_File_Status_Fixed</formula>
    </cfRule>
    <cfRule type="expression" dxfId="94" priority="23">
      <formula>$I7=Source_File_Status_Will_Break</formula>
    </cfRule>
    <cfRule type="expression" dxfId="93" priority="24">
      <formula>$I7=Source_File_Status_Obsolete_Frozen</formula>
    </cfRule>
  </conditionalFormatting>
  <conditionalFormatting sqref="A7:H8">
    <cfRule type="expression" dxfId="92" priority="21">
      <formula>FIND("Count",$A7)</formula>
    </cfRule>
  </conditionalFormatting>
  <conditionalFormatting sqref="A7:H8">
    <cfRule type="expression" dxfId="91" priority="18">
      <formula>$I7=Source_File_Status_Fixed</formula>
    </cfRule>
    <cfRule type="expression" dxfId="90" priority="19">
      <formula>$I7=Source_File_Status_Will_Break</formula>
    </cfRule>
    <cfRule type="expression" dxfId="89" priority="20">
      <formula>$I7=Source_File_Status_Obsolete_Frozen</formula>
    </cfRule>
  </conditionalFormatting>
  <conditionalFormatting sqref="I9:I80">
    <cfRule type="expression" dxfId="88" priority="17">
      <formula>FIND("Count",$A9)</formula>
    </cfRule>
  </conditionalFormatting>
  <conditionalFormatting sqref="I9:I80">
    <cfRule type="expression" dxfId="87" priority="14">
      <formula>$I9=Source_File_Status_Fixed</formula>
    </cfRule>
    <cfRule type="expression" dxfId="86" priority="15">
      <formula>$I9=Source_File_Status_Will_Break</formula>
    </cfRule>
    <cfRule type="expression" dxfId="85" priority="16">
      <formula>$I9=Source_File_Status_Obsolete_Frozen</formula>
    </cfRule>
  </conditionalFormatting>
  <conditionalFormatting sqref="A9:H80">
    <cfRule type="expression" dxfId="84" priority="13">
      <formula>FIND("Count",$A9)</formula>
    </cfRule>
  </conditionalFormatting>
  <conditionalFormatting sqref="A9:H80">
    <cfRule type="expression" dxfId="83" priority="10">
      <formula>$I9=Source_File_Status_Fixed</formula>
    </cfRule>
    <cfRule type="expression" dxfId="82" priority="11">
      <formula>$I9=Source_File_Status_Will_Break</formula>
    </cfRule>
    <cfRule type="expression" dxfId="81" priority="12">
      <formula>$I9=Source_File_Status_Obsolete_Frozen</formula>
    </cfRule>
  </conditionalFormatting>
  <conditionalFormatting sqref="I82">
    <cfRule type="expression" dxfId="80" priority="9">
      <formula>FIND("Count",$A82)</formula>
    </cfRule>
  </conditionalFormatting>
  <conditionalFormatting sqref="I83">
    <cfRule type="expression" dxfId="79" priority="8">
      <formula>FIND("Count",$A83)</formula>
    </cfRule>
  </conditionalFormatting>
  <conditionalFormatting sqref="I84">
    <cfRule type="expression" dxfId="78" priority="7">
      <formula>FIND("Count",$A84)</formula>
    </cfRule>
  </conditionalFormatting>
  <conditionalFormatting sqref="J82">
    <cfRule type="expression" dxfId="77" priority="6">
      <formula>FIND("Count",$A82)</formula>
    </cfRule>
  </conditionalFormatting>
  <conditionalFormatting sqref="J83">
    <cfRule type="expression" dxfId="76" priority="5">
      <formula>FIND("Count",$A83)</formula>
    </cfRule>
  </conditionalFormatting>
  <conditionalFormatting sqref="I2">
    <cfRule type="expression" dxfId="75" priority="3">
      <formula>FIND("Count",$A2)</formula>
    </cfRule>
  </conditionalFormatting>
  <conditionalFormatting sqref="I3">
    <cfRule type="expression" dxfId="74" priority="2">
      <formula>FIND("Count",$A3)</formula>
    </cfRule>
  </conditionalFormatting>
  <conditionalFormatting sqref="I4">
    <cfRule type="expression" dxfId="73" priority="1">
      <formula>FIND("Count",$A4)</formula>
    </cfRule>
  </conditionalFormatting>
  <dataValidations count="1">
    <dataValidation type="list" allowBlank="1" showInputMessage="1" showErrorMessage="1" sqref="I7 I9:I13 I15 I17:I25 I27 I29:I30 I32:I33 I35:I37 I39:I40 I42:I43 I45 I47:I48 I50 I76 I78 I52:I74">
      <formula1>Source_Code_Status_Choices</formula1>
    </dataValidation>
  </dataValidations>
  <pageMargins left="0.7" right="0.7" top="0.75" bottom="0.75" header="0.3" footer="0.3"/>
  <pageSetup orientation="portrait" horizontalDpi="0"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8" tint="-0.499984740745262"/>
  </sheetPr>
  <dimension ref="A1:J108"/>
  <sheetViews>
    <sheetView workbookViewId="0">
      <pane xSplit="2" ySplit="6" topLeftCell="I7" activePane="bottomRight" state="frozen"/>
      <selection pane="topRight" activeCell="C1" sqref="C1"/>
      <selection pane="bottomLeft" activeCell="A2" sqref="A2"/>
      <selection pane="bottomRight" activeCell="I2" sqref="I2:I4"/>
    </sheetView>
  </sheetViews>
  <sheetFormatPr defaultRowHeight="15" outlineLevelRow="2" x14ac:dyDescent="0.25"/>
  <cols>
    <col min="1" max="1" width="22.75" customWidth="1"/>
    <col min="2" max="2" width="6.125" bestFit="1" customWidth="1"/>
    <col min="3" max="3" width="100.625" customWidth="1"/>
    <col min="4" max="4" width="48" bestFit="1" customWidth="1"/>
    <col min="5" max="5" width="6.875" bestFit="1" customWidth="1"/>
    <col min="6" max="6" width="20.125" bestFit="1" customWidth="1"/>
    <col min="7" max="7" width="7.875" customWidth="1"/>
    <col min="8" max="8" width="132" customWidth="1"/>
    <col min="9" max="10" width="18.375" bestFit="1" customWidth="1"/>
  </cols>
  <sheetData>
    <row r="1" spans="1:9" ht="18" x14ac:dyDescent="0.25">
      <c r="I1" s="9" t="s">
        <v>11</v>
      </c>
    </row>
    <row r="2" spans="1:9" x14ac:dyDescent="0.25">
      <c r="I2" s="18" t="str">
        <f>Source_File_Status_Obsolete_Frozen</f>
        <v>Obsolete (Frozen)</v>
      </c>
    </row>
    <row r="3" spans="1:9" x14ac:dyDescent="0.25">
      <c r="I3" s="19" t="str">
        <f>Source_File_Status_Will_Break</f>
        <v>Will Break</v>
      </c>
    </row>
    <row r="4" spans="1:9" x14ac:dyDescent="0.25">
      <c r="I4" s="20" t="str">
        <f>Source_File_Status_Fixed</f>
        <v>Fixed</v>
      </c>
    </row>
    <row r="6" spans="1:9" ht="18" x14ac:dyDescent="0.25">
      <c r="A6" s="32" t="s">
        <v>18</v>
      </c>
      <c r="B6" s="32" t="s">
        <v>17</v>
      </c>
      <c r="C6" s="32" t="s">
        <v>16</v>
      </c>
      <c r="D6" s="32" t="s">
        <v>15</v>
      </c>
      <c r="E6" s="32" t="s">
        <v>6</v>
      </c>
      <c r="F6" s="32" t="s">
        <v>14</v>
      </c>
      <c r="G6" s="32" t="s">
        <v>13</v>
      </c>
      <c r="H6" s="32" t="s">
        <v>12</v>
      </c>
      <c r="I6" s="32" t="s">
        <v>11</v>
      </c>
    </row>
    <row r="7" spans="1:9" outlineLevel="2" x14ac:dyDescent="0.25">
      <c r="A7" s="33" t="s">
        <v>182</v>
      </c>
      <c r="B7" s="34">
        <v>692</v>
      </c>
      <c r="C7" s="39" t="s">
        <v>183</v>
      </c>
      <c r="D7" s="34" t="str">
        <f>[1]!GetFile(A7)</f>
        <v>Program.cs</v>
      </c>
      <c r="E7" s="35" t="str">
        <f>IF(ISERROR(FIND("Count",$A7)),UPPER(RIGHT([1]!GetExtension(A7),LEN([1]!GetExtension(A7))-1)),"")</f>
        <v>CS</v>
      </c>
      <c r="F7" s="36">
        <f>[1]!dtmFileDateInfo(A7)</f>
        <v>41964.67355324074</v>
      </c>
      <c r="G7" s="37">
        <f>[1]!lngFileSize(A7)</f>
        <v>56744</v>
      </c>
      <c r="H7" s="40" t="str">
        <f>[1]!GetFolder(A7)</f>
        <v>C:\Users\DAVE\Documents\Visual Studio 2013\Projects\NOLANB\EZPayFileMonitor\EZPayFileMonitor</v>
      </c>
      <c r="I7" s="38" t="s">
        <v>167</v>
      </c>
    </row>
    <row r="8" spans="1:9" outlineLevel="2" x14ac:dyDescent="0.25">
      <c r="A8" s="33" t="s">
        <v>182</v>
      </c>
      <c r="B8" s="34">
        <v>694</v>
      </c>
      <c r="C8" s="39" t="s">
        <v>184</v>
      </c>
      <c r="D8" s="34" t="str">
        <f>[1]!GetFile(A8)</f>
        <v>Program.cs</v>
      </c>
      <c r="E8" s="35" t="str">
        <f>IF(ISERROR(FIND("Count",$A8)),UPPER(RIGHT([1]!GetExtension(A8),LEN([1]!GetExtension(A8))-1)),"")</f>
        <v>CS</v>
      </c>
      <c r="F8" s="36">
        <f>[1]!dtmFileDateInfo(A8)</f>
        <v>41964.67355324074</v>
      </c>
      <c r="G8" s="37">
        <f>[1]!lngFileSize(A8)</f>
        <v>56744</v>
      </c>
      <c r="H8" s="40" t="str">
        <f>[1]!GetFolder(A8)</f>
        <v>C:\Users\DAVE\Documents\Visual Studio 2013\Projects\NOLANB\EZPayFileMonitor\EZPayFileMonitor</v>
      </c>
      <c r="I8" s="38" t="s">
        <v>167</v>
      </c>
    </row>
    <row r="9" spans="1:9" outlineLevel="2" x14ac:dyDescent="0.25">
      <c r="A9" s="33" t="s">
        <v>182</v>
      </c>
      <c r="B9" s="34">
        <v>700</v>
      </c>
      <c r="C9" s="39" t="s">
        <v>185</v>
      </c>
      <c r="D9" s="34" t="str">
        <f>[1]!GetFile(A9)</f>
        <v>Program.cs</v>
      </c>
      <c r="E9" s="35" t="str">
        <f>IF(ISERROR(FIND("Count",$A9)),UPPER(RIGHT([1]!GetExtension(A9),LEN([1]!GetExtension(A9))-1)),"")</f>
        <v>CS</v>
      </c>
      <c r="F9" s="36">
        <f>[1]!dtmFileDateInfo(A9)</f>
        <v>41964.67355324074</v>
      </c>
      <c r="G9" s="37">
        <f>[1]!lngFileSize(A9)</f>
        <v>56744</v>
      </c>
      <c r="H9" s="40" t="str">
        <f>[1]!GetFolder(A9)</f>
        <v>C:\Users\DAVE\Documents\Visual Studio 2013\Projects\NOLANB\EZPayFileMonitor\EZPayFileMonitor</v>
      </c>
      <c r="I9" s="38" t="s">
        <v>167</v>
      </c>
    </row>
    <row r="10" spans="1:9" ht="30" outlineLevel="2" x14ac:dyDescent="0.25">
      <c r="A10" s="33" t="s">
        <v>182</v>
      </c>
      <c r="B10" s="34">
        <v>745</v>
      </c>
      <c r="C10" s="39" t="s">
        <v>186</v>
      </c>
      <c r="D10" s="34" t="str">
        <f>[1]!GetFile(A10)</f>
        <v>Program.cs</v>
      </c>
      <c r="E10" s="35" t="str">
        <f>IF(ISERROR(FIND("Count",$A10)),UPPER(RIGHT([1]!GetExtension(A10),LEN([1]!GetExtension(A10))-1)),"")</f>
        <v>CS</v>
      </c>
      <c r="F10" s="36">
        <f>[1]!dtmFileDateInfo(A10)</f>
        <v>41964.67355324074</v>
      </c>
      <c r="G10" s="37">
        <f>[1]!lngFileSize(A10)</f>
        <v>56744</v>
      </c>
      <c r="H10" s="40" t="str">
        <f>[1]!GetFolder(A10)</f>
        <v>C:\Users\DAVE\Documents\Visual Studio 2013\Projects\NOLANB\EZPayFileMonitor\EZPayFileMonitor</v>
      </c>
      <c r="I10" s="38" t="s">
        <v>167</v>
      </c>
    </row>
    <row r="11" spans="1:9" ht="30" outlineLevel="2" x14ac:dyDescent="0.25">
      <c r="A11" s="33" t="s">
        <v>182</v>
      </c>
      <c r="B11" s="34">
        <v>753</v>
      </c>
      <c r="C11" s="39" t="s">
        <v>187</v>
      </c>
      <c r="D11" s="34" t="str">
        <f>[1]!GetFile(A11)</f>
        <v>Program.cs</v>
      </c>
      <c r="E11" s="35" t="str">
        <f>IF(ISERROR(FIND("Count",$A11)),UPPER(RIGHT([1]!GetExtension(A11),LEN([1]!GetExtension(A11))-1)),"")</f>
        <v>CS</v>
      </c>
      <c r="F11" s="36">
        <f>[1]!dtmFileDateInfo(A11)</f>
        <v>41964.67355324074</v>
      </c>
      <c r="G11" s="37">
        <f>[1]!lngFileSize(A11)</f>
        <v>56744</v>
      </c>
      <c r="H11" s="40" t="str">
        <f>[1]!GetFolder(A11)</f>
        <v>C:\Users\DAVE\Documents\Visual Studio 2013\Projects\NOLANB\EZPayFileMonitor\EZPayFileMonitor</v>
      </c>
      <c r="I11" s="38" t="s">
        <v>167</v>
      </c>
    </row>
    <row r="12" spans="1:9" ht="30" outlineLevel="2" x14ac:dyDescent="0.25">
      <c r="A12" s="33" t="s">
        <v>182</v>
      </c>
      <c r="B12" s="34">
        <v>762</v>
      </c>
      <c r="C12" s="39" t="s">
        <v>188</v>
      </c>
      <c r="D12" s="34" t="str">
        <f>[1]!GetFile(A12)</f>
        <v>Program.cs</v>
      </c>
      <c r="E12" s="35" t="str">
        <f>IF(ISERROR(FIND("Count",$A12)),UPPER(RIGHT([1]!GetExtension(A12),LEN([1]!GetExtension(A12))-1)),"")</f>
        <v>CS</v>
      </c>
      <c r="F12" s="36">
        <f>[1]!dtmFileDateInfo(A12)</f>
        <v>41964.67355324074</v>
      </c>
      <c r="G12" s="37">
        <f>[1]!lngFileSize(A12)</f>
        <v>56744</v>
      </c>
      <c r="H12" s="40" t="str">
        <f>[1]!GetFolder(A12)</f>
        <v>C:\Users\DAVE\Documents\Visual Studio 2013\Projects\NOLANB\EZPayFileMonitor\EZPayFileMonitor</v>
      </c>
      <c r="I12" s="38" t="s">
        <v>167</v>
      </c>
    </row>
    <row r="13" spans="1:9" ht="45" outlineLevel="2" x14ac:dyDescent="0.25">
      <c r="A13" s="33" t="s">
        <v>182</v>
      </c>
      <c r="B13" s="34">
        <v>767</v>
      </c>
      <c r="C13" s="39" t="s">
        <v>189</v>
      </c>
      <c r="D13" s="34" t="str">
        <f>[1]!GetFile(A13)</f>
        <v>Program.cs</v>
      </c>
      <c r="E13" s="35" t="str">
        <f>IF(ISERROR(FIND("Count",$A13)),UPPER(RIGHT([1]!GetExtension(A13),LEN([1]!GetExtension(A13))-1)),"")</f>
        <v>CS</v>
      </c>
      <c r="F13" s="36">
        <f>[1]!dtmFileDateInfo(A13)</f>
        <v>41964.67355324074</v>
      </c>
      <c r="G13" s="37">
        <f>[1]!lngFileSize(A13)</f>
        <v>56744</v>
      </c>
      <c r="H13" s="40" t="str">
        <f>[1]!GetFolder(A13)</f>
        <v>C:\Users\DAVE\Documents\Visual Studio 2013\Projects\NOLANB\EZPayFileMonitor\EZPayFileMonitor</v>
      </c>
      <c r="I13" s="38" t="s">
        <v>167</v>
      </c>
    </row>
    <row r="14" spans="1:9" outlineLevel="1" x14ac:dyDescent="0.25">
      <c r="A14" s="41" t="s">
        <v>234</v>
      </c>
      <c r="B14" s="34"/>
      <c r="C14" s="39"/>
      <c r="D14" s="34"/>
      <c r="E14" s="35">
        <f>SUBTOTAL(3,E7:E13)</f>
        <v>7</v>
      </c>
      <c r="F14" s="36"/>
      <c r="G14" s="37"/>
      <c r="H14" s="40"/>
      <c r="I14" s="38"/>
    </row>
    <row r="15" spans="1:9" outlineLevel="2" x14ac:dyDescent="0.25">
      <c r="A15" s="33" t="s">
        <v>190</v>
      </c>
      <c r="B15" s="34">
        <v>128</v>
      </c>
      <c r="C15" s="39" t="s">
        <v>191</v>
      </c>
      <c r="D15" s="34" t="str">
        <f>[1]!GetFile(A15)</f>
        <v>ByteMap.cs</v>
      </c>
      <c r="E15" s="35" t="str">
        <f>IF(ISERROR(FIND("Count",$A15)),UPPER(RIGHT([1]!GetExtension(A15),LEN([1]!GetExtension(A15))-1)),"")</f>
        <v>CS</v>
      </c>
      <c r="F15" s="36">
        <f>[1]!dtmFileDateInfo(A15)</f>
        <v>42252.899791666663</v>
      </c>
      <c r="G15" s="37">
        <f>[1]!lngFileSize(A15)</f>
        <v>7302</v>
      </c>
      <c r="H15" s="40" t="str">
        <f>[1]!GetFolder(A15)</f>
        <v>C:\Users\DAVE\Documents\Visual Studio 2013\Projects\Tools_for_Programmers\MemCalc\MemCalc</v>
      </c>
      <c r="I15" s="38" t="s">
        <v>168</v>
      </c>
    </row>
    <row r="16" spans="1:9" ht="30" outlineLevel="2" x14ac:dyDescent="0.25">
      <c r="A16" s="33" t="s">
        <v>190</v>
      </c>
      <c r="B16" s="34">
        <v>135</v>
      </c>
      <c r="C16" s="39" t="s">
        <v>192</v>
      </c>
      <c r="D16" s="34" t="str">
        <f>[1]!GetFile(A16)</f>
        <v>ByteMap.cs</v>
      </c>
      <c r="E16" s="35" t="str">
        <f>IF(ISERROR(FIND("Count",$A16)),UPPER(RIGHT([1]!GetExtension(A16),LEN([1]!GetExtension(A16))-1)),"")</f>
        <v>CS</v>
      </c>
      <c r="F16" s="36">
        <f>[1]!dtmFileDateInfo(A16)</f>
        <v>42252.899791666663</v>
      </c>
      <c r="G16" s="37">
        <f>[1]!lngFileSize(A16)</f>
        <v>7302</v>
      </c>
      <c r="H16" s="40" t="str">
        <f>[1]!GetFolder(A16)</f>
        <v>C:\Users\DAVE\Documents\Visual Studio 2013\Projects\Tools_for_Programmers\MemCalc\MemCalc</v>
      </c>
      <c r="I16" s="38" t="s">
        <v>168</v>
      </c>
    </row>
    <row r="17" spans="1:9" ht="30" outlineLevel="2" x14ac:dyDescent="0.25">
      <c r="A17" s="33" t="s">
        <v>190</v>
      </c>
      <c r="B17" s="34">
        <v>150</v>
      </c>
      <c r="C17" s="39" t="s">
        <v>193</v>
      </c>
      <c r="D17" s="34" t="str">
        <f>[1]!GetFile(A17)</f>
        <v>ByteMap.cs</v>
      </c>
      <c r="E17" s="35" t="str">
        <f>IF(ISERROR(FIND("Count",$A17)),UPPER(RIGHT([1]!GetExtension(A17),LEN([1]!GetExtension(A17))-1)),"")</f>
        <v>CS</v>
      </c>
      <c r="F17" s="36">
        <f>[1]!dtmFileDateInfo(A17)</f>
        <v>42252.899791666663</v>
      </c>
      <c r="G17" s="37">
        <f>[1]!lngFileSize(A17)</f>
        <v>7302</v>
      </c>
      <c r="H17" s="40" t="str">
        <f>[1]!GetFolder(A17)</f>
        <v>C:\Users\DAVE\Documents\Visual Studio 2013\Projects\Tools_for_Programmers\MemCalc\MemCalc</v>
      </c>
      <c r="I17" s="38" t="s">
        <v>168</v>
      </c>
    </row>
    <row r="18" spans="1:9" ht="60" outlineLevel="2" x14ac:dyDescent="0.25">
      <c r="A18" s="33" t="s">
        <v>190</v>
      </c>
      <c r="B18" s="34">
        <v>154</v>
      </c>
      <c r="C18" s="39" t="s">
        <v>194</v>
      </c>
      <c r="D18" s="34" t="str">
        <f>[1]!GetFile(A18)</f>
        <v>ByteMap.cs</v>
      </c>
      <c r="E18" s="35" t="str">
        <f>IF(ISERROR(FIND("Count",$A18)),UPPER(RIGHT([1]!GetExtension(A18),LEN([1]!GetExtension(A18))-1)),"")</f>
        <v>CS</v>
      </c>
      <c r="F18" s="36">
        <f>[1]!dtmFileDateInfo(A18)</f>
        <v>42252.899791666663</v>
      </c>
      <c r="G18" s="37">
        <f>[1]!lngFileSize(A18)</f>
        <v>7302</v>
      </c>
      <c r="H18" s="40" t="str">
        <f>[1]!GetFolder(A18)</f>
        <v>C:\Users\DAVE\Documents\Visual Studio 2013\Projects\Tools_for_Programmers\MemCalc\MemCalc</v>
      </c>
      <c r="I18" s="38" t="s">
        <v>168</v>
      </c>
    </row>
    <row r="19" spans="1:9" outlineLevel="1" x14ac:dyDescent="0.25">
      <c r="A19" s="41" t="s">
        <v>235</v>
      </c>
      <c r="B19" s="34"/>
      <c r="C19" s="39"/>
      <c r="D19" s="34"/>
      <c r="E19" s="35">
        <f>SUBTOTAL(3,E15:E18)</f>
        <v>4</v>
      </c>
      <c r="F19" s="36"/>
      <c r="G19" s="37"/>
      <c r="H19" s="40"/>
      <c r="I19" s="38"/>
    </row>
    <row r="20" spans="1:9" ht="30" outlineLevel="2" x14ac:dyDescent="0.25">
      <c r="A20" s="33" t="s">
        <v>22</v>
      </c>
      <c r="B20" s="34">
        <v>235</v>
      </c>
      <c r="C20" s="39" t="s">
        <v>195</v>
      </c>
      <c r="D20" s="34" t="str">
        <f>[1]!GetFile(A20)</f>
        <v>NewClassTests_20140914.cs</v>
      </c>
      <c r="E20" s="35" t="str">
        <f>IF(ISERROR(FIND("Count",$A20)),UPPER(RIGHT([1]!GetExtension(A20),LEN([1]!GetExtension(A20))-1)),"")</f>
        <v>CS</v>
      </c>
      <c r="F20" s="36">
        <f>[1]!dtmFileDateInfo(A20)</f>
        <v>0</v>
      </c>
      <c r="G20" s="37">
        <f>[1]!lngFileSize(A20)</f>
        <v>0</v>
      </c>
      <c r="H20" s="40" t="str">
        <f>[1]!GetFolder(A20)</f>
        <v>C:\Users\DAVE\Documents\Visual Studio 2013\Projects\WizardWrx_Libs\DLLServices2\DLLServices2TestStand</v>
      </c>
      <c r="I20" s="38" t="s">
        <v>168</v>
      </c>
    </row>
    <row r="21" spans="1:9" ht="30" outlineLevel="2" x14ac:dyDescent="0.25">
      <c r="A21" s="33" t="s">
        <v>22</v>
      </c>
      <c r="B21" s="34">
        <v>236</v>
      </c>
      <c r="C21" s="39" t="s">
        <v>196</v>
      </c>
      <c r="D21" s="34" t="str">
        <f>[1]!GetFile(A21)</f>
        <v>NewClassTests_20140914.cs</v>
      </c>
      <c r="E21" s="35" t="str">
        <f>IF(ISERROR(FIND("Count",$A21)),UPPER(RIGHT([1]!GetExtension(A21),LEN([1]!GetExtension(A21))-1)),"")</f>
        <v>CS</v>
      </c>
      <c r="F21" s="36">
        <f>[1]!dtmFileDateInfo(A21)</f>
        <v>0</v>
      </c>
      <c r="G21" s="37">
        <f>[1]!lngFileSize(A21)</f>
        <v>0</v>
      </c>
      <c r="H21" s="40" t="str">
        <f>[1]!GetFolder(A21)</f>
        <v>C:\Users\DAVE\Documents\Visual Studio 2013\Projects\WizardWrx_Libs\DLLServices2\DLLServices2TestStand</v>
      </c>
      <c r="I21" s="38" t="s">
        <v>168</v>
      </c>
    </row>
    <row r="22" spans="1:9" ht="30" outlineLevel="2" x14ac:dyDescent="0.25">
      <c r="A22" s="33" t="s">
        <v>22</v>
      </c>
      <c r="B22" s="34">
        <v>237</v>
      </c>
      <c r="C22" s="39" t="s">
        <v>197</v>
      </c>
      <c r="D22" s="34" t="str">
        <f>[1]!GetFile(A22)</f>
        <v>NewClassTests_20140914.cs</v>
      </c>
      <c r="E22" s="35" t="str">
        <f>IF(ISERROR(FIND("Count",$A22)),UPPER(RIGHT([1]!GetExtension(A22),LEN([1]!GetExtension(A22))-1)),"")</f>
        <v>CS</v>
      </c>
      <c r="F22" s="36">
        <f>[1]!dtmFileDateInfo(A22)</f>
        <v>0</v>
      </c>
      <c r="G22" s="37">
        <f>[1]!lngFileSize(A22)</f>
        <v>0</v>
      </c>
      <c r="H22" s="40" t="str">
        <f>[1]!GetFolder(A22)</f>
        <v>C:\Users\DAVE\Documents\Visual Studio 2013\Projects\WizardWrx_Libs\DLLServices2\DLLServices2TestStand</v>
      </c>
      <c r="I22" s="38" t="s">
        <v>168</v>
      </c>
    </row>
    <row r="23" spans="1:9" ht="30" outlineLevel="2" x14ac:dyDescent="0.25">
      <c r="A23" s="33" t="s">
        <v>22</v>
      </c>
      <c r="B23" s="34">
        <v>250</v>
      </c>
      <c r="C23" s="39" t="s">
        <v>198</v>
      </c>
      <c r="D23" s="34" t="str">
        <f>[1]!GetFile(A23)</f>
        <v>NewClassTests_20140914.cs</v>
      </c>
      <c r="E23" s="35" t="str">
        <f>IF(ISERROR(FIND("Count",$A23)),UPPER(RIGHT([1]!GetExtension(A23),LEN([1]!GetExtension(A23))-1)),"")</f>
        <v>CS</v>
      </c>
      <c r="F23" s="36">
        <f>[1]!dtmFileDateInfo(A23)</f>
        <v>0</v>
      </c>
      <c r="G23" s="37">
        <f>[1]!lngFileSize(A23)</f>
        <v>0</v>
      </c>
      <c r="H23" s="40" t="str">
        <f>[1]!GetFolder(A23)</f>
        <v>C:\Users\DAVE\Documents\Visual Studio 2013\Projects\WizardWrx_Libs\DLLServices2\DLLServices2TestStand</v>
      </c>
      <c r="I23" s="38" t="s">
        <v>168</v>
      </c>
    </row>
    <row r="24" spans="1:9" outlineLevel="2" x14ac:dyDescent="0.25">
      <c r="A24" s="33" t="s">
        <v>22</v>
      </c>
      <c r="B24" s="34">
        <v>251</v>
      </c>
      <c r="C24" s="39" t="s">
        <v>199</v>
      </c>
      <c r="D24" s="34" t="str">
        <f>[1]!GetFile(A24)</f>
        <v>NewClassTests_20140914.cs</v>
      </c>
      <c r="E24" s="35" t="str">
        <f>IF(ISERROR(FIND("Count",$A24)),UPPER(RIGHT([1]!GetExtension(A24),LEN([1]!GetExtension(A24))-1)),"")</f>
        <v>CS</v>
      </c>
      <c r="F24" s="36">
        <f>[1]!dtmFileDateInfo(A24)</f>
        <v>0</v>
      </c>
      <c r="G24" s="37">
        <f>[1]!lngFileSize(A24)</f>
        <v>0</v>
      </c>
      <c r="H24" s="40" t="str">
        <f>[1]!GetFolder(A24)</f>
        <v>C:\Users\DAVE\Documents\Visual Studio 2013\Projects\WizardWrx_Libs\DLLServices2\DLLServices2TestStand</v>
      </c>
      <c r="I24" s="38" t="s">
        <v>168</v>
      </c>
    </row>
    <row r="25" spans="1:9" outlineLevel="2" x14ac:dyDescent="0.25">
      <c r="A25" s="33" t="s">
        <v>22</v>
      </c>
      <c r="B25" s="34">
        <v>257</v>
      </c>
      <c r="C25" s="39" t="s">
        <v>200</v>
      </c>
      <c r="D25" s="34" t="str">
        <f>[1]!GetFile(A25)</f>
        <v>NewClassTests_20140914.cs</v>
      </c>
      <c r="E25" s="35" t="str">
        <f>IF(ISERROR(FIND("Count",$A25)),UPPER(RIGHT([1]!GetExtension(A25),LEN([1]!GetExtension(A25))-1)),"")</f>
        <v>CS</v>
      </c>
      <c r="F25" s="36">
        <f>[1]!dtmFileDateInfo(A25)</f>
        <v>0</v>
      </c>
      <c r="G25" s="37">
        <f>[1]!lngFileSize(A25)</f>
        <v>0</v>
      </c>
      <c r="H25" s="40" t="str">
        <f>[1]!GetFolder(A25)</f>
        <v>C:\Users\DAVE\Documents\Visual Studio 2013\Projects\WizardWrx_Libs\DLLServices2\DLLServices2TestStand</v>
      </c>
      <c r="I25" s="38" t="s">
        <v>168</v>
      </c>
    </row>
    <row r="26" spans="1:9" outlineLevel="2" x14ac:dyDescent="0.25">
      <c r="A26" s="33" t="s">
        <v>22</v>
      </c>
      <c r="B26" s="34">
        <v>1237</v>
      </c>
      <c r="C26" s="39" t="s">
        <v>201</v>
      </c>
      <c r="D26" s="34" t="str">
        <f>[1]!GetFile(A26)</f>
        <v>NewClassTests_20140914.cs</v>
      </c>
      <c r="E26" s="35" t="str">
        <f>IF(ISERROR(FIND("Count",$A26)),UPPER(RIGHT([1]!GetExtension(A26),LEN([1]!GetExtension(A26))-1)),"")</f>
        <v>CS</v>
      </c>
      <c r="F26" s="36">
        <f>[1]!dtmFileDateInfo(A26)</f>
        <v>0</v>
      </c>
      <c r="G26" s="37">
        <f>[1]!lngFileSize(A26)</f>
        <v>0</v>
      </c>
      <c r="H26" s="40" t="str">
        <f>[1]!GetFolder(A26)</f>
        <v>C:\Users\DAVE\Documents\Visual Studio 2013\Projects\WizardWrx_Libs\DLLServices2\DLLServices2TestStand</v>
      </c>
      <c r="I26" s="38" t="s">
        <v>168</v>
      </c>
    </row>
    <row r="27" spans="1:9" outlineLevel="2" x14ac:dyDescent="0.25">
      <c r="A27" s="33" t="s">
        <v>22</v>
      </c>
      <c r="B27" s="34">
        <v>1239</v>
      </c>
      <c r="C27" s="39" t="s">
        <v>202</v>
      </c>
      <c r="D27" s="34" t="str">
        <f>[1]!GetFile(A27)</f>
        <v>NewClassTests_20140914.cs</v>
      </c>
      <c r="E27" s="35" t="str">
        <f>IF(ISERROR(FIND("Count",$A27)),UPPER(RIGHT([1]!GetExtension(A27),LEN([1]!GetExtension(A27))-1)),"")</f>
        <v>CS</v>
      </c>
      <c r="F27" s="36">
        <f>[1]!dtmFileDateInfo(A27)</f>
        <v>0</v>
      </c>
      <c r="G27" s="37">
        <f>[1]!lngFileSize(A27)</f>
        <v>0</v>
      </c>
      <c r="H27" s="40" t="str">
        <f>[1]!GetFolder(A27)</f>
        <v>C:\Users\DAVE\Documents\Visual Studio 2013\Projects\WizardWrx_Libs\DLLServices2\DLLServices2TestStand</v>
      </c>
      <c r="I27" s="38" t="s">
        <v>168</v>
      </c>
    </row>
    <row r="28" spans="1:9" outlineLevel="2" x14ac:dyDescent="0.25">
      <c r="A28" s="33" t="s">
        <v>22</v>
      </c>
      <c r="B28" s="34">
        <v>1241</v>
      </c>
      <c r="C28" s="39" t="s">
        <v>203</v>
      </c>
      <c r="D28" s="34" t="str">
        <f>[1]!GetFile(A28)</f>
        <v>NewClassTests_20140914.cs</v>
      </c>
      <c r="E28" s="35" t="str">
        <f>IF(ISERROR(FIND("Count",$A28)),UPPER(RIGHT([1]!GetExtension(A28),LEN([1]!GetExtension(A28))-1)),"")</f>
        <v>CS</v>
      </c>
      <c r="F28" s="36">
        <f>[1]!dtmFileDateInfo(A28)</f>
        <v>0</v>
      </c>
      <c r="G28" s="37">
        <f>[1]!lngFileSize(A28)</f>
        <v>0</v>
      </c>
      <c r="H28" s="40" t="str">
        <f>[1]!GetFolder(A28)</f>
        <v>C:\Users\DAVE\Documents\Visual Studio 2013\Projects\WizardWrx_Libs\DLLServices2\DLLServices2TestStand</v>
      </c>
      <c r="I28" s="38" t="s">
        <v>168</v>
      </c>
    </row>
    <row r="29" spans="1:9" outlineLevel="2" x14ac:dyDescent="0.25">
      <c r="A29" s="33" t="s">
        <v>22</v>
      </c>
      <c r="B29" s="34">
        <v>1245</v>
      </c>
      <c r="C29" s="39" t="s">
        <v>204</v>
      </c>
      <c r="D29" s="34" t="str">
        <f>[1]!GetFile(A29)</f>
        <v>NewClassTests_20140914.cs</v>
      </c>
      <c r="E29" s="35" t="str">
        <f>IF(ISERROR(FIND("Count",$A29)),UPPER(RIGHT([1]!GetExtension(A29),LEN([1]!GetExtension(A29))-1)),"")</f>
        <v>CS</v>
      </c>
      <c r="F29" s="36">
        <f>[1]!dtmFileDateInfo(A29)</f>
        <v>0</v>
      </c>
      <c r="G29" s="37">
        <f>[1]!lngFileSize(A29)</f>
        <v>0</v>
      </c>
      <c r="H29" s="40" t="str">
        <f>[1]!GetFolder(A29)</f>
        <v>C:\Users\DAVE\Documents\Visual Studio 2013\Projects\WizardWrx_Libs\DLLServices2\DLLServices2TestStand</v>
      </c>
      <c r="I29" s="38" t="s">
        <v>168</v>
      </c>
    </row>
    <row r="30" spans="1:9" ht="30" outlineLevel="2" x14ac:dyDescent="0.25">
      <c r="A30" s="33" t="s">
        <v>22</v>
      </c>
      <c r="B30" s="34">
        <v>1286</v>
      </c>
      <c r="C30" s="39" t="s">
        <v>205</v>
      </c>
      <c r="D30" s="34" t="str">
        <f>[1]!GetFile(A30)</f>
        <v>NewClassTests_20140914.cs</v>
      </c>
      <c r="E30" s="35" t="str">
        <f>IF(ISERROR(FIND("Count",$A30)),UPPER(RIGHT([1]!GetExtension(A30),LEN([1]!GetExtension(A30))-1)),"")</f>
        <v>CS</v>
      </c>
      <c r="F30" s="36">
        <f>[1]!dtmFileDateInfo(A30)</f>
        <v>0</v>
      </c>
      <c r="G30" s="37">
        <f>[1]!lngFileSize(A30)</f>
        <v>0</v>
      </c>
      <c r="H30" s="40" t="str">
        <f>[1]!GetFolder(A30)</f>
        <v>C:\Users\DAVE\Documents\Visual Studio 2013\Projects\WizardWrx_Libs\DLLServices2\DLLServices2TestStand</v>
      </c>
      <c r="I30" s="38" t="s">
        <v>168</v>
      </c>
    </row>
    <row r="31" spans="1:9" ht="30" outlineLevel="2" x14ac:dyDescent="0.25">
      <c r="A31" s="33" t="s">
        <v>22</v>
      </c>
      <c r="B31" s="34">
        <v>1287</v>
      </c>
      <c r="C31" s="39" t="s">
        <v>206</v>
      </c>
      <c r="D31" s="34" t="str">
        <f>[1]!GetFile(A31)</f>
        <v>NewClassTests_20140914.cs</v>
      </c>
      <c r="E31" s="35" t="str">
        <f>IF(ISERROR(FIND("Count",$A31)),UPPER(RIGHT([1]!GetExtension(A31),LEN([1]!GetExtension(A31))-1)),"")</f>
        <v>CS</v>
      </c>
      <c r="F31" s="36">
        <f>[1]!dtmFileDateInfo(A31)</f>
        <v>0</v>
      </c>
      <c r="G31" s="37">
        <f>[1]!lngFileSize(A31)</f>
        <v>0</v>
      </c>
      <c r="H31" s="40" t="str">
        <f>[1]!GetFolder(A31)</f>
        <v>C:\Users\DAVE\Documents\Visual Studio 2013\Projects\WizardWrx_Libs\DLLServices2\DLLServices2TestStand</v>
      </c>
      <c r="I31" s="38" t="s">
        <v>168</v>
      </c>
    </row>
    <row r="32" spans="1:9" outlineLevel="2" x14ac:dyDescent="0.25">
      <c r="A32" s="33" t="s">
        <v>22</v>
      </c>
      <c r="B32" s="34">
        <v>1292</v>
      </c>
      <c r="C32" s="39" t="s">
        <v>207</v>
      </c>
      <c r="D32" s="34" t="str">
        <f>[1]!GetFile(A32)</f>
        <v>NewClassTests_20140914.cs</v>
      </c>
      <c r="E32" s="35" t="str">
        <f>IF(ISERROR(FIND("Count",$A32)),UPPER(RIGHT([1]!GetExtension(A32),LEN([1]!GetExtension(A32))-1)),"")</f>
        <v>CS</v>
      </c>
      <c r="F32" s="36">
        <f>[1]!dtmFileDateInfo(A32)</f>
        <v>0</v>
      </c>
      <c r="G32" s="37">
        <f>[1]!lngFileSize(A32)</f>
        <v>0</v>
      </c>
      <c r="H32" s="40" t="str">
        <f>[1]!GetFolder(A32)</f>
        <v>C:\Users\DAVE\Documents\Visual Studio 2013\Projects\WizardWrx_Libs\DLLServices2\DLLServices2TestStand</v>
      </c>
      <c r="I32" s="38" t="s">
        <v>168</v>
      </c>
    </row>
    <row r="33" spans="1:9" ht="30" outlineLevel="2" x14ac:dyDescent="0.25">
      <c r="A33" s="33" t="s">
        <v>22</v>
      </c>
      <c r="B33" s="34">
        <v>1295</v>
      </c>
      <c r="C33" s="39" t="s">
        <v>208</v>
      </c>
      <c r="D33" s="34" t="str">
        <f>[1]!GetFile(A33)</f>
        <v>NewClassTests_20140914.cs</v>
      </c>
      <c r="E33" s="35" t="str">
        <f>IF(ISERROR(FIND("Count",$A33)),UPPER(RIGHT([1]!GetExtension(A33),LEN([1]!GetExtension(A33))-1)),"")</f>
        <v>CS</v>
      </c>
      <c r="F33" s="36">
        <f>[1]!dtmFileDateInfo(A33)</f>
        <v>0</v>
      </c>
      <c r="G33" s="37">
        <f>[1]!lngFileSize(A33)</f>
        <v>0</v>
      </c>
      <c r="H33" s="40" t="str">
        <f>[1]!GetFolder(A33)</f>
        <v>C:\Users\DAVE\Documents\Visual Studio 2013\Projects\WizardWrx_Libs\DLLServices2\DLLServices2TestStand</v>
      </c>
      <c r="I33" s="38" t="s">
        <v>168</v>
      </c>
    </row>
    <row r="34" spans="1:9" outlineLevel="2" x14ac:dyDescent="0.25">
      <c r="A34" s="33" t="s">
        <v>22</v>
      </c>
      <c r="B34" s="34">
        <v>1296</v>
      </c>
      <c r="C34" s="39" t="s">
        <v>209</v>
      </c>
      <c r="D34" s="34" t="str">
        <f>[1]!GetFile(A34)</f>
        <v>NewClassTests_20140914.cs</v>
      </c>
      <c r="E34" s="35" t="str">
        <f>IF(ISERROR(FIND("Count",$A34)),UPPER(RIGHT([1]!GetExtension(A34),LEN([1]!GetExtension(A34))-1)),"")</f>
        <v>CS</v>
      </c>
      <c r="F34" s="36">
        <f>[1]!dtmFileDateInfo(A34)</f>
        <v>0</v>
      </c>
      <c r="G34" s="37">
        <f>[1]!lngFileSize(A34)</f>
        <v>0</v>
      </c>
      <c r="H34" s="40" t="str">
        <f>[1]!GetFolder(A34)</f>
        <v>C:\Users\DAVE\Documents\Visual Studio 2013\Projects\WizardWrx_Libs\DLLServices2\DLLServices2TestStand</v>
      </c>
      <c r="I34" s="38" t="s">
        <v>168</v>
      </c>
    </row>
    <row r="35" spans="1:9" ht="45" outlineLevel="2" x14ac:dyDescent="0.25">
      <c r="A35" s="33" t="s">
        <v>22</v>
      </c>
      <c r="B35" s="34">
        <v>1302</v>
      </c>
      <c r="C35" s="39" t="s">
        <v>210</v>
      </c>
      <c r="D35" s="34" t="str">
        <f>[1]!GetFile(A35)</f>
        <v>NewClassTests_20140914.cs</v>
      </c>
      <c r="E35" s="35" t="str">
        <f>IF(ISERROR(FIND("Count",$A35)),UPPER(RIGHT([1]!GetExtension(A35),LEN([1]!GetExtension(A35))-1)),"")</f>
        <v>CS</v>
      </c>
      <c r="F35" s="36">
        <f>[1]!dtmFileDateInfo(A35)</f>
        <v>0</v>
      </c>
      <c r="G35" s="37">
        <f>[1]!lngFileSize(A35)</f>
        <v>0</v>
      </c>
      <c r="H35" s="40" t="str">
        <f>[1]!GetFolder(A35)</f>
        <v>C:\Users\DAVE\Documents\Visual Studio 2013\Projects\WizardWrx_Libs\DLLServices2\DLLServices2TestStand</v>
      </c>
      <c r="I35" s="38" t="s">
        <v>168</v>
      </c>
    </row>
    <row r="36" spans="1:9" outlineLevel="1" x14ac:dyDescent="0.25">
      <c r="A36" s="41" t="s">
        <v>140</v>
      </c>
      <c r="B36" s="34"/>
      <c r="C36" s="39"/>
      <c r="D36" s="34"/>
      <c r="E36" s="35">
        <f>SUBTOTAL(3,E20:E35)</f>
        <v>16</v>
      </c>
      <c r="F36" s="36"/>
      <c r="G36" s="37"/>
      <c r="H36" s="40"/>
      <c r="I36" s="38"/>
    </row>
    <row r="37" spans="1:9" ht="30" outlineLevel="2" x14ac:dyDescent="0.25">
      <c r="A37" s="33" t="s">
        <v>211</v>
      </c>
      <c r="B37" s="34">
        <v>494</v>
      </c>
      <c r="C37" s="39" t="s">
        <v>212</v>
      </c>
      <c r="D37" s="34" t="str">
        <f>[1]!GetFile(A37)</f>
        <v>Program.cs</v>
      </c>
      <c r="E37" s="35" t="str">
        <f>IF(ISERROR(FIND("Count",$A37)),UPPER(RIGHT([1]!GetExtension(A37),LEN([1]!GetExtension(A37))-1)),"")</f>
        <v>CS</v>
      </c>
      <c r="F37" s="36">
        <f>[1]!dtmFileDateInfo(A37)</f>
        <v>0</v>
      </c>
      <c r="G37" s="37">
        <f>[1]!lngFileSize(A37)</f>
        <v>0</v>
      </c>
      <c r="H37" s="40" t="str">
        <f>[1]!GetFolder(A37)</f>
        <v>C:\Users\DAVE\Documents\Visual Studio 2013\Projects\WizardWrx_Libs\DLLServices2\DLLServices2TestStand</v>
      </c>
      <c r="I37" s="38" t="s">
        <v>168</v>
      </c>
    </row>
    <row r="38" spans="1:9" outlineLevel="1" x14ac:dyDescent="0.25">
      <c r="A38" s="41" t="s">
        <v>236</v>
      </c>
      <c r="B38" s="34"/>
      <c r="C38" s="39"/>
      <c r="D38" s="34"/>
      <c r="E38" s="35">
        <f>SUBTOTAL(3,E37:E37)</f>
        <v>1</v>
      </c>
      <c r="F38" s="36"/>
      <c r="G38" s="37"/>
      <c r="H38" s="40"/>
      <c r="I38" s="38"/>
    </row>
    <row r="39" spans="1:9" outlineLevel="2" x14ac:dyDescent="0.25">
      <c r="A39" s="33" t="s">
        <v>213</v>
      </c>
      <c r="B39" s="34">
        <v>8</v>
      </c>
      <c r="C39" s="39" t="s">
        <v>214</v>
      </c>
      <c r="D39" s="34" t="str">
        <f>[1]!GetFile(A39)</f>
        <v>CSVFileInfo.cs</v>
      </c>
      <c r="E39" s="35" t="str">
        <f>IF(ISERROR(FIND("Count",$A39)),UPPER(RIGHT([1]!GetExtension(A39),LEN([1]!GetExtension(A39))-1)),"")</f>
        <v>CS</v>
      </c>
      <c r="F39" s="36">
        <f>[1]!dtmFileDateInfo(A39)</f>
        <v>0</v>
      </c>
      <c r="G39" s="37">
        <f>[1]!lngFileSize(A39)</f>
        <v>0</v>
      </c>
      <c r="H39" s="40" t="str">
        <f>[1]!GetFolder(A39)</f>
        <v>C:\Users\DAVE\Documents\Visual Studio 2013\Projects\WizardWrx_Libs\DLLServices2\GPConstants</v>
      </c>
      <c r="I39" s="38" t="s">
        <v>169</v>
      </c>
    </row>
    <row r="40" spans="1:9" outlineLevel="2" x14ac:dyDescent="0.25">
      <c r="A40" s="33" t="s">
        <v>213</v>
      </c>
      <c r="B40" s="34">
        <v>86</v>
      </c>
      <c r="C40" s="39" t="s">
        <v>215</v>
      </c>
      <c r="D40" s="34" t="str">
        <f>[1]!GetFile(A40)</f>
        <v>CSVFileInfo.cs</v>
      </c>
      <c r="E40" s="35" t="str">
        <f>IF(ISERROR(FIND("Count",$A40)),UPPER(RIGHT([1]!GetExtension(A40),LEN([1]!GetExtension(A40))-1)),"")</f>
        <v>CS</v>
      </c>
      <c r="F40" s="36">
        <f>[1]!dtmFileDateInfo(A40)</f>
        <v>0</v>
      </c>
      <c r="G40" s="37">
        <f>[1]!lngFileSize(A40)</f>
        <v>0</v>
      </c>
      <c r="H40" s="40" t="str">
        <f>[1]!GetFolder(A40)</f>
        <v>C:\Users\DAVE\Documents\Visual Studio 2013\Projects\WizardWrx_Libs\DLLServices2\GPConstants</v>
      </c>
      <c r="I40" s="38" t="s">
        <v>169</v>
      </c>
    </row>
    <row r="41" spans="1:9" ht="30" outlineLevel="2" x14ac:dyDescent="0.25">
      <c r="A41" s="33" t="s">
        <v>213</v>
      </c>
      <c r="B41" s="34">
        <v>199</v>
      </c>
      <c r="C41" s="39" t="s">
        <v>216</v>
      </c>
      <c r="D41" s="34" t="str">
        <f>[1]!GetFile(A41)</f>
        <v>CSVFileInfo.cs</v>
      </c>
      <c r="E41" s="35" t="str">
        <f>IF(ISERROR(FIND("Count",$A41)),UPPER(RIGHT([1]!GetExtension(A41),LEN([1]!GetExtension(A41))-1)),"")</f>
        <v>CS</v>
      </c>
      <c r="F41" s="36">
        <f>[1]!dtmFileDateInfo(A41)</f>
        <v>0</v>
      </c>
      <c r="G41" s="37">
        <f>[1]!lngFileSize(A41)</f>
        <v>0</v>
      </c>
      <c r="H41" s="40" t="str">
        <f>[1]!GetFolder(A41)</f>
        <v>C:\Users\DAVE\Documents\Visual Studio 2013\Projects\WizardWrx_Libs\DLLServices2\GPConstants</v>
      </c>
      <c r="I41" s="38" t="s">
        <v>169</v>
      </c>
    </row>
    <row r="42" spans="1:9" outlineLevel="1" x14ac:dyDescent="0.25">
      <c r="A42" s="41" t="s">
        <v>237</v>
      </c>
      <c r="B42" s="34"/>
      <c r="C42" s="39"/>
      <c r="D42" s="34"/>
      <c r="E42" s="35">
        <f>SUBTOTAL(3,E39:E41)</f>
        <v>3</v>
      </c>
      <c r="F42" s="36"/>
      <c r="G42" s="37"/>
      <c r="H42" s="40"/>
      <c r="I42" s="38"/>
    </row>
    <row r="43" spans="1:9" ht="45" outlineLevel="2" x14ac:dyDescent="0.25">
      <c r="A43" s="33" t="s">
        <v>76</v>
      </c>
      <c r="B43" s="34">
        <v>545</v>
      </c>
      <c r="C43" s="39" t="s">
        <v>217</v>
      </c>
      <c r="D43" s="34" t="str">
        <f>[1]!GetFile(A43)</f>
        <v>ApplicationHelpers3_Program_20150606_223541.CS</v>
      </c>
      <c r="E43" s="35" t="str">
        <f>IF(ISERROR(FIND("Count",$A43)),UPPER(RIGHT([1]!GetExtension(A43),LEN([1]!GetExtension(A43))-1)),"")</f>
        <v>CS</v>
      </c>
      <c r="F43" s="36">
        <f>[1]!dtmFileDateInfo(A43)</f>
        <v>0</v>
      </c>
      <c r="G43" s="37">
        <f>[1]!lngFileSize(A43)</f>
        <v>0</v>
      </c>
      <c r="H43" s="40" t="str">
        <f>[1]!GetFolder(A43)</f>
        <v>C:\Users\DAVE\Documents\Visual Studio 2013\Projects\WizardWrx_Libs\DLLServices2\_NOTES</v>
      </c>
      <c r="I43" s="38" t="s">
        <v>167</v>
      </c>
    </row>
    <row r="44" spans="1:9" outlineLevel="1" x14ac:dyDescent="0.25">
      <c r="A44" s="41" t="s">
        <v>152</v>
      </c>
      <c r="B44" s="34"/>
      <c r="C44" s="39"/>
      <c r="D44" s="34"/>
      <c r="E44" s="35">
        <f>SUBTOTAL(3,E43:E43)</f>
        <v>1</v>
      </c>
      <c r="F44" s="36"/>
      <c r="G44" s="37"/>
      <c r="H44" s="40"/>
      <c r="I44" s="38"/>
    </row>
    <row r="45" spans="1:9" outlineLevel="2" x14ac:dyDescent="0.25">
      <c r="A45" s="33" t="s">
        <v>218</v>
      </c>
      <c r="B45" s="34">
        <v>8</v>
      </c>
      <c r="C45" s="39" t="s">
        <v>214</v>
      </c>
      <c r="D45" s="34" t="str">
        <f>[1]!GetFile(A45)</f>
        <v>CSVFileInfo.cs</v>
      </c>
      <c r="E45" s="35" t="str">
        <f>IF(ISERROR(FIND("Count",$A45)),UPPER(RIGHT([1]!GetExtension(A45),LEN([1]!GetExtension(A45))-1)),"")</f>
        <v>CS</v>
      </c>
      <c r="F45" s="36">
        <f>[1]!dtmFileDateInfo(A45)</f>
        <v>41899.92523148148</v>
      </c>
      <c r="G45" s="37">
        <f>[1]!lngFileSize(A45)</f>
        <v>3135</v>
      </c>
      <c r="H45" s="40" t="str">
        <f>[1]!GetFolder(A45)</f>
        <v>C:\Users\DAVE\Documents\Visual Studio 2013\Projects\WizardWrx_Libs\_Deprecated_Libraries\ApplicationHelpers2\ApplicationHelpers2</v>
      </c>
      <c r="I45" s="38" t="s">
        <v>167</v>
      </c>
    </row>
    <row r="46" spans="1:9" outlineLevel="2" x14ac:dyDescent="0.25">
      <c r="A46" s="33" t="s">
        <v>218</v>
      </c>
      <c r="B46" s="34">
        <v>49</v>
      </c>
      <c r="C46" s="39" t="s">
        <v>215</v>
      </c>
      <c r="D46" s="34" t="str">
        <f>[1]!GetFile(A46)</f>
        <v>CSVFileInfo.cs</v>
      </c>
      <c r="E46" s="35" t="str">
        <f>IF(ISERROR(FIND("Count",$A46)),UPPER(RIGHT([1]!GetExtension(A46),LEN([1]!GetExtension(A46))-1)),"")</f>
        <v>CS</v>
      </c>
      <c r="F46" s="36">
        <f>[1]!dtmFileDateInfo(A46)</f>
        <v>41899.92523148148</v>
      </c>
      <c r="G46" s="37">
        <f>[1]!lngFileSize(A46)</f>
        <v>3135</v>
      </c>
      <c r="H46" s="40" t="str">
        <f>[1]!GetFolder(A46)</f>
        <v>C:\Users\DAVE\Documents\Visual Studio 2013\Projects\WizardWrx_Libs\_Deprecated_Libraries\ApplicationHelpers2\ApplicationHelpers2</v>
      </c>
      <c r="I46" s="38" t="s">
        <v>167</v>
      </c>
    </row>
    <row r="47" spans="1:9" ht="45" outlineLevel="2" x14ac:dyDescent="0.25">
      <c r="A47" s="33" t="s">
        <v>218</v>
      </c>
      <c r="B47" s="34">
        <v>78</v>
      </c>
      <c r="C47" s="39" t="s">
        <v>219</v>
      </c>
      <c r="D47" s="34" t="str">
        <f>[1]!GetFile(A47)</f>
        <v>CSVFileInfo.cs</v>
      </c>
      <c r="E47" s="35" t="str">
        <f>IF(ISERROR(FIND("Count",$A47)),UPPER(RIGHT([1]!GetExtension(A47),LEN([1]!GetExtension(A47))-1)),"")</f>
        <v>CS</v>
      </c>
      <c r="F47" s="36">
        <f>[1]!dtmFileDateInfo(A47)</f>
        <v>41899.92523148148</v>
      </c>
      <c r="G47" s="37">
        <f>[1]!lngFileSize(A47)</f>
        <v>3135</v>
      </c>
      <c r="H47" s="40" t="str">
        <f>[1]!GetFolder(A47)</f>
        <v>C:\Users\DAVE\Documents\Visual Studio 2013\Projects\WizardWrx_Libs\_Deprecated_Libraries\ApplicationHelpers2\ApplicationHelpers2</v>
      </c>
      <c r="I47" s="38" t="s">
        <v>167</v>
      </c>
    </row>
    <row r="48" spans="1:9" outlineLevel="1" x14ac:dyDescent="0.25">
      <c r="A48" s="41" t="s">
        <v>238</v>
      </c>
      <c r="B48" s="34"/>
      <c r="C48" s="39"/>
      <c r="D48" s="34"/>
      <c r="E48" s="35">
        <f>SUBTOTAL(3,E45:E47)</f>
        <v>3</v>
      </c>
      <c r="F48" s="36"/>
      <c r="G48" s="37"/>
      <c r="H48" s="40"/>
      <c r="I48" s="38"/>
    </row>
    <row r="49" spans="1:9" outlineLevel="2" x14ac:dyDescent="0.25">
      <c r="A49" s="33" t="s">
        <v>220</v>
      </c>
      <c r="B49" s="34">
        <v>675</v>
      </c>
      <c r="C49" s="39" t="s">
        <v>184</v>
      </c>
      <c r="D49" s="34" t="str">
        <f>[1]!GetFile(A49)</f>
        <v>Util.cs</v>
      </c>
      <c r="E49" s="35" t="str">
        <f>IF(ISERROR(FIND("Count",$A49)),UPPER(RIGHT([1]!GetExtension(A49),LEN([1]!GetExtension(A49))-1)),"")</f>
        <v>CS</v>
      </c>
      <c r="F49" s="36">
        <f>[1]!dtmFileDateInfo(A49)</f>
        <v>42161.924421296295</v>
      </c>
      <c r="G49" s="37">
        <f>[1]!lngFileSize(A49)</f>
        <v>44337</v>
      </c>
      <c r="H49" s="40" t="str">
        <f>[1]!GetFolder(A49)</f>
        <v>C:\Users\DAVE\Documents\Visual Studio 2013\Projects\WizardWrx_Libs\_Deprecated_Libraries\ApplicationHelpers2\ApplicationHelpers2</v>
      </c>
      <c r="I49" s="38" t="s">
        <v>167</v>
      </c>
    </row>
    <row r="50" spans="1:9" outlineLevel="2" x14ac:dyDescent="0.25">
      <c r="A50" s="33" t="s">
        <v>220</v>
      </c>
      <c r="B50" s="34">
        <v>681</v>
      </c>
      <c r="C50" s="39" t="s">
        <v>221</v>
      </c>
      <c r="D50" s="34" t="str">
        <f>[1]!GetFile(A50)</f>
        <v>Util.cs</v>
      </c>
      <c r="E50" s="35" t="str">
        <f>IF(ISERROR(FIND("Count",$A50)),UPPER(RIGHT([1]!GetExtension(A50),LEN([1]!GetExtension(A50))-1)),"")</f>
        <v>CS</v>
      </c>
      <c r="F50" s="36">
        <f>[1]!dtmFileDateInfo(A50)</f>
        <v>42161.924421296295</v>
      </c>
      <c r="G50" s="37">
        <f>[1]!lngFileSize(A50)</f>
        <v>44337</v>
      </c>
      <c r="H50" s="40" t="str">
        <f>[1]!GetFolder(A50)</f>
        <v>C:\Users\DAVE\Documents\Visual Studio 2013\Projects\WizardWrx_Libs\_Deprecated_Libraries\ApplicationHelpers2\ApplicationHelpers2</v>
      </c>
      <c r="I50" s="38" t="s">
        <v>167</v>
      </c>
    </row>
    <row r="51" spans="1:9" ht="30" outlineLevel="2" x14ac:dyDescent="0.25">
      <c r="A51" s="33" t="s">
        <v>220</v>
      </c>
      <c r="B51" s="34">
        <v>726</v>
      </c>
      <c r="C51" s="39" t="s">
        <v>186</v>
      </c>
      <c r="D51" s="34" t="str">
        <f>[1]!GetFile(A51)</f>
        <v>Util.cs</v>
      </c>
      <c r="E51" s="35" t="str">
        <f>IF(ISERROR(FIND("Count",$A51)),UPPER(RIGHT([1]!GetExtension(A51),LEN([1]!GetExtension(A51))-1)),"")</f>
        <v>CS</v>
      </c>
      <c r="F51" s="36">
        <f>[1]!dtmFileDateInfo(A51)</f>
        <v>42161.924421296295</v>
      </c>
      <c r="G51" s="37">
        <f>[1]!lngFileSize(A51)</f>
        <v>44337</v>
      </c>
      <c r="H51" s="40" t="str">
        <f>[1]!GetFolder(A51)</f>
        <v>C:\Users\DAVE\Documents\Visual Studio 2013\Projects\WizardWrx_Libs\_Deprecated_Libraries\ApplicationHelpers2\ApplicationHelpers2</v>
      </c>
      <c r="I51" s="38" t="s">
        <v>167</v>
      </c>
    </row>
    <row r="52" spans="1:9" ht="30" outlineLevel="2" x14ac:dyDescent="0.25">
      <c r="A52" s="33" t="s">
        <v>220</v>
      </c>
      <c r="B52" s="34">
        <v>734</v>
      </c>
      <c r="C52" s="39" t="s">
        <v>187</v>
      </c>
      <c r="D52" s="34" t="str">
        <f>[1]!GetFile(A52)</f>
        <v>Util.cs</v>
      </c>
      <c r="E52" s="35" t="str">
        <f>IF(ISERROR(FIND("Count",$A52)),UPPER(RIGHT([1]!GetExtension(A52),LEN([1]!GetExtension(A52))-1)),"")</f>
        <v>CS</v>
      </c>
      <c r="F52" s="36">
        <f>[1]!dtmFileDateInfo(A52)</f>
        <v>42161.924421296295</v>
      </c>
      <c r="G52" s="37">
        <f>[1]!lngFileSize(A52)</f>
        <v>44337</v>
      </c>
      <c r="H52" s="40" t="str">
        <f>[1]!GetFolder(A52)</f>
        <v>C:\Users\DAVE\Documents\Visual Studio 2013\Projects\WizardWrx_Libs\_Deprecated_Libraries\ApplicationHelpers2\ApplicationHelpers2</v>
      </c>
      <c r="I52" s="38" t="s">
        <v>167</v>
      </c>
    </row>
    <row r="53" spans="1:9" ht="30" outlineLevel="2" x14ac:dyDescent="0.25">
      <c r="A53" s="33" t="s">
        <v>220</v>
      </c>
      <c r="B53" s="34">
        <v>743</v>
      </c>
      <c r="C53" s="39" t="s">
        <v>222</v>
      </c>
      <c r="D53" s="34" t="str">
        <f>[1]!GetFile(A53)</f>
        <v>Util.cs</v>
      </c>
      <c r="E53" s="35" t="str">
        <f>IF(ISERROR(FIND("Count",$A53)),UPPER(RIGHT([1]!GetExtension(A53),LEN([1]!GetExtension(A53))-1)),"")</f>
        <v>CS</v>
      </c>
      <c r="F53" s="36">
        <f>[1]!dtmFileDateInfo(A53)</f>
        <v>42161.924421296295</v>
      </c>
      <c r="G53" s="37">
        <f>[1]!lngFileSize(A53)</f>
        <v>44337</v>
      </c>
      <c r="H53" s="40" t="str">
        <f>[1]!GetFolder(A53)</f>
        <v>C:\Users\DAVE\Documents\Visual Studio 2013\Projects\WizardWrx_Libs\_Deprecated_Libraries\ApplicationHelpers2\ApplicationHelpers2</v>
      </c>
      <c r="I53" s="38" t="s">
        <v>167</v>
      </c>
    </row>
    <row r="54" spans="1:9" ht="60" outlineLevel="2" x14ac:dyDescent="0.25">
      <c r="A54" s="33" t="s">
        <v>220</v>
      </c>
      <c r="B54" s="34">
        <v>748</v>
      </c>
      <c r="C54" s="39" t="s">
        <v>223</v>
      </c>
      <c r="D54" s="34" t="str">
        <f>[1]!GetFile(A54)</f>
        <v>Util.cs</v>
      </c>
      <c r="E54" s="35" t="str">
        <f>IF(ISERROR(FIND("Count",$A54)),UPPER(RIGHT([1]!GetExtension(A54),LEN([1]!GetExtension(A54))-1)),"")</f>
        <v>CS</v>
      </c>
      <c r="F54" s="36">
        <f>[1]!dtmFileDateInfo(A54)</f>
        <v>42161.924421296295</v>
      </c>
      <c r="G54" s="37">
        <f>[1]!lngFileSize(A54)</f>
        <v>44337</v>
      </c>
      <c r="H54" s="40" t="str">
        <f>[1]!GetFolder(A54)</f>
        <v>C:\Users\DAVE\Documents\Visual Studio 2013\Projects\WizardWrx_Libs\_Deprecated_Libraries\ApplicationHelpers2\ApplicationHelpers2</v>
      </c>
      <c r="I54" s="38" t="s">
        <v>167</v>
      </c>
    </row>
    <row r="55" spans="1:9" outlineLevel="1" x14ac:dyDescent="0.25">
      <c r="A55" s="41" t="s">
        <v>239</v>
      </c>
      <c r="B55" s="34"/>
      <c r="C55" s="39"/>
      <c r="D55" s="34"/>
      <c r="E55" s="35">
        <f>SUBTOTAL(3,E49:E54)</f>
        <v>6</v>
      </c>
      <c r="F55" s="36"/>
      <c r="G55" s="37"/>
      <c r="H55" s="40"/>
      <c r="I55" s="38"/>
    </row>
    <row r="56" spans="1:9" ht="30" outlineLevel="2" x14ac:dyDescent="0.25">
      <c r="A56" s="33" t="s">
        <v>125</v>
      </c>
      <c r="B56" s="34">
        <v>90</v>
      </c>
      <c r="C56" s="39" t="s">
        <v>224</v>
      </c>
      <c r="D56" s="34" t="str">
        <f>[1]!GetFile(A56)</f>
        <v>NewClassTests_20140914.cs</v>
      </c>
      <c r="E56" s="35" t="str">
        <f>IF(ISERROR(FIND("Count",$A56)),UPPER(RIGHT([1]!GetExtension(A56),LEN([1]!GetExtension(A56))-1)),"")</f>
        <v>CS</v>
      </c>
      <c r="F56" s="36">
        <f>[1]!dtmFileDateInfo(A56)</f>
        <v>41908.083703703705</v>
      </c>
      <c r="G56" s="37">
        <f>[1]!lngFileSize(A56)</f>
        <v>37955</v>
      </c>
      <c r="H56" s="40" t="str">
        <f>[1]!GetFolder(A56)</f>
        <v>C:\Users\DAVE\Documents\Visual Studio 2013\Projects\WizardWrx_Libs\_Deprecated_Libraries\ApplicationHelpers2\ApplicationHelpers2TestHarness\ApplicationHelpers2TestHarness</v>
      </c>
      <c r="I56" s="38" t="s">
        <v>167</v>
      </c>
    </row>
    <row r="57" spans="1:9" ht="30" outlineLevel="2" x14ac:dyDescent="0.25">
      <c r="A57" s="33" t="s">
        <v>125</v>
      </c>
      <c r="B57" s="34">
        <v>91</v>
      </c>
      <c r="C57" s="39" t="s">
        <v>225</v>
      </c>
      <c r="D57" s="34" t="str">
        <f>[1]!GetFile(A57)</f>
        <v>NewClassTests_20140914.cs</v>
      </c>
      <c r="E57" s="35" t="str">
        <f>IF(ISERROR(FIND("Count",$A57)),UPPER(RIGHT([1]!GetExtension(A57),LEN([1]!GetExtension(A57))-1)),"")</f>
        <v>CS</v>
      </c>
      <c r="F57" s="36">
        <f>[1]!dtmFileDateInfo(A57)</f>
        <v>41908.083703703705</v>
      </c>
      <c r="G57" s="37">
        <f>[1]!lngFileSize(A57)</f>
        <v>37955</v>
      </c>
      <c r="H57" s="40" t="str">
        <f>[1]!GetFolder(A57)</f>
        <v>C:\Users\DAVE\Documents\Visual Studio 2013\Projects\WizardWrx_Libs\_Deprecated_Libraries\ApplicationHelpers2\ApplicationHelpers2TestHarness\ApplicationHelpers2TestHarness</v>
      </c>
      <c r="I57" s="38" t="s">
        <v>167</v>
      </c>
    </row>
    <row r="58" spans="1:9" ht="30" outlineLevel="2" x14ac:dyDescent="0.25">
      <c r="A58" s="33" t="s">
        <v>125</v>
      </c>
      <c r="B58" s="34">
        <v>92</v>
      </c>
      <c r="C58" s="39" t="s">
        <v>226</v>
      </c>
      <c r="D58" s="34" t="str">
        <f>[1]!GetFile(A58)</f>
        <v>NewClassTests_20140914.cs</v>
      </c>
      <c r="E58" s="35" t="str">
        <f>IF(ISERROR(FIND("Count",$A58)),UPPER(RIGHT([1]!GetExtension(A58),LEN([1]!GetExtension(A58))-1)),"")</f>
        <v>CS</v>
      </c>
      <c r="F58" s="36">
        <f>[1]!dtmFileDateInfo(A58)</f>
        <v>41908.083703703705</v>
      </c>
      <c r="G58" s="37">
        <f>[1]!lngFileSize(A58)</f>
        <v>37955</v>
      </c>
      <c r="H58" s="40" t="str">
        <f>[1]!GetFolder(A58)</f>
        <v>C:\Users\DAVE\Documents\Visual Studio 2013\Projects\WizardWrx_Libs\_Deprecated_Libraries\ApplicationHelpers2\ApplicationHelpers2TestHarness\ApplicationHelpers2TestHarness</v>
      </c>
      <c r="I58" s="38" t="s">
        <v>167</v>
      </c>
    </row>
    <row r="59" spans="1:9" ht="30" outlineLevel="2" x14ac:dyDescent="0.25">
      <c r="A59" s="33" t="s">
        <v>125</v>
      </c>
      <c r="B59" s="34">
        <v>95</v>
      </c>
      <c r="C59" s="39" t="s">
        <v>227</v>
      </c>
      <c r="D59" s="34" t="str">
        <f>[1]!GetFile(A59)</f>
        <v>NewClassTests_20140914.cs</v>
      </c>
      <c r="E59" s="35" t="str">
        <f>IF(ISERROR(FIND("Count",$A59)),UPPER(RIGHT([1]!GetExtension(A59),LEN([1]!GetExtension(A59))-1)),"")</f>
        <v>CS</v>
      </c>
      <c r="F59" s="36">
        <f>[1]!dtmFileDateInfo(A59)</f>
        <v>41908.083703703705</v>
      </c>
      <c r="G59" s="37">
        <f>[1]!lngFileSize(A59)</f>
        <v>37955</v>
      </c>
      <c r="H59" s="40" t="str">
        <f>[1]!GetFolder(A59)</f>
        <v>C:\Users\DAVE\Documents\Visual Studio 2013\Projects\WizardWrx_Libs\_Deprecated_Libraries\ApplicationHelpers2\ApplicationHelpers2TestHarness\ApplicationHelpers2TestHarness</v>
      </c>
      <c r="I59" s="38" t="s">
        <v>167</v>
      </c>
    </row>
    <row r="60" spans="1:9" outlineLevel="2" x14ac:dyDescent="0.25">
      <c r="A60" s="33" t="s">
        <v>125</v>
      </c>
      <c r="B60" s="34">
        <v>100</v>
      </c>
      <c r="C60" s="39" t="s">
        <v>200</v>
      </c>
      <c r="D60" s="34" t="str">
        <f>[1]!GetFile(A60)</f>
        <v>NewClassTests_20140914.cs</v>
      </c>
      <c r="E60" s="35" t="str">
        <f>IF(ISERROR(FIND("Count",$A60)),UPPER(RIGHT([1]!GetExtension(A60),LEN([1]!GetExtension(A60))-1)),"")</f>
        <v>CS</v>
      </c>
      <c r="F60" s="36">
        <f>[1]!dtmFileDateInfo(A60)</f>
        <v>41908.083703703705</v>
      </c>
      <c r="G60" s="37">
        <f>[1]!lngFileSize(A60)</f>
        <v>37955</v>
      </c>
      <c r="H60" s="40" t="str">
        <f>[1]!GetFolder(A60)</f>
        <v>C:\Users\DAVE\Documents\Visual Studio 2013\Projects\WizardWrx_Libs\_Deprecated_Libraries\ApplicationHelpers2\ApplicationHelpers2TestHarness\ApplicationHelpers2TestHarness</v>
      </c>
      <c r="I60" s="38" t="s">
        <v>167</v>
      </c>
    </row>
    <row r="61" spans="1:9" outlineLevel="2" x14ac:dyDescent="0.25">
      <c r="A61" s="33" t="s">
        <v>125</v>
      </c>
      <c r="B61" s="34">
        <v>488</v>
      </c>
      <c r="C61" s="39" t="s">
        <v>201</v>
      </c>
      <c r="D61" s="34" t="str">
        <f>[1]!GetFile(A61)</f>
        <v>NewClassTests_20140914.cs</v>
      </c>
      <c r="E61" s="35" t="str">
        <f>IF(ISERROR(FIND("Count",$A61)),UPPER(RIGHT([1]!GetExtension(A61),LEN([1]!GetExtension(A61))-1)),"")</f>
        <v>CS</v>
      </c>
      <c r="F61" s="36">
        <f>[1]!dtmFileDateInfo(A61)</f>
        <v>41908.083703703705</v>
      </c>
      <c r="G61" s="37">
        <f>[1]!lngFileSize(A61)</f>
        <v>37955</v>
      </c>
      <c r="H61" s="40" t="str">
        <f>[1]!GetFolder(A61)</f>
        <v>C:\Users\DAVE\Documents\Visual Studio 2013\Projects\WizardWrx_Libs\_Deprecated_Libraries\ApplicationHelpers2\ApplicationHelpers2TestHarness\ApplicationHelpers2TestHarness</v>
      </c>
      <c r="I61" s="38" t="s">
        <v>167</v>
      </c>
    </row>
    <row r="62" spans="1:9" outlineLevel="2" x14ac:dyDescent="0.25">
      <c r="A62" s="33" t="s">
        <v>125</v>
      </c>
      <c r="B62" s="34">
        <v>490</v>
      </c>
      <c r="C62" s="39" t="s">
        <v>202</v>
      </c>
      <c r="D62" s="34" t="str">
        <f>[1]!GetFile(A62)</f>
        <v>NewClassTests_20140914.cs</v>
      </c>
      <c r="E62" s="35" t="str">
        <f>IF(ISERROR(FIND("Count",$A62)),UPPER(RIGHT([1]!GetExtension(A62),LEN([1]!GetExtension(A62))-1)),"")</f>
        <v>CS</v>
      </c>
      <c r="F62" s="36">
        <f>[1]!dtmFileDateInfo(A62)</f>
        <v>41908.083703703705</v>
      </c>
      <c r="G62" s="37">
        <f>[1]!lngFileSize(A62)</f>
        <v>37955</v>
      </c>
      <c r="H62" s="40" t="str">
        <f>[1]!GetFolder(A62)</f>
        <v>C:\Users\DAVE\Documents\Visual Studio 2013\Projects\WizardWrx_Libs\_Deprecated_Libraries\ApplicationHelpers2\ApplicationHelpers2TestHarness\ApplicationHelpers2TestHarness</v>
      </c>
      <c r="I62" s="38" t="s">
        <v>167</v>
      </c>
    </row>
    <row r="63" spans="1:9" outlineLevel="2" x14ac:dyDescent="0.25">
      <c r="A63" s="33" t="s">
        <v>125</v>
      </c>
      <c r="B63" s="34">
        <v>492</v>
      </c>
      <c r="C63" s="39" t="s">
        <v>203</v>
      </c>
      <c r="D63" s="34" t="str">
        <f>[1]!GetFile(A63)</f>
        <v>NewClassTests_20140914.cs</v>
      </c>
      <c r="E63" s="35" t="str">
        <f>IF(ISERROR(FIND("Count",$A63)),UPPER(RIGHT([1]!GetExtension(A63),LEN([1]!GetExtension(A63))-1)),"")</f>
        <v>CS</v>
      </c>
      <c r="F63" s="36">
        <f>[1]!dtmFileDateInfo(A63)</f>
        <v>41908.083703703705</v>
      </c>
      <c r="G63" s="37">
        <f>[1]!lngFileSize(A63)</f>
        <v>37955</v>
      </c>
      <c r="H63" s="40" t="str">
        <f>[1]!GetFolder(A63)</f>
        <v>C:\Users\DAVE\Documents\Visual Studio 2013\Projects\WizardWrx_Libs\_Deprecated_Libraries\ApplicationHelpers2\ApplicationHelpers2TestHarness\ApplicationHelpers2TestHarness</v>
      </c>
      <c r="I63" s="38" t="s">
        <v>167</v>
      </c>
    </row>
    <row r="64" spans="1:9" outlineLevel="2" x14ac:dyDescent="0.25">
      <c r="A64" s="33" t="s">
        <v>125</v>
      </c>
      <c r="B64" s="34">
        <v>496</v>
      </c>
      <c r="C64" s="39" t="s">
        <v>204</v>
      </c>
      <c r="D64" s="34" t="str">
        <f>[1]!GetFile(A64)</f>
        <v>NewClassTests_20140914.cs</v>
      </c>
      <c r="E64" s="35" t="str">
        <f>IF(ISERROR(FIND("Count",$A64)),UPPER(RIGHT([1]!GetExtension(A64),LEN([1]!GetExtension(A64))-1)),"")</f>
        <v>CS</v>
      </c>
      <c r="F64" s="36">
        <f>[1]!dtmFileDateInfo(A64)</f>
        <v>41908.083703703705</v>
      </c>
      <c r="G64" s="37">
        <f>[1]!lngFileSize(A64)</f>
        <v>37955</v>
      </c>
      <c r="H64" s="40" t="str">
        <f>[1]!GetFolder(A64)</f>
        <v>C:\Users\DAVE\Documents\Visual Studio 2013\Projects\WizardWrx_Libs\_Deprecated_Libraries\ApplicationHelpers2\ApplicationHelpers2TestHarness\ApplicationHelpers2TestHarness</v>
      </c>
      <c r="I64" s="38" t="s">
        <v>167</v>
      </c>
    </row>
    <row r="65" spans="1:9" ht="30" outlineLevel="2" x14ac:dyDescent="0.25">
      <c r="A65" s="33" t="s">
        <v>125</v>
      </c>
      <c r="B65" s="34">
        <v>537</v>
      </c>
      <c r="C65" s="39" t="s">
        <v>205</v>
      </c>
      <c r="D65" s="34" t="str">
        <f>[1]!GetFile(A65)</f>
        <v>NewClassTests_20140914.cs</v>
      </c>
      <c r="E65" s="35" t="str">
        <f>IF(ISERROR(FIND("Count",$A65)),UPPER(RIGHT([1]!GetExtension(A65),LEN([1]!GetExtension(A65))-1)),"")</f>
        <v>CS</v>
      </c>
      <c r="F65" s="36">
        <f>[1]!dtmFileDateInfo(A65)</f>
        <v>41908.083703703705</v>
      </c>
      <c r="G65" s="37">
        <f>[1]!lngFileSize(A65)</f>
        <v>37955</v>
      </c>
      <c r="H65" s="40" t="str">
        <f>[1]!GetFolder(A65)</f>
        <v>C:\Users\DAVE\Documents\Visual Studio 2013\Projects\WizardWrx_Libs\_Deprecated_Libraries\ApplicationHelpers2\ApplicationHelpers2TestHarness\ApplicationHelpers2TestHarness</v>
      </c>
      <c r="I65" s="38" t="s">
        <v>167</v>
      </c>
    </row>
    <row r="66" spans="1:9" ht="30" outlineLevel="2" x14ac:dyDescent="0.25">
      <c r="A66" s="33" t="s">
        <v>125</v>
      </c>
      <c r="B66" s="34">
        <v>538</v>
      </c>
      <c r="C66" s="39" t="s">
        <v>206</v>
      </c>
      <c r="D66" s="34" t="str">
        <f>[1]!GetFile(A66)</f>
        <v>NewClassTests_20140914.cs</v>
      </c>
      <c r="E66" s="35" t="str">
        <f>IF(ISERROR(FIND("Count",$A66)),UPPER(RIGHT([1]!GetExtension(A66),LEN([1]!GetExtension(A66))-1)),"")</f>
        <v>CS</v>
      </c>
      <c r="F66" s="36">
        <f>[1]!dtmFileDateInfo(A66)</f>
        <v>41908.083703703705</v>
      </c>
      <c r="G66" s="37">
        <f>[1]!lngFileSize(A66)</f>
        <v>37955</v>
      </c>
      <c r="H66" s="40" t="str">
        <f>[1]!GetFolder(A66)</f>
        <v>C:\Users\DAVE\Documents\Visual Studio 2013\Projects\WizardWrx_Libs\_Deprecated_Libraries\ApplicationHelpers2\ApplicationHelpers2TestHarness\ApplicationHelpers2TestHarness</v>
      </c>
      <c r="I66" s="38" t="s">
        <v>167</v>
      </c>
    </row>
    <row r="67" spans="1:9" outlineLevel="2" x14ac:dyDescent="0.25">
      <c r="A67" s="33" t="s">
        <v>125</v>
      </c>
      <c r="B67" s="34">
        <v>543</v>
      </c>
      <c r="C67" s="39" t="s">
        <v>207</v>
      </c>
      <c r="D67" s="34" t="str">
        <f>[1]!GetFile(A67)</f>
        <v>NewClassTests_20140914.cs</v>
      </c>
      <c r="E67" s="35" t="str">
        <f>IF(ISERROR(FIND("Count",$A67)),UPPER(RIGHT([1]!GetExtension(A67),LEN([1]!GetExtension(A67))-1)),"")</f>
        <v>CS</v>
      </c>
      <c r="F67" s="36">
        <f>[1]!dtmFileDateInfo(A67)</f>
        <v>41908.083703703705</v>
      </c>
      <c r="G67" s="37">
        <f>[1]!lngFileSize(A67)</f>
        <v>37955</v>
      </c>
      <c r="H67" s="40" t="str">
        <f>[1]!GetFolder(A67)</f>
        <v>C:\Users\DAVE\Documents\Visual Studio 2013\Projects\WizardWrx_Libs\_Deprecated_Libraries\ApplicationHelpers2\ApplicationHelpers2TestHarness\ApplicationHelpers2TestHarness</v>
      </c>
      <c r="I67" s="38" t="s">
        <v>167</v>
      </c>
    </row>
    <row r="68" spans="1:9" ht="30" outlineLevel="2" x14ac:dyDescent="0.25">
      <c r="A68" s="33" t="s">
        <v>125</v>
      </c>
      <c r="B68" s="34">
        <v>546</v>
      </c>
      <c r="C68" s="39" t="s">
        <v>208</v>
      </c>
      <c r="D68" s="34" t="str">
        <f>[1]!GetFile(A68)</f>
        <v>NewClassTests_20140914.cs</v>
      </c>
      <c r="E68" s="35" t="str">
        <f>IF(ISERROR(FIND("Count",$A68)),UPPER(RIGHT([1]!GetExtension(A68),LEN([1]!GetExtension(A68))-1)),"")</f>
        <v>CS</v>
      </c>
      <c r="F68" s="36">
        <f>[1]!dtmFileDateInfo(A68)</f>
        <v>41908.083703703705</v>
      </c>
      <c r="G68" s="37">
        <f>[1]!lngFileSize(A68)</f>
        <v>37955</v>
      </c>
      <c r="H68" s="40" t="str">
        <f>[1]!GetFolder(A68)</f>
        <v>C:\Users\DAVE\Documents\Visual Studio 2013\Projects\WizardWrx_Libs\_Deprecated_Libraries\ApplicationHelpers2\ApplicationHelpers2TestHarness\ApplicationHelpers2TestHarness</v>
      </c>
      <c r="I68" s="38" t="s">
        <v>167</v>
      </c>
    </row>
    <row r="69" spans="1:9" outlineLevel="2" x14ac:dyDescent="0.25">
      <c r="A69" s="33" t="s">
        <v>125</v>
      </c>
      <c r="B69" s="34">
        <v>547</v>
      </c>
      <c r="C69" s="39" t="s">
        <v>209</v>
      </c>
      <c r="D69" s="34" t="str">
        <f>[1]!GetFile(A69)</f>
        <v>NewClassTests_20140914.cs</v>
      </c>
      <c r="E69" s="35" t="str">
        <f>IF(ISERROR(FIND("Count",$A69)),UPPER(RIGHT([1]!GetExtension(A69),LEN([1]!GetExtension(A69))-1)),"")</f>
        <v>CS</v>
      </c>
      <c r="F69" s="36">
        <f>[1]!dtmFileDateInfo(A69)</f>
        <v>41908.083703703705</v>
      </c>
      <c r="G69" s="37">
        <f>[1]!lngFileSize(A69)</f>
        <v>37955</v>
      </c>
      <c r="H69" s="40" t="str">
        <f>[1]!GetFolder(A69)</f>
        <v>C:\Users\DAVE\Documents\Visual Studio 2013\Projects\WizardWrx_Libs\_Deprecated_Libraries\ApplicationHelpers2\ApplicationHelpers2TestHarness\ApplicationHelpers2TestHarness</v>
      </c>
      <c r="I69" s="38" t="s">
        <v>167</v>
      </c>
    </row>
    <row r="70" spans="1:9" ht="60" outlineLevel="2" x14ac:dyDescent="0.25">
      <c r="A70" s="33" t="s">
        <v>125</v>
      </c>
      <c r="B70" s="34">
        <v>553</v>
      </c>
      <c r="C70" s="39" t="s">
        <v>228</v>
      </c>
      <c r="D70" s="34" t="str">
        <f>[1]!GetFile(A70)</f>
        <v>NewClassTests_20140914.cs</v>
      </c>
      <c r="E70" s="35" t="str">
        <f>IF(ISERROR(FIND("Count",$A70)),UPPER(RIGHT([1]!GetExtension(A70),LEN([1]!GetExtension(A70))-1)),"")</f>
        <v>CS</v>
      </c>
      <c r="F70" s="36">
        <f>[1]!dtmFileDateInfo(A70)</f>
        <v>41908.083703703705</v>
      </c>
      <c r="G70" s="37">
        <f>[1]!lngFileSize(A70)</f>
        <v>37955</v>
      </c>
      <c r="H70" s="40" t="str">
        <f>[1]!GetFolder(A70)</f>
        <v>C:\Users\DAVE\Documents\Visual Studio 2013\Projects\WizardWrx_Libs\_Deprecated_Libraries\ApplicationHelpers2\ApplicationHelpers2TestHarness\ApplicationHelpers2TestHarness</v>
      </c>
      <c r="I70" s="38" t="s">
        <v>167</v>
      </c>
    </row>
    <row r="71" spans="1:9" outlineLevel="1" x14ac:dyDescent="0.25">
      <c r="A71" s="41" t="s">
        <v>161</v>
      </c>
      <c r="B71" s="34"/>
      <c r="C71" s="39"/>
      <c r="D71" s="34"/>
      <c r="E71" s="35">
        <f>SUBTOTAL(3,E56:E70)</f>
        <v>15</v>
      </c>
      <c r="F71" s="36"/>
      <c r="G71" s="37"/>
      <c r="H71" s="40"/>
      <c r="I71" s="38"/>
    </row>
    <row r="72" spans="1:9" ht="45" outlineLevel="2" x14ac:dyDescent="0.25">
      <c r="A72" s="33" t="s">
        <v>127</v>
      </c>
      <c r="B72" s="34">
        <v>557</v>
      </c>
      <c r="C72" s="39" t="s">
        <v>229</v>
      </c>
      <c r="D72" s="34" t="str">
        <f>[1]!GetFile(A72)</f>
        <v>Program.cs</v>
      </c>
      <c r="E72" s="35" t="str">
        <f>IF(ISERROR(FIND("Count",$A72)),UPPER(RIGHT([1]!GetExtension(A72),LEN([1]!GetExtension(A72))-1)),"")</f>
        <v>CS</v>
      </c>
      <c r="F72" s="36">
        <f>[1]!dtmFileDateInfo(A72)</f>
        <v>41904.603055555555</v>
      </c>
      <c r="G72" s="37">
        <f>[1]!lngFileSize(A72)</f>
        <v>130536</v>
      </c>
      <c r="H72" s="40" t="str">
        <f>[1]!GetFolder(A72)</f>
        <v>C:\Users\DAVE\Documents\Visual Studio 2013\Projects\WizardWrx_Libs\_Deprecated_Libraries\ApplicationHelpers2\ApplicationHelpers2TestHarness\ApplicationHelpers2TestHarness</v>
      </c>
      <c r="I72" s="38" t="s">
        <v>167</v>
      </c>
    </row>
    <row r="73" spans="1:9" outlineLevel="1" x14ac:dyDescent="0.25">
      <c r="A73" s="41" t="s">
        <v>162</v>
      </c>
      <c r="B73" s="34"/>
      <c r="C73" s="39"/>
      <c r="D73" s="34"/>
      <c r="E73" s="35">
        <f>SUBTOTAL(3,E72:E72)</f>
        <v>1</v>
      </c>
      <c r="F73" s="36"/>
      <c r="G73" s="37"/>
      <c r="H73" s="40"/>
      <c r="I73" s="38"/>
    </row>
    <row r="74" spans="1:9" outlineLevel="2" x14ac:dyDescent="0.25">
      <c r="A74" s="33" t="s">
        <v>230</v>
      </c>
      <c r="B74" s="34">
        <v>8</v>
      </c>
      <c r="C74" s="39" t="s">
        <v>214</v>
      </c>
      <c r="D74" s="34" t="str">
        <f>[1]!GetFile(A74)</f>
        <v>CSVFileInfo.cs</v>
      </c>
      <c r="E74" s="35" t="str">
        <f>IF(ISERROR(FIND("Count",$A74)),UPPER(RIGHT([1]!GetExtension(A74),LEN([1]!GetExtension(A74))-1)),"")</f>
        <v>CS</v>
      </c>
      <c r="F74" s="36">
        <f>[1]!dtmFileDateInfo(A74)</f>
        <v>41896.414259259262</v>
      </c>
      <c r="G74" s="37">
        <f>[1]!lngFileSize(A74)</f>
        <v>2809</v>
      </c>
      <c r="H74" s="40" t="str">
        <f>[1]!GetFolder(A74)</f>
        <v>C:\Users\DAVE\Documents\Visual Studio 2013\Projects\WizardWrx_Libs\_Deprecated_Libraries\ApplicationHelpers3\ApplicationHelpers3</v>
      </c>
      <c r="I74" s="38" t="s">
        <v>167</v>
      </c>
    </row>
    <row r="75" spans="1:9" outlineLevel="2" x14ac:dyDescent="0.25">
      <c r="A75" s="33" t="s">
        <v>230</v>
      </c>
      <c r="B75" s="34">
        <v>42</v>
      </c>
      <c r="C75" s="39" t="s">
        <v>215</v>
      </c>
      <c r="D75" s="34" t="str">
        <f>[1]!GetFile(A75)</f>
        <v>CSVFileInfo.cs</v>
      </c>
      <c r="E75" s="35" t="str">
        <f>IF(ISERROR(FIND("Count",$A75)),UPPER(RIGHT([1]!GetExtension(A75),LEN([1]!GetExtension(A75))-1)),"")</f>
        <v>CS</v>
      </c>
      <c r="F75" s="36">
        <f>[1]!dtmFileDateInfo(A75)</f>
        <v>41896.414259259262</v>
      </c>
      <c r="G75" s="37">
        <f>[1]!lngFileSize(A75)</f>
        <v>2809</v>
      </c>
      <c r="H75" s="40" t="str">
        <f>[1]!GetFolder(A75)</f>
        <v>C:\Users\DAVE\Documents\Visual Studio 2013\Projects\WizardWrx_Libs\_Deprecated_Libraries\ApplicationHelpers3\ApplicationHelpers3</v>
      </c>
      <c r="I75" s="38" t="s">
        <v>167</v>
      </c>
    </row>
    <row r="76" spans="1:9" ht="45" outlineLevel="2" x14ac:dyDescent="0.25">
      <c r="A76" s="33" t="s">
        <v>230</v>
      </c>
      <c r="B76" s="34">
        <v>71</v>
      </c>
      <c r="C76" s="39" t="s">
        <v>231</v>
      </c>
      <c r="D76" s="34" t="str">
        <f>[1]!GetFile(A76)</f>
        <v>CSVFileInfo.cs</v>
      </c>
      <c r="E76" s="35" t="str">
        <f>IF(ISERROR(FIND("Count",$A76)),UPPER(RIGHT([1]!GetExtension(A76),LEN([1]!GetExtension(A76))-1)),"")</f>
        <v>CS</v>
      </c>
      <c r="F76" s="36">
        <f>[1]!dtmFileDateInfo(A76)</f>
        <v>41896.414259259262</v>
      </c>
      <c r="G76" s="37">
        <f>[1]!lngFileSize(A76)</f>
        <v>2809</v>
      </c>
      <c r="H76" s="40" t="str">
        <f>[1]!GetFolder(A76)</f>
        <v>C:\Users\DAVE\Documents\Visual Studio 2013\Projects\WizardWrx_Libs\_Deprecated_Libraries\ApplicationHelpers3\ApplicationHelpers3</v>
      </c>
      <c r="I76" s="38" t="s">
        <v>167</v>
      </c>
    </row>
    <row r="77" spans="1:9" outlineLevel="1" x14ac:dyDescent="0.25">
      <c r="A77" s="41" t="s">
        <v>240</v>
      </c>
      <c r="B77" s="34"/>
      <c r="C77" s="39"/>
      <c r="D77" s="34"/>
      <c r="E77" s="35">
        <f>SUBTOTAL(3,E74:E76)</f>
        <v>3</v>
      </c>
      <c r="F77" s="36"/>
      <c r="G77" s="37"/>
      <c r="H77" s="40"/>
      <c r="I77" s="38"/>
    </row>
    <row r="78" spans="1:9" ht="30" outlineLevel="2" x14ac:dyDescent="0.25">
      <c r="A78" s="33" t="s">
        <v>135</v>
      </c>
      <c r="B78" s="34">
        <v>76</v>
      </c>
      <c r="C78" s="39" t="s">
        <v>224</v>
      </c>
      <c r="D78" s="34" t="str">
        <f>[1]!GetFile(A78)</f>
        <v>NewClassTests_20140914.cs</v>
      </c>
      <c r="E78" s="35" t="str">
        <f>IF(ISERROR(FIND("Count",$A78)),UPPER(RIGHT([1]!GetExtension(A78),LEN([1]!GetExtension(A78))-1)),"")</f>
        <v>CS</v>
      </c>
      <c r="F78" s="36">
        <f>[1]!dtmFileDateInfo(A78)</f>
        <v>41897.622847222221</v>
      </c>
      <c r="G78" s="37">
        <f>[1]!lngFileSize(A78)</f>
        <v>34817</v>
      </c>
      <c r="H78" s="40" t="str">
        <f>[1]!GetFolder(A78)</f>
        <v>C:\Users\DAVE\Documents\Visual Studio 2013\Projects\WizardWrx_Libs\_Deprecated_Libraries\ApplicationHelpers3\TestStand</v>
      </c>
      <c r="I78" s="38" t="s">
        <v>167</v>
      </c>
    </row>
    <row r="79" spans="1:9" ht="30" outlineLevel="2" x14ac:dyDescent="0.25">
      <c r="A79" s="33" t="s">
        <v>135</v>
      </c>
      <c r="B79" s="34">
        <v>77</v>
      </c>
      <c r="C79" s="39" t="s">
        <v>225</v>
      </c>
      <c r="D79" s="34" t="str">
        <f>[1]!GetFile(A79)</f>
        <v>NewClassTests_20140914.cs</v>
      </c>
      <c r="E79" s="35" t="str">
        <f>IF(ISERROR(FIND("Count",$A79)),UPPER(RIGHT([1]!GetExtension(A79),LEN([1]!GetExtension(A79))-1)),"")</f>
        <v>CS</v>
      </c>
      <c r="F79" s="36">
        <f>[1]!dtmFileDateInfo(A79)</f>
        <v>41897.622847222221</v>
      </c>
      <c r="G79" s="37">
        <f>[1]!lngFileSize(A79)</f>
        <v>34817</v>
      </c>
      <c r="H79" s="40" t="str">
        <f>[1]!GetFolder(A79)</f>
        <v>C:\Users\DAVE\Documents\Visual Studio 2013\Projects\WizardWrx_Libs\_Deprecated_Libraries\ApplicationHelpers3\TestStand</v>
      </c>
      <c r="I79" s="38" t="s">
        <v>167</v>
      </c>
    </row>
    <row r="80" spans="1:9" ht="30" outlineLevel="2" x14ac:dyDescent="0.25">
      <c r="A80" s="33" t="s">
        <v>135</v>
      </c>
      <c r="B80" s="34">
        <v>78</v>
      </c>
      <c r="C80" s="39" t="s">
        <v>226</v>
      </c>
      <c r="D80" s="34" t="str">
        <f>[1]!GetFile(A80)</f>
        <v>NewClassTests_20140914.cs</v>
      </c>
      <c r="E80" s="35" t="str">
        <f>IF(ISERROR(FIND("Count",$A80)),UPPER(RIGHT([1]!GetExtension(A80),LEN([1]!GetExtension(A80))-1)),"")</f>
        <v>CS</v>
      </c>
      <c r="F80" s="36">
        <f>[1]!dtmFileDateInfo(A80)</f>
        <v>41897.622847222221</v>
      </c>
      <c r="G80" s="37">
        <f>[1]!lngFileSize(A80)</f>
        <v>34817</v>
      </c>
      <c r="H80" s="40" t="str">
        <f>[1]!GetFolder(A80)</f>
        <v>C:\Users\DAVE\Documents\Visual Studio 2013\Projects\WizardWrx_Libs\_Deprecated_Libraries\ApplicationHelpers3\TestStand</v>
      </c>
      <c r="I80" s="38" t="s">
        <v>167</v>
      </c>
    </row>
    <row r="81" spans="1:9" ht="30" outlineLevel="2" x14ac:dyDescent="0.25">
      <c r="A81" s="33" t="s">
        <v>135</v>
      </c>
      <c r="B81" s="34">
        <v>81</v>
      </c>
      <c r="C81" s="39" t="s">
        <v>227</v>
      </c>
      <c r="D81" s="34" t="str">
        <f>[1]!GetFile(A81)</f>
        <v>NewClassTests_20140914.cs</v>
      </c>
      <c r="E81" s="35" t="str">
        <f>IF(ISERROR(FIND("Count",$A81)),UPPER(RIGHT([1]!GetExtension(A81),LEN([1]!GetExtension(A81))-1)),"")</f>
        <v>CS</v>
      </c>
      <c r="F81" s="36">
        <f>[1]!dtmFileDateInfo(A81)</f>
        <v>41897.622847222221</v>
      </c>
      <c r="G81" s="37">
        <f>[1]!lngFileSize(A81)</f>
        <v>34817</v>
      </c>
      <c r="H81" s="40" t="str">
        <f>[1]!GetFolder(A81)</f>
        <v>C:\Users\DAVE\Documents\Visual Studio 2013\Projects\WizardWrx_Libs\_Deprecated_Libraries\ApplicationHelpers3\TestStand</v>
      </c>
      <c r="I81" s="38" t="s">
        <v>167</v>
      </c>
    </row>
    <row r="82" spans="1:9" outlineLevel="2" x14ac:dyDescent="0.25">
      <c r="A82" s="33" t="s">
        <v>135</v>
      </c>
      <c r="B82" s="34">
        <v>86</v>
      </c>
      <c r="C82" s="39" t="s">
        <v>200</v>
      </c>
      <c r="D82" s="34" t="str">
        <f>[1]!GetFile(A82)</f>
        <v>NewClassTests_20140914.cs</v>
      </c>
      <c r="E82" s="35" t="str">
        <f>IF(ISERROR(FIND("Count",$A82)),UPPER(RIGHT([1]!GetExtension(A82),LEN([1]!GetExtension(A82))-1)),"")</f>
        <v>CS</v>
      </c>
      <c r="F82" s="36">
        <f>[1]!dtmFileDateInfo(A82)</f>
        <v>41897.622847222221</v>
      </c>
      <c r="G82" s="37">
        <f>[1]!lngFileSize(A82)</f>
        <v>34817</v>
      </c>
      <c r="H82" s="40" t="str">
        <f>[1]!GetFolder(A82)</f>
        <v>C:\Users\DAVE\Documents\Visual Studio 2013\Projects\WizardWrx_Libs\_Deprecated_Libraries\ApplicationHelpers3\TestStand</v>
      </c>
      <c r="I82" s="38" t="s">
        <v>167</v>
      </c>
    </row>
    <row r="83" spans="1:9" outlineLevel="2" x14ac:dyDescent="0.25">
      <c r="A83" s="33" t="s">
        <v>135</v>
      </c>
      <c r="B83" s="34">
        <v>437</v>
      </c>
      <c r="C83" s="39" t="s">
        <v>201</v>
      </c>
      <c r="D83" s="34" t="str">
        <f>[1]!GetFile(A83)</f>
        <v>NewClassTests_20140914.cs</v>
      </c>
      <c r="E83" s="35" t="str">
        <f>IF(ISERROR(FIND("Count",$A83)),UPPER(RIGHT([1]!GetExtension(A83),LEN([1]!GetExtension(A83))-1)),"")</f>
        <v>CS</v>
      </c>
      <c r="F83" s="36">
        <f>[1]!dtmFileDateInfo(A83)</f>
        <v>41897.622847222221</v>
      </c>
      <c r="G83" s="37">
        <f>[1]!lngFileSize(A83)</f>
        <v>34817</v>
      </c>
      <c r="H83" s="40" t="str">
        <f>[1]!GetFolder(A83)</f>
        <v>C:\Users\DAVE\Documents\Visual Studio 2013\Projects\WizardWrx_Libs\_Deprecated_Libraries\ApplicationHelpers3\TestStand</v>
      </c>
      <c r="I83" s="38" t="s">
        <v>167</v>
      </c>
    </row>
    <row r="84" spans="1:9" outlineLevel="2" x14ac:dyDescent="0.25">
      <c r="A84" s="33" t="s">
        <v>135</v>
      </c>
      <c r="B84" s="34">
        <v>439</v>
      </c>
      <c r="C84" s="39" t="s">
        <v>202</v>
      </c>
      <c r="D84" s="34" t="str">
        <f>[1]!GetFile(A84)</f>
        <v>NewClassTests_20140914.cs</v>
      </c>
      <c r="E84" s="35" t="str">
        <f>IF(ISERROR(FIND("Count",$A84)),UPPER(RIGHT([1]!GetExtension(A84),LEN([1]!GetExtension(A84))-1)),"")</f>
        <v>CS</v>
      </c>
      <c r="F84" s="36">
        <f>[1]!dtmFileDateInfo(A84)</f>
        <v>41897.622847222221</v>
      </c>
      <c r="G84" s="37">
        <f>[1]!lngFileSize(A84)</f>
        <v>34817</v>
      </c>
      <c r="H84" s="40" t="str">
        <f>[1]!GetFolder(A84)</f>
        <v>C:\Users\DAVE\Documents\Visual Studio 2013\Projects\WizardWrx_Libs\_Deprecated_Libraries\ApplicationHelpers3\TestStand</v>
      </c>
      <c r="I84" s="38" t="s">
        <v>167</v>
      </c>
    </row>
    <row r="85" spans="1:9" outlineLevel="2" x14ac:dyDescent="0.25">
      <c r="A85" s="33" t="s">
        <v>135</v>
      </c>
      <c r="B85" s="34">
        <v>441</v>
      </c>
      <c r="C85" s="39" t="s">
        <v>203</v>
      </c>
      <c r="D85" s="34" t="str">
        <f>[1]!GetFile(A85)</f>
        <v>NewClassTests_20140914.cs</v>
      </c>
      <c r="E85" s="35" t="str">
        <f>IF(ISERROR(FIND("Count",$A85)),UPPER(RIGHT([1]!GetExtension(A85),LEN([1]!GetExtension(A85))-1)),"")</f>
        <v>CS</v>
      </c>
      <c r="F85" s="36">
        <f>[1]!dtmFileDateInfo(A85)</f>
        <v>41897.622847222221</v>
      </c>
      <c r="G85" s="37">
        <f>[1]!lngFileSize(A85)</f>
        <v>34817</v>
      </c>
      <c r="H85" s="40" t="str">
        <f>[1]!GetFolder(A85)</f>
        <v>C:\Users\DAVE\Documents\Visual Studio 2013\Projects\WizardWrx_Libs\_Deprecated_Libraries\ApplicationHelpers3\TestStand</v>
      </c>
      <c r="I85" s="38" t="s">
        <v>167</v>
      </c>
    </row>
    <row r="86" spans="1:9" outlineLevel="2" x14ac:dyDescent="0.25">
      <c r="A86" s="33" t="s">
        <v>135</v>
      </c>
      <c r="B86" s="34">
        <v>445</v>
      </c>
      <c r="C86" s="39" t="s">
        <v>204</v>
      </c>
      <c r="D86" s="34" t="str">
        <f>[1]!GetFile(A86)</f>
        <v>NewClassTests_20140914.cs</v>
      </c>
      <c r="E86" s="35" t="str">
        <f>IF(ISERROR(FIND("Count",$A86)),UPPER(RIGHT([1]!GetExtension(A86),LEN([1]!GetExtension(A86))-1)),"")</f>
        <v>CS</v>
      </c>
      <c r="F86" s="36">
        <f>[1]!dtmFileDateInfo(A86)</f>
        <v>41897.622847222221</v>
      </c>
      <c r="G86" s="37">
        <f>[1]!lngFileSize(A86)</f>
        <v>34817</v>
      </c>
      <c r="H86" s="40" t="str">
        <f>[1]!GetFolder(A86)</f>
        <v>C:\Users\DAVE\Documents\Visual Studio 2013\Projects\WizardWrx_Libs\_Deprecated_Libraries\ApplicationHelpers3\TestStand</v>
      </c>
      <c r="I86" s="38" t="s">
        <v>167</v>
      </c>
    </row>
    <row r="87" spans="1:9" ht="30" outlineLevel="2" x14ac:dyDescent="0.25">
      <c r="A87" s="33" t="s">
        <v>135</v>
      </c>
      <c r="B87" s="34">
        <v>486</v>
      </c>
      <c r="C87" s="39" t="s">
        <v>205</v>
      </c>
      <c r="D87" s="34" t="str">
        <f>[1]!GetFile(A87)</f>
        <v>NewClassTests_20140914.cs</v>
      </c>
      <c r="E87" s="35" t="str">
        <f>IF(ISERROR(FIND("Count",$A87)),UPPER(RIGHT([1]!GetExtension(A87),LEN([1]!GetExtension(A87))-1)),"")</f>
        <v>CS</v>
      </c>
      <c r="F87" s="36">
        <f>[1]!dtmFileDateInfo(A87)</f>
        <v>41897.622847222221</v>
      </c>
      <c r="G87" s="37">
        <f>[1]!lngFileSize(A87)</f>
        <v>34817</v>
      </c>
      <c r="H87" s="40" t="str">
        <f>[1]!GetFolder(A87)</f>
        <v>C:\Users\DAVE\Documents\Visual Studio 2013\Projects\WizardWrx_Libs\_Deprecated_Libraries\ApplicationHelpers3\TestStand</v>
      </c>
      <c r="I87" s="38" t="s">
        <v>167</v>
      </c>
    </row>
    <row r="88" spans="1:9" ht="30" outlineLevel="2" x14ac:dyDescent="0.25">
      <c r="A88" s="33" t="s">
        <v>135</v>
      </c>
      <c r="B88" s="34">
        <v>487</v>
      </c>
      <c r="C88" s="39" t="s">
        <v>206</v>
      </c>
      <c r="D88" s="34" t="str">
        <f>[1]!GetFile(A88)</f>
        <v>NewClassTests_20140914.cs</v>
      </c>
      <c r="E88" s="35" t="str">
        <f>IF(ISERROR(FIND("Count",$A88)),UPPER(RIGHT([1]!GetExtension(A88),LEN([1]!GetExtension(A88))-1)),"")</f>
        <v>CS</v>
      </c>
      <c r="F88" s="36">
        <f>[1]!dtmFileDateInfo(A88)</f>
        <v>41897.622847222221</v>
      </c>
      <c r="G88" s="37">
        <f>[1]!lngFileSize(A88)</f>
        <v>34817</v>
      </c>
      <c r="H88" s="40" t="str">
        <f>[1]!GetFolder(A88)</f>
        <v>C:\Users\DAVE\Documents\Visual Studio 2013\Projects\WizardWrx_Libs\_Deprecated_Libraries\ApplicationHelpers3\TestStand</v>
      </c>
      <c r="I88" s="38" t="s">
        <v>167</v>
      </c>
    </row>
    <row r="89" spans="1:9" outlineLevel="2" x14ac:dyDescent="0.25">
      <c r="A89" s="33" t="s">
        <v>135</v>
      </c>
      <c r="B89" s="34">
        <v>492</v>
      </c>
      <c r="C89" s="39" t="s">
        <v>207</v>
      </c>
      <c r="D89" s="34" t="str">
        <f>[1]!GetFile(A89)</f>
        <v>NewClassTests_20140914.cs</v>
      </c>
      <c r="E89" s="35" t="str">
        <f>IF(ISERROR(FIND("Count",$A89)),UPPER(RIGHT([1]!GetExtension(A89),LEN([1]!GetExtension(A89))-1)),"")</f>
        <v>CS</v>
      </c>
      <c r="F89" s="36">
        <f>[1]!dtmFileDateInfo(A89)</f>
        <v>41897.622847222221</v>
      </c>
      <c r="G89" s="37">
        <f>[1]!lngFileSize(A89)</f>
        <v>34817</v>
      </c>
      <c r="H89" s="40" t="str">
        <f>[1]!GetFolder(A89)</f>
        <v>C:\Users\DAVE\Documents\Visual Studio 2013\Projects\WizardWrx_Libs\_Deprecated_Libraries\ApplicationHelpers3\TestStand</v>
      </c>
      <c r="I89" s="38" t="s">
        <v>167</v>
      </c>
    </row>
    <row r="90" spans="1:9" ht="30" outlineLevel="2" x14ac:dyDescent="0.25">
      <c r="A90" s="33" t="s">
        <v>135</v>
      </c>
      <c r="B90" s="34">
        <v>495</v>
      </c>
      <c r="C90" s="39" t="s">
        <v>208</v>
      </c>
      <c r="D90" s="34" t="str">
        <f>[1]!GetFile(A90)</f>
        <v>NewClassTests_20140914.cs</v>
      </c>
      <c r="E90" s="35" t="str">
        <f>IF(ISERROR(FIND("Count",$A90)),UPPER(RIGHT([1]!GetExtension(A90),LEN([1]!GetExtension(A90))-1)),"")</f>
        <v>CS</v>
      </c>
      <c r="F90" s="36">
        <f>[1]!dtmFileDateInfo(A90)</f>
        <v>41897.622847222221</v>
      </c>
      <c r="G90" s="37">
        <f>[1]!lngFileSize(A90)</f>
        <v>34817</v>
      </c>
      <c r="H90" s="40" t="str">
        <f>[1]!GetFolder(A90)</f>
        <v>C:\Users\DAVE\Documents\Visual Studio 2013\Projects\WizardWrx_Libs\_Deprecated_Libraries\ApplicationHelpers3\TestStand</v>
      </c>
      <c r="I90" s="38" t="s">
        <v>167</v>
      </c>
    </row>
    <row r="91" spans="1:9" outlineLevel="2" x14ac:dyDescent="0.25">
      <c r="A91" s="33" t="s">
        <v>135</v>
      </c>
      <c r="B91" s="34">
        <v>496</v>
      </c>
      <c r="C91" s="39" t="s">
        <v>209</v>
      </c>
      <c r="D91" s="34" t="str">
        <f>[1]!GetFile(A91)</f>
        <v>NewClassTests_20140914.cs</v>
      </c>
      <c r="E91" s="35" t="str">
        <f>IF(ISERROR(FIND("Count",$A91)),UPPER(RIGHT([1]!GetExtension(A91),LEN([1]!GetExtension(A91))-1)),"")</f>
        <v>CS</v>
      </c>
      <c r="F91" s="36">
        <f>[1]!dtmFileDateInfo(A91)</f>
        <v>41897.622847222221</v>
      </c>
      <c r="G91" s="37">
        <f>[1]!lngFileSize(A91)</f>
        <v>34817</v>
      </c>
      <c r="H91" s="40" t="str">
        <f>[1]!GetFolder(A91)</f>
        <v>C:\Users\DAVE\Documents\Visual Studio 2013\Projects\WizardWrx_Libs\_Deprecated_Libraries\ApplicationHelpers3\TestStand</v>
      </c>
      <c r="I91" s="38" t="s">
        <v>167</v>
      </c>
    </row>
    <row r="92" spans="1:9" ht="45" outlineLevel="2" x14ac:dyDescent="0.25">
      <c r="A92" s="33" t="s">
        <v>135</v>
      </c>
      <c r="B92" s="34">
        <v>502</v>
      </c>
      <c r="C92" s="39" t="s">
        <v>232</v>
      </c>
      <c r="D92" s="34" t="str">
        <f>[1]!GetFile(A92)</f>
        <v>NewClassTests_20140914.cs</v>
      </c>
      <c r="E92" s="35" t="str">
        <f>IF(ISERROR(FIND("Count",$A92)),UPPER(RIGHT([1]!GetExtension(A92),LEN([1]!GetExtension(A92))-1)),"")</f>
        <v>CS</v>
      </c>
      <c r="F92" s="36">
        <f>[1]!dtmFileDateInfo(A92)</f>
        <v>41897.622847222221</v>
      </c>
      <c r="G92" s="37">
        <f>[1]!lngFileSize(A92)</f>
        <v>34817</v>
      </c>
      <c r="H92" s="40" t="str">
        <f>[1]!GetFolder(A92)</f>
        <v>C:\Users\DAVE\Documents\Visual Studio 2013\Projects\WizardWrx_Libs\_Deprecated_Libraries\ApplicationHelpers3\TestStand</v>
      </c>
      <c r="I92" s="38" t="s">
        <v>167</v>
      </c>
    </row>
    <row r="93" spans="1:9" outlineLevel="1" x14ac:dyDescent="0.25">
      <c r="A93" s="41" t="s">
        <v>165</v>
      </c>
      <c r="B93" s="34"/>
      <c r="C93" s="39"/>
      <c r="D93" s="34"/>
      <c r="E93" s="35">
        <f>SUBTOTAL(3,E78:E92)</f>
        <v>15</v>
      </c>
      <c r="F93" s="36"/>
      <c r="G93" s="37"/>
      <c r="H93" s="40"/>
      <c r="I93" s="38"/>
    </row>
    <row r="94" spans="1:9" outlineLevel="2" x14ac:dyDescent="0.25">
      <c r="A94" s="33" t="s">
        <v>137</v>
      </c>
      <c r="B94" s="34">
        <v>545</v>
      </c>
      <c r="C94" s="39" t="s">
        <v>233</v>
      </c>
      <c r="D94" s="34" t="str">
        <f>[1]!GetFile(A94)</f>
        <v>Program.cs</v>
      </c>
      <c r="E94" s="35" t="str">
        <f>IF(ISERROR(FIND("Count",$A94)),UPPER(RIGHT([1]!GetExtension(A94),LEN([1]!GetExtension(A94))-1)),"")</f>
        <v>CS</v>
      </c>
      <c r="F94" s="36">
        <f>[1]!dtmFileDateInfo(A94)</f>
        <v>42161.941446759258</v>
      </c>
      <c r="G94" s="37">
        <f>[1]!lngFileSize(A94)</f>
        <v>129175</v>
      </c>
      <c r="H94" s="40" t="str">
        <f>[1]!GetFolder(A94)</f>
        <v>C:\Users\DAVE\Documents\Visual Studio 2013\Projects\WizardWrx_Libs\_Deprecated_Libraries\ApplicationHelpers3\TestStand</v>
      </c>
      <c r="I94" s="38" t="s">
        <v>167</v>
      </c>
    </row>
    <row r="95" spans="1:9" outlineLevel="1" x14ac:dyDescent="0.25">
      <c r="A95" s="49" t="s">
        <v>166</v>
      </c>
      <c r="B95" s="42"/>
      <c r="C95" s="43"/>
      <c r="D95" s="42"/>
      <c r="E95" s="44">
        <f>SUBTOTAL(3,E94:E94)</f>
        <v>1</v>
      </c>
      <c r="F95" s="45"/>
      <c r="G95" s="46"/>
      <c r="H95" s="47"/>
      <c r="I95" s="48"/>
    </row>
    <row r="96" spans="1:9" x14ac:dyDescent="0.25">
      <c r="A96" s="49" t="s">
        <v>142</v>
      </c>
      <c r="B96" s="42"/>
      <c r="C96" s="43"/>
      <c r="D96" s="42"/>
      <c r="E96" s="44">
        <f>SUBTOTAL(3,E7:E94)</f>
        <v>76</v>
      </c>
      <c r="F96" s="45"/>
      <c r="G96" s="46"/>
      <c r="H96" s="47"/>
      <c r="I96" s="48"/>
    </row>
    <row r="97" spans="1:10" x14ac:dyDescent="0.25">
      <c r="A97" s="8"/>
      <c r="C97" s="7"/>
      <c r="F97" s="6"/>
      <c r="G97" s="5"/>
    </row>
    <row r="98" spans="1:10" x14ac:dyDescent="0.25">
      <c r="A98" s="8"/>
      <c r="C98" s="7"/>
      <c r="F98" s="6"/>
      <c r="G98" s="5"/>
      <c r="I98" s="21">
        <f>COUNTIF(Source_File_Statuses,J98)</f>
        <v>52</v>
      </c>
      <c r="J98" s="21" t="str">
        <f>Source_File_Status_Obsolete_Frozen</f>
        <v>Obsolete (Frozen)</v>
      </c>
    </row>
    <row r="99" spans="1:10" x14ac:dyDescent="0.25">
      <c r="A99" s="8"/>
      <c r="C99" s="7"/>
      <c r="D99" t="e">
        <f>FIND("Count",$A89)</f>
        <v>#VALUE!</v>
      </c>
      <c r="F99" s="6"/>
      <c r="G99" s="5"/>
      <c r="I99" s="19">
        <f>COUNTIF(Source_File_Statuses,J99)</f>
        <v>21</v>
      </c>
      <c r="J99" s="19" t="str">
        <f>Source_File_Status_Will_Break</f>
        <v>Will Break</v>
      </c>
    </row>
    <row r="100" spans="1:10" x14ac:dyDescent="0.25">
      <c r="A100" s="8"/>
      <c r="C100" s="7"/>
      <c r="F100" s="6"/>
      <c r="G100" s="5"/>
      <c r="I100" s="20">
        <f>COUNTIF(Source_File_Statuses,J100)</f>
        <v>3</v>
      </c>
      <c r="J100" s="20" t="str">
        <f>Source_File_Status_Fixed</f>
        <v>Fixed</v>
      </c>
    </row>
    <row r="101" spans="1:10" x14ac:dyDescent="0.25">
      <c r="A101" s="8"/>
      <c r="C101" s="7"/>
      <c r="F101" s="6"/>
      <c r="G101" s="5"/>
    </row>
    <row r="102" spans="1:10" ht="18" x14ac:dyDescent="0.25">
      <c r="A102" s="8"/>
      <c r="C102" s="7"/>
      <c r="F102" s="6"/>
      <c r="G102" s="5"/>
      <c r="I102" s="9">
        <f>SUM(I97:I101)</f>
        <v>76</v>
      </c>
      <c r="J102" s="9" t="s">
        <v>170</v>
      </c>
    </row>
    <row r="103" spans="1:10" x14ac:dyDescent="0.25">
      <c r="A103" s="8"/>
      <c r="C103" s="7"/>
      <c r="F103" s="6"/>
      <c r="G103" s="5"/>
    </row>
    <row r="104" spans="1:10" x14ac:dyDescent="0.25">
      <c r="A104" s="8"/>
      <c r="C104" s="7"/>
      <c r="F104" s="6"/>
      <c r="G104" s="5"/>
    </row>
    <row r="105" spans="1:10" x14ac:dyDescent="0.25">
      <c r="A105" s="8"/>
      <c r="C105" s="7"/>
      <c r="F105" s="6"/>
      <c r="G105" s="5"/>
    </row>
    <row r="106" spans="1:10" x14ac:dyDescent="0.25">
      <c r="A106" s="8"/>
      <c r="C106" s="7"/>
      <c r="F106" s="6"/>
      <c r="G106" s="5"/>
    </row>
    <row r="107" spans="1:10" x14ac:dyDescent="0.25">
      <c r="A107" s="8"/>
      <c r="C107" s="7"/>
      <c r="F107" s="6"/>
      <c r="G107" s="5"/>
    </row>
    <row r="108" spans="1:10" x14ac:dyDescent="0.25">
      <c r="A108" s="8"/>
      <c r="C108" s="7"/>
      <c r="F108" s="6"/>
      <c r="G108" s="5"/>
    </row>
  </sheetData>
  <conditionalFormatting sqref="A7:H7">
    <cfRule type="expression" dxfId="72" priority="23">
      <formula>FIND("Count",$A7)</formula>
    </cfRule>
  </conditionalFormatting>
  <conditionalFormatting sqref="I7">
    <cfRule type="expression" dxfId="71" priority="22">
      <formula>FIND("Count",$A7)</formula>
    </cfRule>
  </conditionalFormatting>
  <conditionalFormatting sqref="A7:I7">
    <cfRule type="expression" dxfId="70" priority="19">
      <formula>$I7=Source_File_Status_Fixed</formula>
    </cfRule>
    <cfRule type="expression" dxfId="69" priority="20">
      <formula>$I7=Source_File_Status_Will_Break</formula>
    </cfRule>
    <cfRule type="expression" dxfId="68" priority="21">
      <formula>$I7=Source_File_Status_Obsolete_Frozen</formula>
    </cfRule>
  </conditionalFormatting>
  <conditionalFormatting sqref="A8:H96">
    <cfRule type="expression" dxfId="67" priority="18">
      <formula>FIND("Count",$A8)</formula>
    </cfRule>
  </conditionalFormatting>
  <conditionalFormatting sqref="I8 I14:I96">
    <cfRule type="expression" dxfId="66" priority="17">
      <formula>FIND("Count",$A8)</formula>
    </cfRule>
  </conditionalFormatting>
  <conditionalFormatting sqref="A8:I8 A9:H13 A14:I96">
    <cfRule type="expression" dxfId="65" priority="14">
      <formula>$I8=Source_File_Status_Fixed</formula>
    </cfRule>
    <cfRule type="expression" dxfId="64" priority="15">
      <formula>$I8=Source_File_Status_Will_Break</formula>
    </cfRule>
    <cfRule type="expression" dxfId="63" priority="16">
      <formula>$I8=Source_File_Status_Obsolete_Frozen</formula>
    </cfRule>
  </conditionalFormatting>
  <conditionalFormatting sqref="I98">
    <cfRule type="expression" dxfId="62" priority="13">
      <formula>FIND("Count",$A98)</formula>
    </cfRule>
  </conditionalFormatting>
  <conditionalFormatting sqref="I99">
    <cfRule type="expression" dxfId="61" priority="12">
      <formula>FIND("Count",$A99)</formula>
    </cfRule>
  </conditionalFormatting>
  <conditionalFormatting sqref="I100">
    <cfRule type="expression" dxfId="60" priority="11">
      <formula>FIND("Count",$A100)</formula>
    </cfRule>
  </conditionalFormatting>
  <conditionalFormatting sqref="J98">
    <cfRule type="expression" dxfId="59" priority="10">
      <formula>FIND("Count",$A98)</formula>
    </cfRule>
  </conditionalFormatting>
  <conditionalFormatting sqref="J99">
    <cfRule type="expression" dxfId="58" priority="9">
      <formula>FIND("Count",$A99)</formula>
    </cfRule>
  </conditionalFormatting>
  <conditionalFormatting sqref="J100">
    <cfRule type="expression" dxfId="57" priority="8">
      <formula>FIND("Count",$A100)</formula>
    </cfRule>
  </conditionalFormatting>
  <conditionalFormatting sqref="I9:I13">
    <cfRule type="expression" dxfId="56" priority="7">
      <formula>FIND("Count",$A9)</formula>
    </cfRule>
  </conditionalFormatting>
  <conditionalFormatting sqref="I9:I13">
    <cfRule type="expression" dxfId="55" priority="4">
      <formula>$I9=Source_File_Status_Fixed</formula>
    </cfRule>
    <cfRule type="expression" dxfId="54" priority="5">
      <formula>$I9=Source_File_Status_Will_Break</formula>
    </cfRule>
    <cfRule type="expression" dxfId="53" priority="6">
      <formula>$I9=Source_File_Status_Obsolete_Frozen</formula>
    </cfRule>
  </conditionalFormatting>
  <conditionalFormatting sqref="I4">
    <cfRule type="expression" dxfId="52" priority="1">
      <formula>FIND("Count",$A4)</formula>
    </cfRule>
  </conditionalFormatting>
  <conditionalFormatting sqref="I2">
    <cfRule type="expression" dxfId="51" priority="3">
      <formula>FIND("Count",$A2)</formula>
    </cfRule>
  </conditionalFormatting>
  <conditionalFormatting sqref="I3">
    <cfRule type="expression" dxfId="50" priority="2">
      <formula>FIND("Count",$A3)</formula>
    </cfRule>
  </conditionalFormatting>
  <dataValidations count="1">
    <dataValidation type="list" allowBlank="1" showInputMessage="1" showErrorMessage="1" sqref="I78:I92 I7:I13 I15:I18 I39:I41 I43 I20:I37 I45:I47 I49:I54 I56:I70 I72 I74:I76 I94">
      <formula1>Source_Code_Status_Choices</formula1>
    </dataValidation>
  </dataValidations>
  <pageMargins left="0.7" right="0.7" top="0.75" bottom="0.75" header="0.3" footer="0.3"/>
  <pageSetup orientation="portrait" horizontalDpi="0"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8" tint="-0.499984740745262"/>
  </sheetPr>
  <dimension ref="A1:J98"/>
  <sheetViews>
    <sheetView workbookViewId="0">
      <pane xSplit="2" ySplit="6" topLeftCell="I7" activePane="bottomRight" state="frozen"/>
      <selection pane="topRight" activeCell="C1" sqref="C1"/>
      <selection pane="bottomLeft" activeCell="A2" sqref="A2"/>
      <selection pane="bottomRight"/>
    </sheetView>
  </sheetViews>
  <sheetFormatPr defaultRowHeight="15" outlineLevelRow="2" x14ac:dyDescent="0.25"/>
  <cols>
    <col min="1" max="1" width="98.75" bestFit="1" customWidth="1"/>
    <col min="2" max="2" width="6.125" bestFit="1" customWidth="1"/>
    <col min="3" max="3" width="212" bestFit="1" customWidth="1"/>
    <col min="4" max="4" width="27.125" bestFit="1" customWidth="1"/>
    <col min="5" max="5" width="6.875" bestFit="1" customWidth="1"/>
    <col min="6" max="6" width="20.125" bestFit="1" customWidth="1"/>
    <col min="7" max="7" width="6.875" bestFit="1" customWidth="1"/>
    <col min="8" max="8" width="104.75" bestFit="1" customWidth="1"/>
    <col min="9" max="10" width="18.375" bestFit="1" customWidth="1"/>
  </cols>
  <sheetData>
    <row r="1" spans="1:9" ht="18" x14ac:dyDescent="0.25">
      <c r="I1" s="9" t="s">
        <v>11</v>
      </c>
    </row>
    <row r="2" spans="1:9" x14ac:dyDescent="0.25">
      <c r="I2" s="18" t="str">
        <f>Source_File_Status_Obsolete_Frozen</f>
        <v>Obsolete (Frozen)</v>
      </c>
    </row>
    <row r="3" spans="1:9" x14ac:dyDescent="0.25">
      <c r="I3" s="19" t="str">
        <f>Source_File_Status_Will_Break</f>
        <v>Will Break</v>
      </c>
    </row>
    <row r="4" spans="1:9" x14ac:dyDescent="0.25">
      <c r="I4" s="20" t="str">
        <f>Source_File_Status_Fixed</f>
        <v>Fixed</v>
      </c>
    </row>
    <row r="6" spans="1:9" ht="18" x14ac:dyDescent="0.25">
      <c r="A6" s="9" t="s">
        <v>18</v>
      </c>
      <c r="B6" s="9" t="s">
        <v>17</v>
      </c>
      <c r="C6" s="9" t="s">
        <v>16</v>
      </c>
      <c r="D6" s="9" t="s">
        <v>15</v>
      </c>
      <c r="E6" s="9" t="s">
        <v>6</v>
      </c>
      <c r="F6" s="9" t="s">
        <v>14</v>
      </c>
      <c r="G6" s="9" t="s">
        <v>13</v>
      </c>
      <c r="H6" s="9" t="s">
        <v>12</v>
      </c>
      <c r="I6" s="9" t="s">
        <v>11</v>
      </c>
    </row>
    <row r="7" spans="1:9" outlineLevel="2" x14ac:dyDescent="0.25">
      <c r="A7" s="10" t="s">
        <v>19</v>
      </c>
      <c r="B7" s="11">
        <v>90</v>
      </c>
      <c r="C7" s="12" t="s">
        <v>20</v>
      </c>
      <c r="D7" s="11" t="str">
        <f>IF(ISERROR(FIND("Count",$A7)),[1]!GetFile(A7),"")</f>
        <v>Util.cs</v>
      </c>
      <c r="E7" s="15" t="str">
        <f>IF(ISERROR(FIND("Count",$A7)),UPPER(RIGHT([1]!GetExtension(A7),LEN([1]!GetExtension(A7))-1)),"")</f>
        <v>CS</v>
      </c>
      <c r="F7" s="13">
        <f>IF(ISERROR(FIND("Count",$A7)),[1]!dtmFileDateInfo(A7),"")</f>
        <v>0</v>
      </c>
      <c r="G7" s="14">
        <f>IF(ISERROR(FIND("Count",$A7)),[1]!lngFileSize(A7),"")</f>
        <v>0</v>
      </c>
      <c r="H7" s="11" t="str">
        <f>IF(ISERROR(FIND("Count",$A7)),[1]!GetFolder(A7),"")</f>
        <v>C:\Users\DAVE\Documents\Visual Studio 2013\Projects\WizardWrx_Libs\DLLServices2\DLLServices2</v>
      </c>
      <c r="I7" s="16" t="s">
        <v>168</v>
      </c>
    </row>
    <row r="8" spans="1:9" outlineLevel="1" x14ac:dyDescent="0.25">
      <c r="A8" s="10" t="s">
        <v>139</v>
      </c>
      <c r="B8" s="11">
        <f>SUBTOTAL(3,B7:B7)</f>
        <v>1</v>
      </c>
      <c r="C8" s="12"/>
      <c r="D8" s="11" t="str">
        <f>IF(ISERROR(FIND("Count",$A8)),[1]!GetFile(A8),"")</f>
        <v/>
      </c>
      <c r="E8" s="15" t="str">
        <f>IF(ISERROR(FIND("Count",$A8)),UPPER(RIGHT([1]!GetExtension(A8),LEN([1]!GetExtension(A8))-1)),"")</f>
        <v/>
      </c>
      <c r="F8" s="13" t="str">
        <f>IF(ISERROR(FIND("Count",$A8)),[1]!dtmFileDateInfo(A8),"")</f>
        <v/>
      </c>
      <c r="G8" s="14" t="str">
        <f>IF(ISERROR(FIND("Count",$A8)),[1]!lngFileSize(A8),"")</f>
        <v/>
      </c>
      <c r="H8" s="11" t="str">
        <f>IF(ISERROR(FIND("Count",$A8)),[1]!GetFolder(A8),"")</f>
        <v/>
      </c>
      <c r="I8" s="16"/>
    </row>
    <row r="9" spans="1:9" outlineLevel="2" x14ac:dyDescent="0.25">
      <c r="A9" s="10" t="s">
        <v>22</v>
      </c>
      <c r="B9" s="11">
        <v>682</v>
      </c>
      <c r="C9" s="12" t="s">
        <v>21</v>
      </c>
      <c r="D9" s="11" t="str">
        <f>IF(ISERROR(FIND("Count",$A9)),[1]!GetFile(A9),"")</f>
        <v>NewClassTests_20140914.cs</v>
      </c>
      <c r="E9" s="15" t="str">
        <f>IF(ISERROR(FIND("Count",$A9)),UPPER(RIGHT([1]!GetExtension(A9),LEN([1]!GetExtension(A9))-1)),"")</f>
        <v>CS</v>
      </c>
      <c r="F9" s="13">
        <f>IF(ISERROR(FIND("Count",$A9)),[1]!dtmFileDateInfo(A9),"")</f>
        <v>0</v>
      </c>
      <c r="G9" s="14">
        <f>IF(ISERROR(FIND("Count",$A9)),[1]!lngFileSize(A9),"")</f>
        <v>0</v>
      </c>
      <c r="H9" s="11" t="str">
        <f>IF(ISERROR(FIND("Count",$A9)),[1]!GetFolder(A9),"")</f>
        <v>C:\Users\DAVE\Documents\Visual Studio 2013\Projects\WizardWrx_Libs\DLLServices2\DLLServices2TestStand</v>
      </c>
      <c r="I9" s="16" t="s">
        <v>168</v>
      </c>
    </row>
    <row r="10" spans="1:9" outlineLevel="2" x14ac:dyDescent="0.25">
      <c r="A10" s="10" t="s">
        <v>22</v>
      </c>
      <c r="B10" s="11">
        <v>703</v>
      </c>
      <c r="C10" s="12" t="s">
        <v>21</v>
      </c>
      <c r="D10" s="11" t="str">
        <f>IF(ISERROR(FIND("Count",$A10)),[1]!GetFile(A10),"")</f>
        <v>NewClassTests_20140914.cs</v>
      </c>
      <c r="E10" s="15" t="str">
        <f>IF(ISERROR(FIND("Count",$A10)),UPPER(RIGHT([1]!GetExtension(A10),LEN([1]!GetExtension(A10))-1)),"")</f>
        <v>CS</v>
      </c>
      <c r="F10" s="13">
        <f>IF(ISERROR(FIND("Count",$A10)),[1]!dtmFileDateInfo(A10),"")</f>
        <v>0</v>
      </c>
      <c r="G10" s="14">
        <f>IF(ISERROR(FIND("Count",$A10)),[1]!lngFileSize(A10),"")</f>
        <v>0</v>
      </c>
      <c r="H10" s="11" t="str">
        <f>IF(ISERROR(FIND("Count",$A10)),[1]!GetFolder(A10),"")</f>
        <v>C:\Users\DAVE\Documents\Visual Studio 2013\Projects\WizardWrx_Libs\DLLServices2\DLLServices2TestStand</v>
      </c>
      <c r="I10" s="16" t="s">
        <v>168</v>
      </c>
    </row>
    <row r="11" spans="1:9" outlineLevel="2" x14ac:dyDescent="0.25">
      <c r="A11" s="10" t="s">
        <v>22</v>
      </c>
      <c r="B11" s="11">
        <v>728</v>
      </c>
      <c r="C11" s="12" t="s">
        <v>23</v>
      </c>
      <c r="D11" s="11" t="str">
        <f>IF(ISERROR(FIND("Count",$A11)),[1]!GetFile(A11),"")</f>
        <v>NewClassTests_20140914.cs</v>
      </c>
      <c r="E11" s="15" t="str">
        <f>IF(ISERROR(FIND("Count",$A11)),UPPER(RIGHT([1]!GetExtension(A11),LEN([1]!GetExtension(A11))-1)),"")</f>
        <v>CS</v>
      </c>
      <c r="F11" s="13">
        <f>IF(ISERROR(FIND("Count",$A11)),[1]!dtmFileDateInfo(A11),"")</f>
        <v>0</v>
      </c>
      <c r="G11" s="14">
        <f>IF(ISERROR(FIND("Count",$A11)),[1]!lngFileSize(A11),"")</f>
        <v>0</v>
      </c>
      <c r="H11" s="11" t="str">
        <f>IF(ISERROR(FIND("Count",$A11)),[1]!GetFolder(A11),"")</f>
        <v>C:\Users\DAVE\Documents\Visual Studio 2013\Projects\WizardWrx_Libs\DLLServices2\DLLServices2TestStand</v>
      </c>
      <c r="I11" s="16" t="s">
        <v>168</v>
      </c>
    </row>
    <row r="12" spans="1:9" outlineLevel="2" x14ac:dyDescent="0.25">
      <c r="A12" s="10" t="s">
        <v>22</v>
      </c>
      <c r="B12" s="11">
        <v>787</v>
      </c>
      <c r="C12" s="12" t="s">
        <v>24</v>
      </c>
      <c r="D12" s="11" t="str">
        <f>IF(ISERROR(FIND("Count",$A12)),[1]!GetFile(A12),"")</f>
        <v>NewClassTests_20140914.cs</v>
      </c>
      <c r="E12" s="15" t="str">
        <f>IF(ISERROR(FIND("Count",$A12)),UPPER(RIGHT([1]!GetExtension(A12),LEN([1]!GetExtension(A12))-1)),"")</f>
        <v>CS</v>
      </c>
      <c r="F12" s="13">
        <f>IF(ISERROR(FIND("Count",$A12)),[1]!dtmFileDateInfo(A12),"")</f>
        <v>0</v>
      </c>
      <c r="G12" s="14">
        <f>IF(ISERROR(FIND("Count",$A12)),[1]!lngFileSize(A12),"")</f>
        <v>0</v>
      </c>
      <c r="H12" s="11" t="str">
        <f>IF(ISERROR(FIND("Count",$A12)),[1]!GetFolder(A12),"")</f>
        <v>C:\Users\DAVE\Documents\Visual Studio 2013\Projects\WizardWrx_Libs\DLLServices2\DLLServices2TestStand</v>
      </c>
      <c r="I12" s="16" t="s">
        <v>168</v>
      </c>
    </row>
    <row r="13" spans="1:9" outlineLevel="2" x14ac:dyDescent="0.25">
      <c r="A13" s="10" t="s">
        <v>22</v>
      </c>
      <c r="B13" s="11">
        <v>808</v>
      </c>
      <c r="C13" s="12" t="s">
        <v>25</v>
      </c>
      <c r="D13" s="11" t="str">
        <f>IF(ISERROR(FIND("Count",$A13)),[1]!GetFile(A13),"")</f>
        <v>NewClassTests_20140914.cs</v>
      </c>
      <c r="E13" s="15" t="str">
        <f>IF(ISERROR(FIND("Count",$A13)),UPPER(RIGHT([1]!GetExtension(A13),LEN([1]!GetExtension(A13))-1)),"")</f>
        <v>CS</v>
      </c>
      <c r="F13" s="13">
        <f>IF(ISERROR(FIND("Count",$A13)),[1]!dtmFileDateInfo(A13),"")</f>
        <v>0</v>
      </c>
      <c r="G13" s="14">
        <f>IF(ISERROR(FIND("Count",$A13)),[1]!lngFileSize(A13),"")</f>
        <v>0</v>
      </c>
      <c r="H13" s="11" t="str">
        <f>IF(ISERROR(FIND("Count",$A13)),[1]!GetFolder(A13),"")</f>
        <v>C:\Users\DAVE\Documents\Visual Studio 2013\Projects\WizardWrx_Libs\DLLServices2\DLLServices2TestStand</v>
      </c>
      <c r="I13" s="16" t="s">
        <v>168</v>
      </c>
    </row>
    <row r="14" spans="1:9" outlineLevel="2" x14ac:dyDescent="0.25">
      <c r="A14" s="10" t="s">
        <v>22</v>
      </c>
      <c r="B14" s="11">
        <v>811</v>
      </c>
      <c r="C14" s="12" t="s">
        <v>26</v>
      </c>
      <c r="D14" s="11" t="str">
        <f>IF(ISERROR(FIND("Count",$A14)),[1]!GetFile(A14),"")</f>
        <v>NewClassTests_20140914.cs</v>
      </c>
      <c r="E14" s="15" t="str">
        <f>IF(ISERROR(FIND("Count",$A14)),UPPER(RIGHT([1]!GetExtension(A14),LEN([1]!GetExtension(A14))-1)),"")</f>
        <v>CS</v>
      </c>
      <c r="F14" s="13">
        <f>IF(ISERROR(FIND("Count",$A14)),[1]!dtmFileDateInfo(A14),"")</f>
        <v>0</v>
      </c>
      <c r="G14" s="14">
        <f>IF(ISERROR(FIND("Count",$A14)),[1]!lngFileSize(A14),"")</f>
        <v>0</v>
      </c>
      <c r="H14" s="11" t="str">
        <f>IF(ISERROR(FIND("Count",$A14)),[1]!GetFolder(A14),"")</f>
        <v>C:\Users\DAVE\Documents\Visual Studio 2013\Projects\WizardWrx_Libs\DLLServices2\DLLServices2TestStand</v>
      </c>
      <c r="I14" s="16" t="s">
        <v>168</v>
      </c>
    </row>
    <row r="15" spans="1:9" outlineLevel="1" x14ac:dyDescent="0.25">
      <c r="A15" s="10" t="s">
        <v>140</v>
      </c>
      <c r="B15" s="11">
        <f>SUBTOTAL(3,B9:B14)</f>
        <v>6</v>
      </c>
      <c r="C15" s="12"/>
      <c r="D15" s="11" t="str">
        <f>IF(ISERROR(FIND("Count",$A15)),[1]!GetFile(A15),"")</f>
        <v/>
      </c>
      <c r="E15" s="15" t="str">
        <f>IF(ISERROR(FIND("Count",$A15)),UPPER(RIGHT([1]!GetExtension(A15),LEN([1]!GetExtension(A15))-1)),"")</f>
        <v/>
      </c>
      <c r="F15" s="13" t="str">
        <f>IF(ISERROR(FIND("Count",$A15)),[1]!dtmFileDateInfo(A15),"")</f>
        <v/>
      </c>
      <c r="G15" s="14" t="str">
        <f>IF(ISERROR(FIND("Count",$A15)),[1]!lngFileSize(A15),"")</f>
        <v/>
      </c>
      <c r="H15" s="11" t="str">
        <f>IF(ISERROR(FIND("Count",$A15)),[1]!GetFolder(A15),"")</f>
        <v/>
      </c>
      <c r="I15" s="16"/>
    </row>
    <row r="16" spans="1:9" outlineLevel="2" x14ac:dyDescent="0.25">
      <c r="A16" s="10" t="s">
        <v>27</v>
      </c>
      <c r="B16" s="11">
        <v>8</v>
      </c>
      <c r="C16" s="12" t="s">
        <v>28</v>
      </c>
      <c r="D16" s="11" t="str">
        <f>IF(ISERROR(FIND("Count",$A16)),[1]!GetFile(A16),"")</f>
        <v>RegistryValues.cs</v>
      </c>
      <c r="E16" s="15" t="str">
        <f>IF(ISERROR(FIND("Count",$A16)),UPPER(RIGHT([1]!GetExtension(A16),LEN([1]!GetExtension(A16))-1)),"")</f>
        <v>CS</v>
      </c>
      <c r="F16" s="13">
        <f>IF(ISERROR(FIND("Count",$A16)),[1]!dtmFileDateInfo(A16),"")</f>
        <v>0</v>
      </c>
      <c r="G16" s="14">
        <f>IF(ISERROR(FIND("Count",$A16)),[1]!lngFileSize(A16),"")</f>
        <v>0</v>
      </c>
      <c r="H16" s="11" t="str">
        <f>IF(ISERROR(FIND("Count",$A16)),[1]!GetFolder(A16),"")</f>
        <v>C:\Users\DAVE\Documents\Visual Studio 2013\Projects\WizardWrx_Libs\DLLServices2\GPConstants</v>
      </c>
      <c r="I16" s="16" t="s">
        <v>169</v>
      </c>
    </row>
    <row r="17" spans="1:10" outlineLevel="2" x14ac:dyDescent="0.25">
      <c r="A17" s="10" t="s">
        <v>27</v>
      </c>
      <c r="B17" s="11">
        <v>91</v>
      </c>
      <c r="C17" s="12" t="s">
        <v>29</v>
      </c>
      <c r="D17" s="11" t="str">
        <f>IF(ISERROR(FIND("Count",$A17)),[1]!GetFile(A17),"")</f>
        <v>RegistryValues.cs</v>
      </c>
      <c r="E17" s="15" t="str">
        <f>IF(ISERROR(FIND("Count",$A17)),UPPER(RIGHT([1]!GetExtension(A17),LEN([1]!GetExtension(A17))-1)),"")</f>
        <v>CS</v>
      </c>
      <c r="F17" s="13">
        <f>IF(ISERROR(FIND("Count",$A17)),[1]!dtmFileDateInfo(A17),"")</f>
        <v>0</v>
      </c>
      <c r="G17" s="14">
        <f>IF(ISERROR(FIND("Count",$A17)),[1]!lngFileSize(A17),"")</f>
        <v>0</v>
      </c>
      <c r="H17" s="11" t="str">
        <f>IF(ISERROR(FIND("Count",$A17)),[1]!GetFolder(A17),"")</f>
        <v>C:\Users\DAVE\Documents\Visual Studio 2013\Projects\WizardWrx_Libs\DLLServices2\GPConstants</v>
      </c>
      <c r="I17" s="16" t="s">
        <v>169</v>
      </c>
    </row>
    <row r="18" spans="1:10" outlineLevel="2" x14ac:dyDescent="0.25">
      <c r="A18" s="10" t="s">
        <v>27</v>
      </c>
      <c r="B18" s="11">
        <v>445</v>
      </c>
      <c r="C18" s="12" t="s">
        <v>30</v>
      </c>
      <c r="D18" s="11" t="str">
        <f>IF(ISERROR(FIND("Count",$A18)),[1]!GetFile(A18),"")</f>
        <v>RegistryValues.cs</v>
      </c>
      <c r="E18" s="15" t="str">
        <f>IF(ISERROR(FIND("Count",$A18)),UPPER(RIGHT([1]!GetExtension(A18),LEN([1]!GetExtension(A18))-1)),"")</f>
        <v>CS</v>
      </c>
      <c r="F18" s="13">
        <f>IF(ISERROR(FIND("Count",$A18)),[1]!dtmFileDateInfo(A18),"")</f>
        <v>0</v>
      </c>
      <c r="G18" s="14">
        <f>IF(ISERROR(FIND("Count",$A18)),[1]!lngFileSize(A18),"")</f>
        <v>0</v>
      </c>
      <c r="H18" s="11" t="str">
        <f>IF(ISERROR(FIND("Count",$A18)),[1]!GetFolder(A18),"")</f>
        <v>C:\Users\DAVE\Documents\Visual Studio 2013\Projects\WizardWrx_Libs\DLLServices2\GPConstants</v>
      </c>
      <c r="I18" s="16" t="s">
        <v>169</v>
      </c>
    </row>
    <row r="19" spans="1:10" outlineLevel="1" x14ac:dyDescent="0.25">
      <c r="A19" s="10" t="s">
        <v>141</v>
      </c>
      <c r="B19" s="11">
        <f>SUBTOTAL(3,B16:B18)</f>
        <v>3</v>
      </c>
      <c r="C19" s="12"/>
      <c r="D19" s="11" t="str">
        <f>IF(ISERROR(FIND("Count",$A19)),[1]!GetFile(A19),"")</f>
        <v/>
      </c>
      <c r="E19" s="15" t="str">
        <f>IF(ISERROR(FIND("Count",$A19)),UPPER(RIGHT([1]!GetExtension(A19),LEN([1]!GetExtension(A19))-1)),"")</f>
        <v/>
      </c>
      <c r="F19" s="13" t="str">
        <f>IF(ISERROR(FIND("Count",$A19)),[1]!dtmFileDateInfo(A19),"")</f>
        <v/>
      </c>
      <c r="G19" s="14" t="str">
        <f>IF(ISERROR(FIND("Count",$A19)),[1]!lngFileSize(A19),"")</f>
        <v/>
      </c>
      <c r="H19" s="11" t="str">
        <f>IF(ISERROR(FIND("Count",$A19)),[1]!GetFolder(A19),"")</f>
        <v/>
      </c>
      <c r="I19" s="16"/>
    </row>
    <row r="20" spans="1:10" x14ac:dyDescent="0.25">
      <c r="A20" s="10" t="s">
        <v>142</v>
      </c>
      <c r="B20" s="11">
        <f>SUBTOTAL(3,B7:B18)</f>
        <v>10</v>
      </c>
      <c r="C20" s="12"/>
      <c r="D20" s="11" t="str">
        <f>IF(ISERROR(FIND("Count",$A20)),[1]!GetFile(A20),"")</f>
        <v/>
      </c>
      <c r="E20" s="15" t="str">
        <f>IF(ISERROR(FIND("Count",$A20)),UPPER(RIGHT([1]!GetExtension(A20),LEN([1]!GetExtension(A20))-1)),"")</f>
        <v/>
      </c>
      <c r="F20" s="13" t="str">
        <f>IF(ISERROR(FIND("Count",$A20)),[1]!dtmFileDateInfo(A20),"")</f>
        <v/>
      </c>
      <c r="G20" s="14" t="str">
        <f>IF(ISERROR(FIND("Count",$A20)),[1]!lngFileSize(A20),"")</f>
        <v/>
      </c>
      <c r="H20" s="11" t="str">
        <f>IF(ISERROR(FIND("Count",$A20)),[1]!GetFolder(A20),"")</f>
        <v/>
      </c>
      <c r="I20" s="16"/>
    </row>
    <row r="21" spans="1:10" x14ac:dyDescent="0.25">
      <c r="A21" s="8"/>
      <c r="C21" s="7"/>
      <c r="F21" s="6"/>
      <c r="G21" s="5"/>
    </row>
    <row r="22" spans="1:10" x14ac:dyDescent="0.25">
      <c r="A22" s="8"/>
      <c r="C22" s="7"/>
      <c r="F22" s="6"/>
      <c r="G22" s="5"/>
      <c r="I22" s="21">
        <f>COUNTIF(Source_File_Statuses,J22)</f>
        <v>0</v>
      </c>
      <c r="J22" s="21" t="str">
        <f>Source_File_Status_Obsolete_Frozen</f>
        <v>Obsolete (Frozen)</v>
      </c>
    </row>
    <row r="23" spans="1:10" x14ac:dyDescent="0.25">
      <c r="A23" s="8"/>
      <c r="C23" s="7"/>
      <c r="F23" s="6"/>
      <c r="G23" s="5"/>
      <c r="I23" s="19">
        <f>COUNTIF(Source_File_Statuses,J23)</f>
        <v>7</v>
      </c>
      <c r="J23" s="19" t="str">
        <f>Source_File_Status_Will_Break</f>
        <v>Will Break</v>
      </c>
    </row>
    <row r="24" spans="1:10" x14ac:dyDescent="0.25">
      <c r="A24" s="8"/>
      <c r="C24" s="7"/>
      <c r="F24" s="6"/>
      <c r="G24" s="5"/>
      <c r="I24" s="20">
        <f>COUNTIF(Source_File_Statuses,J24)</f>
        <v>3</v>
      </c>
      <c r="J24" s="20" t="str">
        <f>Source_File_Status_Fixed</f>
        <v>Fixed</v>
      </c>
    </row>
    <row r="25" spans="1:10" x14ac:dyDescent="0.25">
      <c r="A25" s="8"/>
      <c r="C25" s="7"/>
      <c r="F25" s="6"/>
      <c r="G25" s="5"/>
    </row>
    <row r="26" spans="1:10" ht="18" x14ac:dyDescent="0.25">
      <c r="A26" s="8"/>
      <c r="C26" s="7"/>
      <c r="F26" s="6"/>
      <c r="G26" s="5"/>
      <c r="I26" s="9">
        <f>SUM(I21:I25)</f>
        <v>10</v>
      </c>
      <c r="J26" s="9" t="s">
        <v>170</v>
      </c>
    </row>
    <row r="27" spans="1:10" x14ac:dyDescent="0.25">
      <c r="A27" s="8"/>
      <c r="C27" s="7"/>
      <c r="F27" s="6"/>
      <c r="G27" s="5"/>
    </row>
    <row r="28" spans="1:10" x14ac:dyDescent="0.25">
      <c r="A28" s="8"/>
      <c r="C28" s="7"/>
      <c r="F28" s="6"/>
      <c r="G28" s="5"/>
    </row>
    <row r="29" spans="1:10" x14ac:dyDescent="0.25">
      <c r="A29" s="8"/>
      <c r="C29" s="7"/>
      <c r="F29" s="6"/>
      <c r="G29" s="5"/>
    </row>
    <row r="30" spans="1:10" x14ac:dyDescent="0.25">
      <c r="A30" s="8"/>
      <c r="C30" s="7"/>
      <c r="F30" s="6"/>
      <c r="G30" s="5"/>
    </row>
    <row r="31" spans="1:10" x14ac:dyDescent="0.25">
      <c r="A31" s="8"/>
      <c r="C31" s="7"/>
      <c r="F31" s="6"/>
      <c r="G31" s="5"/>
    </row>
    <row r="32" spans="1:10" x14ac:dyDescent="0.25">
      <c r="A32" s="8"/>
      <c r="C32" s="7"/>
      <c r="F32" s="6"/>
      <c r="G32" s="5"/>
    </row>
    <row r="33" spans="1:7" x14ac:dyDescent="0.25">
      <c r="A33" s="8"/>
      <c r="C33" s="7"/>
      <c r="F33" s="6"/>
      <c r="G33" s="5"/>
    </row>
    <row r="34" spans="1:7" x14ac:dyDescent="0.25">
      <c r="A34" s="8"/>
      <c r="C34" s="7"/>
      <c r="F34" s="6"/>
      <c r="G34" s="5"/>
    </row>
    <row r="35" spans="1:7" x14ac:dyDescent="0.25">
      <c r="A35" s="8"/>
      <c r="C35" s="7"/>
      <c r="F35" s="6"/>
      <c r="G35" s="5"/>
    </row>
    <row r="36" spans="1:7" x14ac:dyDescent="0.25">
      <c r="A36" s="8"/>
      <c r="C36" s="7"/>
      <c r="F36" s="6"/>
      <c r="G36" s="5"/>
    </row>
    <row r="37" spans="1:7" x14ac:dyDescent="0.25">
      <c r="A37" s="8"/>
      <c r="C37" s="7"/>
      <c r="F37" s="6"/>
      <c r="G37" s="5"/>
    </row>
    <row r="38" spans="1:7" x14ac:dyDescent="0.25">
      <c r="A38" s="8"/>
      <c r="C38" s="7"/>
      <c r="F38" s="6"/>
      <c r="G38" s="5"/>
    </row>
    <row r="39" spans="1:7" x14ac:dyDescent="0.25">
      <c r="A39" s="8"/>
      <c r="C39" s="7"/>
      <c r="F39" s="6"/>
      <c r="G39" s="5"/>
    </row>
    <row r="40" spans="1:7" x14ac:dyDescent="0.25">
      <c r="A40" s="8"/>
      <c r="C40" s="7"/>
      <c r="F40" s="6"/>
      <c r="G40" s="5"/>
    </row>
    <row r="41" spans="1:7" x14ac:dyDescent="0.25">
      <c r="A41" s="8"/>
      <c r="C41" s="7"/>
      <c r="F41" s="6"/>
      <c r="G41" s="5"/>
    </row>
    <row r="42" spans="1:7" x14ac:dyDescent="0.25">
      <c r="A42" s="8"/>
      <c r="C42" s="7"/>
      <c r="F42" s="6"/>
      <c r="G42" s="5"/>
    </row>
    <row r="43" spans="1:7" x14ac:dyDescent="0.25">
      <c r="A43" s="8"/>
      <c r="C43" s="7"/>
      <c r="F43" s="6"/>
      <c r="G43" s="5"/>
    </row>
    <row r="44" spans="1:7" x14ac:dyDescent="0.25">
      <c r="A44" s="8"/>
      <c r="C44" s="7"/>
      <c r="F44" s="6"/>
      <c r="G44" s="5"/>
    </row>
    <row r="45" spans="1:7" x14ac:dyDescent="0.25">
      <c r="A45" s="8"/>
      <c r="C45" s="7"/>
      <c r="F45" s="6"/>
      <c r="G45" s="5"/>
    </row>
    <row r="46" spans="1:7" x14ac:dyDescent="0.25">
      <c r="A46" s="8"/>
      <c r="C46" s="7"/>
      <c r="F46" s="6"/>
      <c r="G46" s="5"/>
    </row>
    <row r="47" spans="1:7" x14ac:dyDescent="0.25">
      <c r="A47" s="8"/>
      <c r="C47" s="7"/>
      <c r="F47" s="6"/>
      <c r="G47" s="5"/>
    </row>
    <row r="48" spans="1:7" x14ac:dyDescent="0.25">
      <c r="A48" s="8"/>
      <c r="C48" s="7"/>
      <c r="F48" s="6"/>
      <c r="G48" s="5"/>
    </row>
    <row r="49" spans="1:7" x14ac:dyDescent="0.25">
      <c r="A49" s="8"/>
      <c r="C49" s="7"/>
      <c r="F49" s="6"/>
      <c r="G49" s="5"/>
    </row>
    <row r="50" spans="1:7" x14ac:dyDescent="0.25">
      <c r="A50" s="8"/>
      <c r="C50" s="7"/>
      <c r="F50" s="6"/>
      <c r="G50" s="5"/>
    </row>
    <row r="51" spans="1:7" x14ac:dyDescent="0.25">
      <c r="A51" s="8"/>
      <c r="C51" s="7"/>
      <c r="F51" s="6"/>
      <c r="G51" s="5"/>
    </row>
    <row r="52" spans="1:7" x14ac:dyDescent="0.25">
      <c r="A52" s="8"/>
      <c r="C52" s="7"/>
      <c r="F52" s="6"/>
      <c r="G52" s="5"/>
    </row>
    <row r="53" spans="1:7" x14ac:dyDescent="0.25">
      <c r="A53" s="8"/>
      <c r="C53" s="7"/>
      <c r="F53" s="6"/>
      <c r="G53" s="5"/>
    </row>
    <row r="54" spans="1:7" x14ac:dyDescent="0.25">
      <c r="A54" s="8"/>
      <c r="C54" s="7"/>
      <c r="F54" s="6"/>
      <c r="G54" s="5"/>
    </row>
    <row r="55" spans="1:7" x14ac:dyDescent="0.25">
      <c r="A55" s="8"/>
      <c r="C55" s="7"/>
      <c r="F55" s="6"/>
      <c r="G55" s="5"/>
    </row>
    <row r="56" spans="1:7" x14ac:dyDescent="0.25">
      <c r="A56" s="8"/>
      <c r="C56" s="7"/>
      <c r="F56" s="6"/>
      <c r="G56" s="5"/>
    </row>
    <row r="57" spans="1:7" x14ac:dyDescent="0.25">
      <c r="A57" s="8"/>
      <c r="C57" s="7"/>
      <c r="F57" s="6"/>
      <c r="G57" s="5"/>
    </row>
    <row r="58" spans="1:7" x14ac:dyDescent="0.25">
      <c r="A58" s="8"/>
      <c r="C58" s="7"/>
      <c r="F58" s="6"/>
      <c r="G58" s="5"/>
    </row>
    <row r="59" spans="1:7" x14ac:dyDescent="0.25">
      <c r="A59" s="8"/>
      <c r="C59" s="7"/>
      <c r="F59" s="6"/>
      <c r="G59" s="5"/>
    </row>
    <row r="60" spans="1:7" x14ac:dyDescent="0.25">
      <c r="A60" s="8"/>
      <c r="C60" s="7"/>
      <c r="F60" s="6"/>
      <c r="G60" s="5"/>
    </row>
    <row r="61" spans="1:7" x14ac:dyDescent="0.25">
      <c r="A61" s="8"/>
      <c r="C61" s="7"/>
      <c r="F61" s="6"/>
      <c r="G61" s="5"/>
    </row>
    <row r="62" spans="1:7" x14ac:dyDescent="0.25">
      <c r="A62" s="8"/>
      <c r="C62" s="7"/>
      <c r="F62" s="6"/>
      <c r="G62" s="5"/>
    </row>
    <row r="63" spans="1:7" x14ac:dyDescent="0.25">
      <c r="A63" s="8"/>
      <c r="C63" s="7"/>
      <c r="F63" s="6"/>
      <c r="G63" s="5"/>
    </row>
    <row r="64" spans="1:7" x14ac:dyDescent="0.25">
      <c r="A64" s="8"/>
      <c r="C64" s="7"/>
      <c r="F64" s="6"/>
      <c r="G64" s="5"/>
    </row>
    <row r="65" spans="1:7" x14ac:dyDescent="0.25">
      <c r="A65" s="8"/>
      <c r="C65" s="7"/>
      <c r="F65" s="6"/>
      <c r="G65" s="5"/>
    </row>
    <row r="66" spans="1:7" x14ac:dyDescent="0.25">
      <c r="A66" s="8"/>
      <c r="C66" s="7"/>
      <c r="F66" s="6"/>
      <c r="G66" s="5"/>
    </row>
    <row r="67" spans="1:7" x14ac:dyDescent="0.25">
      <c r="A67" s="8"/>
      <c r="C67" s="7"/>
      <c r="F67" s="6"/>
      <c r="G67" s="5"/>
    </row>
    <row r="68" spans="1:7" x14ac:dyDescent="0.25">
      <c r="A68" s="8"/>
      <c r="C68" s="7"/>
      <c r="F68" s="6"/>
      <c r="G68" s="5"/>
    </row>
    <row r="69" spans="1:7" x14ac:dyDescent="0.25">
      <c r="A69" s="8"/>
      <c r="C69" s="7"/>
      <c r="F69" s="6"/>
      <c r="G69" s="5"/>
    </row>
    <row r="70" spans="1:7" x14ac:dyDescent="0.25">
      <c r="A70" s="8"/>
      <c r="C70" s="7"/>
      <c r="F70" s="6"/>
      <c r="G70" s="5"/>
    </row>
    <row r="71" spans="1:7" x14ac:dyDescent="0.25">
      <c r="A71" s="8"/>
      <c r="C71" s="7"/>
      <c r="F71" s="6"/>
      <c r="G71" s="5"/>
    </row>
    <row r="72" spans="1:7" x14ac:dyDescent="0.25">
      <c r="A72" s="8"/>
      <c r="C72" s="7"/>
      <c r="F72" s="6"/>
      <c r="G72" s="5"/>
    </row>
    <row r="73" spans="1:7" x14ac:dyDescent="0.25">
      <c r="A73" s="8"/>
      <c r="C73" s="7"/>
      <c r="F73" s="6"/>
      <c r="G73" s="5"/>
    </row>
    <row r="74" spans="1:7" x14ac:dyDescent="0.25">
      <c r="A74" s="8"/>
      <c r="C74" s="7"/>
      <c r="F74" s="6"/>
      <c r="G74" s="5"/>
    </row>
    <row r="75" spans="1:7" x14ac:dyDescent="0.25">
      <c r="A75" s="8"/>
      <c r="C75" s="7"/>
      <c r="F75" s="6"/>
      <c r="G75" s="5"/>
    </row>
    <row r="76" spans="1:7" x14ac:dyDescent="0.25">
      <c r="A76" s="8"/>
      <c r="C76" s="7"/>
      <c r="F76" s="6"/>
      <c r="G76" s="5"/>
    </row>
    <row r="77" spans="1:7" x14ac:dyDescent="0.25">
      <c r="A77" s="8"/>
      <c r="C77" s="7"/>
      <c r="F77" s="6"/>
      <c r="G77" s="5"/>
    </row>
    <row r="78" spans="1:7" x14ac:dyDescent="0.25">
      <c r="A78" s="8"/>
      <c r="C78" s="7"/>
      <c r="F78" s="6"/>
      <c r="G78" s="5"/>
    </row>
    <row r="79" spans="1:7" x14ac:dyDescent="0.25">
      <c r="A79" s="8"/>
      <c r="C79" s="7"/>
      <c r="F79" s="6"/>
      <c r="G79" s="5"/>
    </row>
    <row r="80" spans="1:7" x14ac:dyDescent="0.25">
      <c r="A80" s="8"/>
      <c r="C80" s="7"/>
      <c r="F80" s="6"/>
      <c r="G80" s="5"/>
    </row>
    <row r="81" spans="1:7" x14ac:dyDescent="0.25">
      <c r="A81" s="8"/>
      <c r="C81" s="7"/>
      <c r="F81" s="6"/>
      <c r="G81" s="5"/>
    </row>
    <row r="82" spans="1:7" x14ac:dyDescent="0.25">
      <c r="A82" s="8"/>
      <c r="C82" s="7"/>
      <c r="F82" s="6"/>
      <c r="G82" s="5"/>
    </row>
    <row r="83" spans="1:7" x14ac:dyDescent="0.25">
      <c r="A83" s="8"/>
      <c r="C83" s="7"/>
      <c r="F83" s="6"/>
      <c r="G83" s="5"/>
    </row>
    <row r="84" spans="1:7" x14ac:dyDescent="0.25">
      <c r="A84" s="8"/>
      <c r="C84" s="7"/>
      <c r="F84" s="6"/>
      <c r="G84" s="5"/>
    </row>
    <row r="85" spans="1:7" x14ac:dyDescent="0.25">
      <c r="A85" s="8"/>
      <c r="C85" s="7"/>
      <c r="F85" s="6"/>
      <c r="G85" s="5"/>
    </row>
    <row r="86" spans="1:7" x14ac:dyDescent="0.25">
      <c r="A86" s="8"/>
      <c r="C86" s="7"/>
      <c r="F86" s="6"/>
      <c r="G86" s="5"/>
    </row>
    <row r="87" spans="1:7" x14ac:dyDescent="0.25">
      <c r="A87" s="8"/>
      <c r="C87" s="7"/>
      <c r="F87" s="6"/>
      <c r="G87" s="5"/>
    </row>
    <row r="88" spans="1:7" x14ac:dyDescent="0.25">
      <c r="A88" s="8"/>
      <c r="C88" s="7"/>
      <c r="F88" s="6"/>
      <c r="G88" s="5"/>
    </row>
    <row r="89" spans="1:7" x14ac:dyDescent="0.25">
      <c r="A89" s="8"/>
      <c r="C89" s="7"/>
      <c r="F89" s="6"/>
      <c r="G89" s="5"/>
    </row>
    <row r="90" spans="1:7" x14ac:dyDescent="0.25">
      <c r="A90" s="8"/>
      <c r="C90" s="7"/>
      <c r="F90" s="6"/>
      <c r="G90" s="5"/>
    </row>
    <row r="91" spans="1:7" x14ac:dyDescent="0.25">
      <c r="A91" s="8"/>
      <c r="C91" s="7"/>
      <c r="F91" s="6"/>
      <c r="G91" s="5"/>
    </row>
    <row r="92" spans="1:7" x14ac:dyDescent="0.25">
      <c r="A92" s="8"/>
      <c r="C92" s="7"/>
      <c r="F92" s="6"/>
      <c r="G92" s="5"/>
    </row>
    <row r="93" spans="1:7" x14ac:dyDescent="0.25">
      <c r="A93" s="8"/>
      <c r="C93" s="7"/>
      <c r="F93" s="6"/>
      <c r="G93" s="5"/>
    </row>
    <row r="94" spans="1:7" x14ac:dyDescent="0.25">
      <c r="A94" s="8"/>
      <c r="C94" s="7"/>
      <c r="F94" s="6"/>
      <c r="G94" s="5"/>
    </row>
    <row r="95" spans="1:7" x14ac:dyDescent="0.25">
      <c r="A95" s="8"/>
      <c r="C95" s="7"/>
      <c r="F95" s="6"/>
      <c r="G95" s="5"/>
    </row>
    <row r="96" spans="1:7" x14ac:dyDescent="0.25">
      <c r="A96" s="8"/>
      <c r="C96" s="7"/>
      <c r="F96" s="6"/>
      <c r="G96" s="5"/>
    </row>
    <row r="97" spans="1:7" x14ac:dyDescent="0.25">
      <c r="A97" s="8"/>
      <c r="C97" s="7"/>
      <c r="F97" s="6"/>
      <c r="G97" s="5"/>
    </row>
    <row r="98" spans="1:7" x14ac:dyDescent="0.25">
      <c r="A98" s="8"/>
      <c r="C98" s="7"/>
      <c r="F98" s="6"/>
      <c r="G98" s="5"/>
    </row>
  </sheetData>
  <conditionalFormatting sqref="I2">
    <cfRule type="expression" dxfId="49" priority="14">
      <formula>FIND("Count",$A2)</formula>
    </cfRule>
  </conditionalFormatting>
  <conditionalFormatting sqref="I3">
    <cfRule type="expression" dxfId="48" priority="13">
      <formula>FIND("Count",$A3)</formula>
    </cfRule>
  </conditionalFormatting>
  <conditionalFormatting sqref="I4">
    <cfRule type="expression" dxfId="47" priority="12">
      <formula>FIND("Count",$A4)</formula>
    </cfRule>
  </conditionalFormatting>
  <conditionalFormatting sqref="A7:H20">
    <cfRule type="expression" dxfId="46" priority="11">
      <formula>FIND("Count",$A7)</formula>
    </cfRule>
  </conditionalFormatting>
  <conditionalFormatting sqref="I7:I20">
    <cfRule type="expression" dxfId="45" priority="10">
      <formula>FIND("Count",$A7)</formula>
    </cfRule>
  </conditionalFormatting>
  <conditionalFormatting sqref="I22">
    <cfRule type="expression" dxfId="44" priority="6">
      <formula>FIND("Count",$A22)</formula>
    </cfRule>
  </conditionalFormatting>
  <conditionalFormatting sqref="I23">
    <cfRule type="expression" dxfId="43" priority="5">
      <formula>FIND("Count",$A23)</formula>
    </cfRule>
  </conditionalFormatting>
  <conditionalFormatting sqref="I24">
    <cfRule type="expression" dxfId="42" priority="4">
      <formula>FIND("Count",$A24)</formula>
    </cfRule>
  </conditionalFormatting>
  <conditionalFormatting sqref="A7:I20">
    <cfRule type="expression" dxfId="41" priority="7">
      <formula>$I7=Source_File_Status_Fixed</formula>
    </cfRule>
    <cfRule type="expression" dxfId="40" priority="8">
      <formula>$I7=Source_File_Status_Will_Break</formula>
    </cfRule>
    <cfRule type="expression" dxfId="39" priority="9">
      <formula>$I7=Source_File_Status_Obsolete_Frozen</formula>
    </cfRule>
  </conditionalFormatting>
  <conditionalFormatting sqref="J22">
    <cfRule type="expression" dxfId="38" priority="3">
      <formula>FIND("Count",$A22)</formula>
    </cfRule>
  </conditionalFormatting>
  <conditionalFormatting sqref="J23">
    <cfRule type="expression" dxfId="37" priority="2">
      <formula>FIND("Count",$A23)</formula>
    </cfRule>
  </conditionalFormatting>
  <conditionalFormatting sqref="J24">
    <cfRule type="expression" dxfId="36" priority="1">
      <formula>FIND("Count",$A24)</formula>
    </cfRule>
  </conditionalFormatting>
  <dataValidations count="1">
    <dataValidation type="list" allowBlank="1" showInputMessage="1" showErrorMessage="1" sqref="I7:I20">
      <formula1>Source_Code_Status_Choices</formula1>
    </dataValidation>
  </dataValidations>
  <pageMargins left="0.7" right="0.7" top="0.75" bottom="0.75" header="0.3" footer="0.3"/>
  <pageSetup orientation="portrait" horizontalDpi="0"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8" tint="-0.499984740745262"/>
  </sheetPr>
  <dimension ref="A1:J231"/>
  <sheetViews>
    <sheetView workbookViewId="0">
      <pane xSplit="1" ySplit="6" topLeftCell="B33" activePane="bottomRight" state="frozen"/>
      <selection pane="topRight" activeCell="B1" sqref="B1"/>
      <selection pane="bottomLeft" activeCell="A7" sqref="A7"/>
      <selection pane="bottomRight" activeCell="A55" sqref="A55"/>
    </sheetView>
  </sheetViews>
  <sheetFormatPr defaultRowHeight="15" outlineLevelRow="2" x14ac:dyDescent="0.25"/>
  <cols>
    <col min="1" max="1" width="22.75" customWidth="1"/>
    <col min="2" max="2" width="6.125" bestFit="1" customWidth="1"/>
    <col min="3" max="3" width="255.625" bestFit="1" customWidth="1"/>
    <col min="4" max="4" width="27.125" bestFit="1" customWidth="1"/>
    <col min="5" max="5" width="6.875" bestFit="1" customWidth="1"/>
    <col min="6" max="6" width="20.125" bestFit="1" customWidth="1"/>
    <col min="7" max="7" width="22.75" bestFit="1" customWidth="1"/>
    <col min="8" max="8" width="175.875" bestFit="1" customWidth="1"/>
    <col min="9" max="10" width="18.375" bestFit="1" customWidth="1"/>
  </cols>
  <sheetData>
    <row r="1" spans="1:9" ht="18" x14ac:dyDescent="0.25">
      <c r="I1" s="9" t="s">
        <v>11</v>
      </c>
    </row>
    <row r="2" spans="1:9" x14ac:dyDescent="0.25">
      <c r="I2" s="18" t="s">
        <v>167</v>
      </c>
    </row>
    <row r="3" spans="1:9" x14ac:dyDescent="0.25">
      <c r="I3" s="19" t="s">
        <v>168</v>
      </c>
    </row>
    <row r="4" spans="1:9" x14ac:dyDescent="0.25">
      <c r="I4" s="20" t="s">
        <v>169</v>
      </c>
    </row>
    <row r="6" spans="1:9" ht="18" x14ac:dyDescent="0.25">
      <c r="A6" s="9" t="s">
        <v>18</v>
      </c>
      <c r="B6" s="9" t="s">
        <v>17</v>
      </c>
      <c r="C6" s="9" t="s">
        <v>16</v>
      </c>
      <c r="D6" s="9" t="s">
        <v>15</v>
      </c>
      <c r="E6" s="9" t="s">
        <v>6</v>
      </c>
      <c r="F6" s="9" t="s">
        <v>14</v>
      </c>
      <c r="G6" s="9" t="s">
        <v>13</v>
      </c>
      <c r="H6" s="9" t="s">
        <v>12</v>
      </c>
      <c r="I6" s="9" t="s">
        <v>11</v>
      </c>
    </row>
    <row r="7" spans="1:9" outlineLevel="2" x14ac:dyDescent="0.25">
      <c r="A7" s="10" t="s">
        <v>31</v>
      </c>
      <c r="B7" s="11">
        <v>84</v>
      </c>
      <c r="C7" s="12" t="s">
        <v>32</v>
      </c>
      <c r="D7" s="11" t="str">
        <f>IF(ISERROR(FIND("Count",$A7)),[1]!GetFile(A7),"")</f>
        <v>FileNameSuffixEngine.cs</v>
      </c>
      <c r="E7" s="15" t="str">
        <f>IF(ISERROR(FIND("Count",$A7)),UPPER(RIGHT([1]!GetExtension(A7),LEN([1]!GetExtension(A7))-1)),"")</f>
        <v>CS</v>
      </c>
      <c r="F7" s="13">
        <f>IF(ISERROR(FIND("Count",$A7)),[1]!dtmFileDateInfo(A7),"")</f>
        <v>42510.044305555559</v>
      </c>
      <c r="G7" s="14">
        <f>IF(ISERROR(FIND("Count",$A7)),[1]!lngFileSize(A7),"")</f>
        <v>9880</v>
      </c>
      <c r="H7" s="11" t="str">
        <f>IF(ISERROR(FIND("Count",$A7)),[1]!GetFolder(A7),"")</f>
        <v>C:\Users\DAVE\Documents\Visual Studio 2013\Projects\Console_Apps\Date2FN\Date2FN</v>
      </c>
      <c r="I7" s="16" t="s">
        <v>168</v>
      </c>
    </row>
    <row r="8" spans="1:9" outlineLevel="2" x14ac:dyDescent="0.25">
      <c r="A8" s="10" t="s">
        <v>31</v>
      </c>
      <c r="B8" s="11">
        <v>165</v>
      </c>
      <c r="C8" s="12" t="s">
        <v>33</v>
      </c>
      <c r="D8" s="11" t="str">
        <f>IF(ISERROR(FIND("Count",$A8)),[1]!GetFile(A8),"")</f>
        <v>FileNameSuffixEngine.cs</v>
      </c>
      <c r="E8" s="15" t="str">
        <f>IF(ISERROR(FIND("Count",$A8)),UPPER(RIGHT([1]!GetExtension(A8),LEN([1]!GetExtension(A8))-1)),"")</f>
        <v>CS</v>
      </c>
      <c r="F8" s="13">
        <f>IF(ISERROR(FIND("Count",$A8)),[1]!dtmFileDateInfo(A8),"")</f>
        <v>42510.044305555559</v>
      </c>
      <c r="G8" s="14">
        <f>IF(ISERROR(FIND("Count",$A8)),[1]!lngFileSize(A8),"")</f>
        <v>9880</v>
      </c>
      <c r="H8" s="11" t="str">
        <f>IF(ISERROR(FIND("Count",$A8)),[1]!GetFolder(A8),"")</f>
        <v>C:\Users\DAVE\Documents\Visual Studio 2013\Projects\Console_Apps\Date2FN\Date2FN</v>
      </c>
      <c r="I8" s="16" t="s">
        <v>168</v>
      </c>
    </row>
    <row r="9" spans="1:9" outlineLevel="1" x14ac:dyDescent="0.25">
      <c r="A9" s="10" t="s">
        <v>143</v>
      </c>
      <c r="B9" s="11">
        <f>SUBTOTAL(3,B7:B8)</f>
        <v>2</v>
      </c>
      <c r="C9" s="12"/>
      <c r="D9" s="11" t="str">
        <f>IF(ISERROR(FIND("Count",$A9)),[1]!GetFile(A9),"")</f>
        <v/>
      </c>
      <c r="E9" s="15" t="str">
        <f>IF(ISERROR(FIND("Count",$A9)),UPPER(RIGHT([1]!GetExtension(A9),LEN([1]!GetExtension(A9))-1)),"")</f>
        <v/>
      </c>
      <c r="F9" s="13" t="str">
        <f>IF(ISERROR(FIND("Count",$A9)),[1]!dtmFileDateInfo(A9),"")</f>
        <v/>
      </c>
      <c r="G9" s="14" t="str">
        <f>IF(ISERROR(FIND("Count",$A9)),[1]!lngFileSize(A9),"")</f>
        <v/>
      </c>
      <c r="H9" s="11" t="str">
        <f>IF(ISERROR(FIND("Count",$A9)),[1]!GetFolder(A9),"")</f>
        <v/>
      </c>
      <c r="I9" s="16"/>
    </row>
    <row r="10" spans="1:9" outlineLevel="2" x14ac:dyDescent="0.25">
      <c r="A10" s="10" t="s">
        <v>34</v>
      </c>
      <c r="B10" s="11">
        <v>154</v>
      </c>
      <c r="C10" s="12" t="s">
        <v>35</v>
      </c>
      <c r="D10" s="11" t="str">
        <f>IF(ISERROR(FIND("Count",$A10)),[1]!GetFile(A10),"")</f>
        <v/>
      </c>
      <c r="E10" s="15" t="str">
        <f>IF(ISERROR(FIND("Count",$A10)),UPPER(RIGHT([1]!GetExtension(A10),LEN([1]!GetExtension(A10))-1)),"")</f>
        <v/>
      </c>
      <c r="F10" s="13" t="str">
        <f>IF(ISERROR(FIND("Count",$A10)),[1]!dtmFileDateInfo(A10),"")</f>
        <v/>
      </c>
      <c r="G10" s="14" t="str">
        <f>IF(ISERROR(FIND("Count",$A10)),[1]!lngFileSize(A10),"")</f>
        <v/>
      </c>
      <c r="H10" s="11" t="str">
        <f>IF(ISERROR(FIND("Count",$A10)),[1]!GetFolder(A10),"")</f>
        <v/>
      </c>
      <c r="I10" s="16"/>
    </row>
    <row r="11" spans="1:9" outlineLevel="1" x14ac:dyDescent="0.25">
      <c r="A11" s="10" t="s">
        <v>144</v>
      </c>
      <c r="B11" s="11">
        <f>SUBTOTAL(3,B10:B10)</f>
        <v>1</v>
      </c>
      <c r="C11" s="12"/>
      <c r="D11" s="11" t="str">
        <f>IF(ISERROR(FIND("Count",$A11)),[1]!GetFile(A11),"")</f>
        <v/>
      </c>
      <c r="E11" s="15" t="str">
        <f>IF(ISERROR(FIND("Count",$A11)),UPPER(RIGHT([1]!GetExtension(A11),LEN([1]!GetExtension(A11))-1)),"")</f>
        <v/>
      </c>
      <c r="F11" s="13" t="str">
        <f>IF(ISERROR(FIND("Count",$A11)),[1]!dtmFileDateInfo(A11),"")</f>
        <v/>
      </c>
      <c r="G11" s="14" t="str">
        <f>IF(ISERROR(FIND("Count",$A11)),[1]!lngFileSize(A11),"")</f>
        <v/>
      </c>
      <c r="H11" s="11" t="str">
        <f>IF(ISERROR(FIND("Count",$A11)),[1]!GetFolder(A11),"")</f>
        <v/>
      </c>
      <c r="I11" s="16"/>
    </row>
    <row r="12" spans="1:9" outlineLevel="2" x14ac:dyDescent="0.25">
      <c r="A12" s="10" t="s">
        <v>36</v>
      </c>
      <c r="B12" s="11">
        <v>835</v>
      </c>
      <c r="C12" s="12" t="s">
        <v>37</v>
      </c>
      <c r="D12" s="11" t="str">
        <f>IF(ISERROR(FIND("Count",$A12)),[1]!GetFile(A12),"")</f>
        <v>FormInfo.cs</v>
      </c>
      <c r="E12" s="15" t="str">
        <f>IF(ISERROR(FIND("Count",$A12)),UPPER(RIGHT([1]!GetExtension(A12),LEN([1]!GetExtension(A12))-1)),"")</f>
        <v>CS</v>
      </c>
      <c r="F12" s="13">
        <f>IF(ISERROR(FIND("Count",$A12)),[1]!dtmFileDateInfo(A12),"")</f>
        <v>42004.162291666667</v>
      </c>
      <c r="G12" s="14">
        <f>IF(ISERROR(FIND("Count",$A12)),[1]!lngFileSize(A12),"")</f>
        <v>45621</v>
      </c>
      <c r="H12" s="11" t="str">
        <f>IF(ISERROR(FIND("Count",$A12)),[1]!GetFolder(A12),"")</f>
        <v>C:\Users\DAVE\Documents\Visual Studio 2013\Projects\NOLANB\DataEaseDirectoryReader\DataEase</v>
      </c>
      <c r="I12" s="16" t="s">
        <v>167</v>
      </c>
    </row>
    <row r="13" spans="1:9" outlineLevel="1" x14ac:dyDescent="0.25">
      <c r="A13" s="10" t="s">
        <v>145</v>
      </c>
      <c r="B13" s="11">
        <f>SUBTOTAL(3,B12:B12)</f>
        <v>1</v>
      </c>
      <c r="C13" s="12"/>
      <c r="D13" s="11" t="str">
        <f>IF(ISERROR(FIND("Count",$A13)),[1]!GetFile(A13),"")</f>
        <v/>
      </c>
      <c r="E13" s="15" t="str">
        <f>IF(ISERROR(FIND("Count",$A13)),UPPER(RIGHT([1]!GetExtension(A13),LEN([1]!GetExtension(A13))-1)),"")</f>
        <v/>
      </c>
      <c r="F13" s="13" t="str">
        <f>IF(ISERROR(FIND("Count",$A13)),[1]!dtmFileDateInfo(A13),"")</f>
        <v/>
      </c>
      <c r="G13" s="14" t="str">
        <f>IF(ISERROR(FIND("Count",$A13)),[1]!lngFileSize(A13),"")</f>
        <v/>
      </c>
      <c r="H13" s="11" t="str">
        <f>IF(ISERROR(FIND("Count",$A13)),[1]!GetFolder(A13),"")</f>
        <v/>
      </c>
      <c r="I13" s="16"/>
    </row>
    <row r="14" spans="1:9" outlineLevel="2" x14ac:dyDescent="0.25">
      <c r="A14" s="10" t="s">
        <v>38</v>
      </c>
      <c r="B14" s="11">
        <v>454</v>
      </c>
      <c r="C14" s="12" t="s">
        <v>39</v>
      </c>
      <c r="D14" s="11" t="str">
        <f>IF(ISERROR(FIND("Count",$A14)),[1]!GetFile(A14),"")</f>
        <v>Util.cs</v>
      </c>
      <c r="E14" s="15" t="str">
        <f>IF(ISERROR(FIND("Count",$A14)),UPPER(RIGHT([1]!GetExtension(A14),LEN([1]!GetExtension(A14))-1)),"")</f>
        <v>CS</v>
      </c>
      <c r="F14" s="13">
        <f>IF(ISERROR(FIND("Count",$A14)),[1]!dtmFileDateInfo(A14),"")</f>
        <v>42004.65730324074</v>
      </c>
      <c r="G14" s="14">
        <f>IF(ISERROR(FIND("Count",$A14)),[1]!lngFileSize(A14),"")</f>
        <v>21590</v>
      </c>
      <c r="H14" s="11" t="str">
        <f>IF(ISERROR(FIND("Count",$A14)),[1]!GetFolder(A14),"")</f>
        <v>C:\Users\DAVE\Documents\Visual Studio 2013\Projects\NOLANB\DataEaseDirectoryReader\DataEase</v>
      </c>
      <c r="I14" s="16" t="s">
        <v>167</v>
      </c>
    </row>
    <row r="15" spans="1:9" outlineLevel="2" x14ac:dyDescent="0.25">
      <c r="A15" s="10" t="s">
        <v>38</v>
      </c>
      <c r="B15" s="11">
        <v>460</v>
      </c>
      <c r="C15" s="12" t="s">
        <v>40</v>
      </c>
      <c r="D15" s="11" t="str">
        <f>IF(ISERROR(FIND("Count",$A15)),[1]!GetFile(A15),"")</f>
        <v>Util.cs</v>
      </c>
      <c r="E15" s="15" t="str">
        <f>IF(ISERROR(FIND("Count",$A15)),UPPER(RIGHT([1]!GetExtension(A15),LEN([1]!GetExtension(A15))-1)),"")</f>
        <v>CS</v>
      </c>
      <c r="F15" s="13">
        <f>IF(ISERROR(FIND("Count",$A15)),[1]!dtmFileDateInfo(A15),"")</f>
        <v>42004.65730324074</v>
      </c>
      <c r="G15" s="14">
        <f>IF(ISERROR(FIND("Count",$A15)),[1]!lngFileSize(A15),"")</f>
        <v>21590</v>
      </c>
      <c r="H15" s="11" t="str">
        <f>IF(ISERROR(FIND("Count",$A15)),[1]!GetFolder(A15),"")</f>
        <v>C:\Users\DAVE\Documents\Visual Studio 2013\Projects\NOLANB\DataEaseDirectoryReader\DataEase</v>
      </c>
      <c r="I15" s="16" t="s">
        <v>167</v>
      </c>
    </row>
    <row r="16" spans="1:9" outlineLevel="1" x14ac:dyDescent="0.25">
      <c r="A16" s="10" t="s">
        <v>146</v>
      </c>
      <c r="B16" s="11">
        <f>SUBTOTAL(3,B14:B15)</f>
        <v>2</v>
      </c>
      <c r="C16" s="12"/>
      <c r="D16" s="11" t="str">
        <f>IF(ISERROR(FIND("Count",$A16)),[1]!GetFile(A16),"")</f>
        <v/>
      </c>
      <c r="E16" s="15" t="str">
        <f>IF(ISERROR(FIND("Count",$A16)),UPPER(RIGHT([1]!GetExtension(A16),LEN([1]!GetExtension(A16))-1)),"")</f>
        <v/>
      </c>
      <c r="F16" s="13" t="str">
        <f>IF(ISERROR(FIND("Count",$A16)),[1]!dtmFileDateInfo(A16),"")</f>
        <v/>
      </c>
      <c r="G16" s="14" t="str">
        <f>IF(ISERROR(FIND("Count",$A16)),[1]!lngFileSize(A16),"")</f>
        <v/>
      </c>
      <c r="H16" s="11" t="str">
        <f>IF(ISERROR(FIND("Count",$A16)),[1]!GetFolder(A16),"")</f>
        <v/>
      </c>
      <c r="I16" s="16"/>
    </row>
    <row r="17" spans="1:9" outlineLevel="2" x14ac:dyDescent="0.25">
      <c r="A17" s="10" t="s">
        <v>41</v>
      </c>
      <c r="B17" s="11">
        <v>303</v>
      </c>
      <c r="C17" s="12" t="s">
        <v>42</v>
      </c>
      <c r="D17" s="11" t="str">
        <f>IF(ISERROR(FIND("Count",$A17)),[1]!GetFile(A17),"")</f>
        <v>Program.cs</v>
      </c>
      <c r="E17" s="15" t="str">
        <f>IF(ISERROR(FIND("Count",$A17)),UPPER(RIGHT([1]!GetExtension(A17),LEN([1]!GetExtension(A17))-1)),"")</f>
        <v>CS</v>
      </c>
      <c r="F17" s="13">
        <f>IF(ISERROR(FIND("Count",$A17)),[1]!dtmFileDateInfo(A17),"")</f>
        <v>42004.789236111108</v>
      </c>
      <c r="G17" s="14">
        <f>IF(ISERROR(FIND("Count",$A17)),[1]!lngFileSize(A17),"")</f>
        <v>35521</v>
      </c>
      <c r="H17" s="11" t="str">
        <f>IF(ISERROR(FIND("Count",$A17)),[1]!GetFolder(A17),"")</f>
        <v>C:\Users\DAVE\Documents\Visual Studio 2013\Projects\NOLANB\DataEaseDirectoryReader\DataEaseDirectoryReader</v>
      </c>
      <c r="I17" s="16" t="s">
        <v>167</v>
      </c>
    </row>
    <row r="18" spans="1:9" outlineLevel="2" x14ac:dyDescent="0.25">
      <c r="A18" s="10" t="s">
        <v>41</v>
      </c>
      <c r="B18" s="11">
        <v>304</v>
      </c>
      <c r="C18" s="12" t="s">
        <v>43</v>
      </c>
      <c r="D18" s="11" t="str">
        <f>IF(ISERROR(FIND("Count",$A18)),[1]!GetFile(A18),"")</f>
        <v>Program.cs</v>
      </c>
      <c r="E18" s="15" t="str">
        <f>IF(ISERROR(FIND("Count",$A18)),UPPER(RIGHT([1]!GetExtension(A18),LEN([1]!GetExtension(A18))-1)),"")</f>
        <v>CS</v>
      </c>
      <c r="F18" s="13">
        <f>IF(ISERROR(FIND("Count",$A18)),[1]!dtmFileDateInfo(A18),"")</f>
        <v>42004.789236111108</v>
      </c>
      <c r="G18" s="14">
        <f>IF(ISERROR(FIND("Count",$A18)),[1]!lngFileSize(A18),"")</f>
        <v>35521</v>
      </c>
      <c r="H18" s="11" t="str">
        <f>IF(ISERROR(FIND("Count",$A18)),[1]!GetFolder(A18),"")</f>
        <v>C:\Users\DAVE\Documents\Visual Studio 2013\Projects\NOLANB\DataEaseDirectoryReader\DataEaseDirectoryReader</v>
      </c>
      <c r="I18" s="16" t="s">
        <v>167</v>
      </c>
    </row>
    <row r="19" spans="1:9" outlineLevel="2" x14ac:dyDescent="0.25">
      <c r="A19" s="10" t="s">
        <v>41</v>
      </c>
      <c r="B19" s="11">
        <v>305</v>
      </c>
      <c r="C19" s="12" t="s">
        <v>44</v>
      </c>
      <c r="D19" s="11" t="str">
        <f>IF(ISERROR(FIND("Count",$A19)),[1]!GetFile(A19),"")</f>
        <v>Program.cs</v>
      </c>
      <c r="E19" s="15" t="str">
        <f>IF(ISERROR(FIND("Count",$A19)),UPPER(RIGHT([1]!GetExtension(A19),LEN([1]!GetExtension(A19))-1)),"")</f>
        <v>CS</v>
      </c>
      <c r="F19" s="13">
        <f>IF(ISERROR(FIND("Count",$A19)),[1]!dtmFileDateInfo(A19),"")</f>
        <v>42004.789236111108</v>
      </c>
      <c r="G19" s="14">
        <f>IF(ISERROR(FIND("Count",$A19)),[1]!lngFileSize(A19),"")</f>
        <v>35521</v>
      </c>
      <c r="H19" s="11" t="str">
        <f>IF(ISERROR(FIND("Count",$A19)),[1]!GetFolder(A19),"")</f>
        <v>C:\Users\DAVE\Documents\Visual Studio 2013\Projects\NOLANB\DataEaseDirectoryReader\DataEaseDirectoryReader</v>
      </c>
      <c r="I19" s="16" t="s">
        <v>167</v>
      </c>
    </row>
    <row r="20" spans="1:9" outlineLevel="2" x14ac:dyDescent="0.25">
      <c r="A20" s="10" t="s">
        <v>41</v>
      </c>
      <c r="B20" s="11">
        <v>306</v>
      </c>
      <c r="C20" s="12" t="s">
        <v>45</v>
      </c>
      <c r="D20" s="11" t="str">
        <f>IF(ISERROR(FIND("Count",$A20)),[1]!GetFile(A20),"")</f>
        <v>Program.cs</v>
      </c>
      <c r="E20" s="15" t="str">
        <f>IF(ISERROR(FIND("Count",$A20)),UPPER(RIGHT([1]!GetExtension(A20),LEN([1]!GetExtension(A20))-1)),"")</f>
        <v>CS</v>
      </c>
      <c r="F20" s="13">
        <f>IF(ISERROR(FIND("Count",$A20)),[1]!dtmFileDateInfo(A20),"")</f>
        <v>42004.789236111108</v>
      </c>
      <c r="G20" s="14">
        <f>IF(ISERROR(FIND("Count",$A20)),[1]!lngFileSize(A20),"")</f>
        <v>35521</v>
      </c>
      <c r="H20" s="11" t="str">
        <f>IF(ISERROR(FIND("Count",$A20)),[1]!GetFolder(A20),"")</f>
        <v>C:\Users\DAVE\Documents\Visual Studio 2013\Projects\NOLANB\DataEaseDirectoryReader\DataEaseDirectoryReader</v>
      </c>
      <c r="I20" s="16" t="s">
        <v>167</v>
      </c>
    </row>
    <row r="21" spans="1:9" outlineLevel="2" x14ac:dyDescent="0.25">
      <c r="A21" s="10" t="s">
        <v>41</v>
      </c>
      <c r="B21" s="11">
        <v>307</v>
      </c>
      <c r="C21" s="12" t="s">
        <v>46</v>
      </c>
      <c r="D21" s="11" t="str">
        <f>IF(ISERROR(FIND("Count",$A21)),[1]!GetFile(A21),"")</f>
        <v>Program.cs</v>
      </c>
      <c r="E21" s="15" t="str">
        <f>IF(ISERROR(FIND("Count",$A21)),UPPER(RIGHT([1]!GetExtension(A21),LEN([1]!GetExtension(A21))-1)),"")</f>
        <v>CS</v>
      </c>
      <c r="F21" s="13">
        <f>IF(ISERROR(FIND("Count",$A21)),[1]!dtmFileDateInfo(A21),"")</f>
        <v>42004.789236111108</v>
      </c>
      <c r="G21" s="14">
        <f>IF(ISERROR(FIND("Count",$A21)),[1]!lngFileSize(A21),"")</f>
        <v>35521</v>
      </c>
      <c r="H21" s="11" t="str">
        <f>IF(ISERROR(FIND("Count",$A21)),[1]!GetFolder(A21),"")</f>
        <v>C:\Users\DAVE\Documents\Visual Studio 2013\Projects\NOLANB\DataEaseDirectoryReader\DataEaseDirectoryReader</v>
      </c>
      <c r="I21" s="16" t="s">
        <v>167</v>
      </c>
    </row>
    <row r="22" spans="1:9" outlineLevel="2" x14ac:dyDescent="0.25">
      <c r="A22" s="10" t="s">
        <v>41</v>
      </c>
      <c r="B22" s="11">
        <v>308</v>
      </c>
      <c r="C22" s="12" t="s">
        <v>47</v>
      </c>
      <c r="D22" s="11" t="str">
        <f>IF(ISERROR(FIND("Count",$A22)),[1]!GetFile(A22),"")</f>
        <v>Program.cs</v>
      </c>
      <c r="E22" s="15" t="str">
        <f>IF(ISERROR(FIND("Count",$A22)),UPPER(RIGHT([1]!GetExtension(A22),LEN([1]!GetExtension(A22))-1)),"")</f>
        <v>CS</v>
      </c>
      <c r="F22" s="13">
        <f>IF(ISERROR(FIND("Count",$A22)),[1]!dtmFileDateInfo(A22),"")</f>
        <v>42004.789236111108</v>
      </c>
      <c r="G22" s="14">
        <f>IF(ISERROR(FIND("Count",$A22)),[1]!lngFileSize(A22),"")</f>
        <v>35521</v>
      </c>
      <c r="H22" s="11" t="str">
        <f>IF(ISERROR(FIND("Count",$A22)),[1]!GetFolder(A22),"")</f>
        <v>C:\Users\DAVE\Documents\Visual Studio 2013\Projects\NOLANB\DataEaseDirectoryReader\DataEaseDirectoryReader</v>
      </c>
      <c r="I22" s="16" t="s">
        <v>167</v>
      </c>
    </row>
    <row r="23" spans="1:9" outlineLevel="1" x14ac:dyDescent="0.25">
      <c r="A23" s="10" t="s">
        <v>147</v>
      </c>
      <c r="B23" s="11">
        <f>SUBTOTAL(3,B17:B22)</f>
        <v>6</v>
      </c>
      <c r="C23" s="12"/>
      <c r="D23" s="11" t="str">
        <f>IF(ISERROR(FIND("Count",$A23)),[1]!GetFile(A23),"")</f>
        <v/>
      </c>
      <c r="E23" s="15" t="str">
        <f>IF(ISERROR(FIND("Count",$A23)),UPPER(RIGHT([1]!GetExtension(A23),LEN([1]!GetExtension(A23))-1)),"")</f>
        <v/>
      </c>
      <c r="F23" s="13" t="str">
        <f>IF(ISERROR(FIND("Count",$A23)),[1]!dtmFileDateInfo(A23),"")</f>
        <v/>
      </c>
      <c r="G23" s="14" t="str">
        <f>IF(ISERROR(FIND("Count",$A23)),[1]!lngFileSize(A23),"")</f>
        <v/>
      </c>
      <c r="H23" s="11" t="str">
        <f>IF(ISERROR(FIND("Count",$A23)),[1]!GetFolder(A23),"")</f>
        <v/>
      </c>
      <c r="I23" s="16"/>
    </row>
    <row r="24" spans="1:9" outlineLevel="2" x14ac:dyDescent="0.25">
      <c r="A24" s="10" t="s">
        <v>48</v>
      </c>
      <c r="B24" s="11">
        <v>692</v>
      </c>
      <c r="C24" s="12" t="s">
        <v>49</v>
      </c>
      <c r="D24" s="11" t="str">
        <f>IF(ISERROR(FIND("Count",$A24)),[1]!GetFile(A24),"")</f>
        <v>ReportSplitter.cs</v>
      </c>
      <c r="E24" s="15" t="str">
        <f>IF(ISERROR(FIND("Count",$A24)),UPPER(RIGHT([1]!GetExtension(A24),LEN([1]!GetExtension(A24))-1)),"")</f>
        <v>CS</v>
      </c>
      <c r="F24" s="13">
        <f>IF(ISERROR(FIND("Count",$A24)),[1]!dtmFileDateInfo(A24),"")</f>
        <v>42228.661111111112</v>
      </c>
      <c r="G24" s="14">
        <f>IF(ISERROR(FIND("Count",$A24)),[1]!lngFileSize(A24),"")</f>
        <v>40570</v>
      </c>
      <c r="H24" s="11" t="str">
        <f>IF(ISERROR(FIND("Count",$A24)),[1]!GetFolder(A24),"")</f>
        <v>C:\Users\DAVE\Documents\Visual Studio 2013\Projects\NOLANB\DEDocTR_Repository_Manager\DEDocTR_Repository_Manager</v>
      </c>
      <c r="I24" s="16" t="s">
        <v>167</v>
      </c>
    </row>
    <row r="25" spans="1:9" outlineLevel="1" x14ac:dyDescent="0.25">
      <c r="A25" s="10" t="s">
        <v>148</v>
      </c>
      <c r="B25" s="11">
        <f>SUBTOTAL(3,B24:B24)</f>
        <v>1</v>
      </c>
      <c r="C25" s="12"/>
      <c r="D25" s="11" t="str">
        <f>IF(ISERROR(FIND("Count",$A25)),[1]!GetFile(A25),"")</f>
        <v/>
      </c>
      <c r="E25" s="15" t="str">
        <f>IF(ISERROR(FIND("Count",$A25)),UPPER(RIGHT([1]!GetExtension(A25),LEN([1]!GetExtension(A25))-1)),"")</f>
        <v/>
      </c>
      <c r="F25" s="13" t="str">
        <f>IF(ISERROR(FIND("Count",$A25)),[1]!dtmFileDateInfo(A25),"")</f>
        <v/>
      </c>
      <c r="G25" s="14" t="str">
        <f>IF(ISERROR(FIND("Count",$A25)),[1]!lngFileSize(A25),"")</f>
        <v/>
      </c>
      <c r="H25" s="11" t="str">
        <f>IF(ISERROR(FIND("Count",$A25)),[1]!GetFolder(A25),"")</f>
        <v/>
      </c>
      <c r="I25" s="16"/>
    </row>
    <row r="26" spans="1:9" outlineLevel="2" x14ac:dyDescent="0.25">
      <c r="A26" s="10" t="s">
        <v>50</v>
      </c>
      <c r="B26" s="11">
        <v>146</v>
      </c>
      <c r="C26" s="12" t="s">
        <v>51</v>
      </c>
      <c r="D26" s="11" t="str">
        <f>IF(ISERROR(FIND("Count",$A26)),[1]!GetFile(A26),"")</f>
        <v>ZZ_DirectoryImport.cs</v>
      </c>
      <c r="E26" s="15" t="str">
        <f>IF(ISERROR(FIND("Count",$A26)),UPPER(RIGHT([1]!GetExtension(A26),LEN([1]!GetExtension(A26))-1)),"")</f>
        <v>CS</v>
      </c>
      <c r="F26" s="13">
        <f>IF(ISERROR(FIND("Count",$A26)),[1]!dtmFileDateInfo(A26),"")</f>
        <v>42004.920497685183</v>
      </c>
      <c r="G26" s="14">
        <f>IF(ISERROR(FIND("Count",$A26)),[1]!lngFileSize(A26),"")</f>
        <v>7648</v>
      </c>
      <c r="H26" s="11" t="str">
        <f>IF(ISERROR(FIND("Count",$A26)),[1]!GetFolder(A26),"")</f>
        <v>C:\Users\DAVE\Documents\Visual Studio 2013\Projects\NOLANB\ZZRdInts\ZZRdInts</v>
      </c>
      <c r="I26" s="16" t="s">
        <v>167</v>
      </c>
    </row>
    <row r="27" spans="1:9" outlineLevel="2" x14ac:dyDescent="0.25">
      <c r="A27" s="10" t="s">
        <v>50</v>
      </c>
      <c r="B27" s="11">
        <v>147</v>
      </c>
      <c r="C27" s="12" t="s">
        <v>52</v>
      </c>
      <c r="D27" s="11" t="str">
        <f>IF(ISERROR(FIND("Count",$A27)),[1]!GetFile(A27),"")</f>
        <v>ZZ_DirectoryImport.cs</v>
      </c>
      <c r="E27" s="15" t="str">
        <f>IF(ISERROR(FIND("Count",$A27)),UPPER(RIGHT([1]!GetExtension(A27),LEN([1]!GetExtension(A27))-1)),"")</f>
        <v>CS</v>
      </c>
      <c r="F27" s="13">
        <f>IF(ISERROR(FIND("Count",$A27)),[1]!dtmFileDateInfo(A27),"")</f>
        <v>42004.920497685183</v>
      </c>
      <c r="G27" s="14">
        <f>IF(ISERROR(FIND("Count",$A27)),[1]!lngFileSize(A27),"")</f>
        <v>7648</v>
      </c>
      <c r="H27" s="11" t="str">
        <f>IF(ISERROR(FIND("Count",$A27)),[1]!GetFolder(A27),"")</f>
        <v>C:\Users\DAVE\Documents\Visual Studio 2013\Projects\NOLANB\ZZRdInts\ZZRdInts</v>
      </c>
      <c r="I27" s="16" t="s">
        <v>167</v>
      </c>
    </row>
    <row r="28" spans="1:9" outlineLevel="2" x14ac:dyDescent="0.25">
      <c r="A28" s="10" t="s">
        <v>50</v>
      </c>
      <c r="B28" s="11">
        <v>149</v>
      </c>
      <c r="C28" s="12" t="s">
        <v>53</v>
      </c>
      <c r="D28" s="11" t="str">
        <f>IF(ISERROR(FIND("Count",$A28)),[1]!GetFile(A28),"")</f>
        <v>ZZ_DirectoryImport.cs</v>
      </c>
      <c r="E28" s="15" t="str">
        <f>IF(ISERROR(FIND("Count",$A28)),UPPER(RIGHT([1]!GetExtension(A28),LEN([1]!GetExtension(A28))-1)),"")</f>
        <v>CS</v>
      </c>
      <c r="F28" s="13">
        <f>IF(ISERROR(FIND("Count",$A28)),[1]!dtmFileDateInfo(A28),"")</f>
        <v>42004.920497685183</v>
      </c>
      <c r="G28" s="14">
        <f>IF(ISERROR(FIND("Count",$A28)),[1]!lngFileSize(A28),"")</f>
        <v>7648</v>
      </c>
      <c r="H28" s="11" t="str">
        <f>IF(ISERROR(FIND("Count",$A28)),[1]!GetFolder(A28),"")</f>
        <v>C:\Users\DAVE\Documents\Visual Studio 2013\Projects\NOLANB\ZZRdInts\ZZRdInts</v>
      </c>
      <c r="I28" s="16" t="s">
        <v>167</v>
      </c>
    </row>
    <row r="29" spans="1:9" outlineLevel="1" x14ac:dyDescent="0.25">
      <c r="A29" s="10" t="s">
        <v>149</v>
      </c>
      <c r="B29" s="11">
        <f>SUBTOTAL(3,B26:B28)</f>
        <v>3</v>
      </c>
      <c r="C29" s="12"/>
      <c r="D29" s="11" t="str">
        <f>IF(ISERROR(FIND("Count",$A29)),[1]!GetFile(A29),"")</f>
        <v/>
      </c>
      <c r="E29" s="15" t="str">
        <f>IF(ISERROR(FIND("Count",$A29)),UPPER(RIGHT([1]!GetExtension(A29),LEN([1]!GetExtension(A29))-1)),"")</f>
        <v/>
      </c>
      <c r="F29" s="13" t="str">
        <f>IF(ISERROR(FIND("Count",$A29)),[1]!dtmFileDateInfo(A29),"")</f>
        <v/>
      </c>
      <c r="G29" s="14" t="str">
        <f>IF(ISERROR(FIND("Count",$A29)),[1]!lngFileSize(A29),"")</f>
        <v/>
      </c>
      <c r="H29" s="11" t="str">
        <f>IF(ISERROR(FIND("Count",$A29)),[1]!GetFolder(A29),"")</f>
        <v/>
      </c>
      <c r="I29" s="16"/>
    </row>
    <row r="30" spans="1:9" outlineLevel="2" x14ac:dyDescent="0.25">
      <c r="A30" s="10" t="s">
        <v>55</v>
      </c>
      <c r="B30" s="11">
        <v>8</v>
      </c>
      <c r="C30" s="12" t="s">
        <v>56</v>
      </c>
      <c r="D30" s="11" t="str">
        <f>IF(ISERROR(FIND("Count",$A30)),[1]!GetFile(A30),"")</f>
        <v>SysDateFormatters.cs</v>
      </c>
      <c r="E30" s="15" t="str">
        <f>IF(ISERROR(FIND("Count",$A30)),UPPER(RIGHT([1]!GetExtension(A30),LEN([1]!GetExtension(A30))-1)),"")</f>
        <v>CS</v>
      </c>
      <c r="F30" s="13">
        <f>IF(ISERROR(FIND("Count",$A30)),[1]!dtmFileDateInfo(A30),"")</f>
        <v>0</v>
      </c>
      <c r="G30" s="14">
        <f>IF(ISERROR(FIND("Count",$A30)),[1]!lngFileSize(A30),"")</f>
        <v>0</v>
      </c>
      <c r="H30" s="11" t="str">
        <f>IF(ISERROR(FIND("Count",$A30)),[1]!GetFolder(A30),"")</f>
        <v>C:\Users\DAVE\Documents\Visual Studio 2013\Projects\WizardWrx_Libs\DLLServices2\DLLServices2</v>
      </c>
      <c r="I30" s="16" t="s">
        <v>168</v>
      </c>
    </row>
    <row r="31" spans="1:9" outlineLevel="2" x14ac:dyDescent="0.25">
      <c r="A31" s="10" t="s">
        <v>55</v>
      </c>
      <c r="B31" s="11">
        <v>151</v>
      </c>
      <c r="C31" s="12" t="s">
        <v>57</v>
      </c>
      <c r="D31" s="11" t="str">
        <f>IF(ISERROR(FIND("Count",$A31)),[1]!GetFile(A31),"")</f>
        <v>SysDateFormatters.cs</v>
      </c>
      <c r="E31" s="15" t="str">
        <f>IF(ISERROR(FIND("Count",$A31)),UPPER(RIGHT([1]!GetExtension(A31),LEN([1]!GetExtension(A31))-1)),"")</f>
        <v>CS</v>
      </c>
      <c r="F31" s="13">
        <f>IF(ISERROR(FIND("Count",$A31)),[1]!dtmFileDateInfo(A31),"")</f>
        <v>0</v>
      </c>
      <c r="G31" s="14">
        <f>IF(ISERROR(FIND("Count",$A31)),[1]!lngFileSize(A31),"")</f>
        <v>0</v>
      </c>
      <c r="H31" s="11" t="str">
        <f>IF(ISERROR(FIND("Count",$A31)),[1]!GetFolder(A31),"")</f>
        <v>C:\Users\DAVE\Documents\Visual Studio 2013\Projects\WizardWrx_Libs\DLLServices2\DLLServices2</v>
      </c>
      <c r="I31" s="16" t="s">
        <v>168</v>
      </c>
    </row>
    <row r="32" spans="1:9" outlineLevel="2" x14ac:dyDescent="0.25">
      <c r="A32" s="10" t="s">
        <v>55</v>
      </c>
      <c r="B32" s="11">
        <v>522</v>
      </c>
      <c r="C32" s="12" t="s">
        <v>58</v>
      </c>
      <c r="D32" s="11" t="str">
        <f>IF(ISERROR(FIND("Count",$A32)),[1]!GetFile(A32),"")</f>
        <v>SysDateFormatters.cs</v>
      </c>
      <c r="E32" s="15" t="str">
        <f>IF(ISERROR(FIND("Count",$A32)),UPPER(RIGHT([1]!GetExtension(A32),LEN([1]!GetExtension(A32))-1)),"")</f>
        <v>CS</v>
      </c>
      <c r="F32" s="13">
        <f>IF(ISERROR(FIND("Count",$A32)),[1]!dtmFileDateInfo(A32),"")</f>
        <v>0</v>
      </c>
      <c r="G32" s="14">
        <f>IF(ISERROR(FIND("Count",$A32)),[1]!lngFileSize(A32),"")</f>
        <v>0</v>
      </c>
      <c r="H32" s="11" t="str">
        <f>IF(ISERROR(FIND("Count",$A32)),[1]!GetFolder(A32),"")</f>
        <v>C:\Users\DAVE\Documents\Visual Studio 2013\Projects\WizardWrx_Libs\DLLServices2\DLLServices2</v>
      </c>
      <c r="I32" s="16" t="s">
        <v>168</v>
      </c>
    </row>
    <row r="33" spans="1:9" outlineLevel="2" x14ac:dyDescent="0.25">
      <c r="A33" s="10" t="s">
        <v>55</v>
      </c>
      <c r="B33" s="11">
        <v>529</v>
      </c>
      <c r="C33" s="12" t="s">
        <v>59</v>
      </c>
      <c r="D33" s="11" t="str">
        <f>IF(ISERROR(FIND("Count",$A33)),[1]!GetFile(A33),"")</f>
        <v>SysDateFormatters.cs</v>
      </c>
      <c r="E33" s="15" t="str">
        <f>IF(ISERROR(FIND("Count",$A33)),UPPER(RIGHT([1]!GetExtension(A33),LEN([1]!GetExtension(A33))-1)),"")</f>
        <v>CS</v>
      </c>
      <c r="F33" s="13">
        <f>IF(ISERROR(FIND("Count",$A33)),[1]!dtmFileDateInfo(A33),"")</f>
        <v>0</v>
      </c>
      <c r="G33" s="14">
        <f>IF(ISERROR(FIND("Count",$A33)),[1]!lngFileSize(A33),"")</f>
        <v>0</v>
      </c>
      <c r="H33" s="11" t="str">
        <f>IF(ISERROR(FIND("Count",$A33)),[1]!GetFolder(A33),"")</f>
        <v>C:\Users\DAVE\Documents\Visual Studio 2013\Projects\WizardWrx_Libs\DLLServices2\DLLServices2</v>
      </c>
      <c r="I33" s="16" t="s">
        <v>168</v>
      </c>
    </row>
    <row r="34" spans="1:9" outlineLevel="2" x14ac:dyDescent="0.25">
      <c r="A34" s="10" t="s">
        <v>55</v>
      </c>
      <c r="B34" s="11">
        <v>614</v>
      </c>
      <c r="C34" s="12" t="s">
        <v>60</v>
      </c>
      <c r="D34" s="11" t="str">
        <f>IF(ISERROR(FIND("Count",$A34)),[1]!GetFile(A34),"")</f>
        <v>SysDateFormatters.cs</v>
      </c>
      <c r="E34" s="15" t="str">
        <f>IF(ISERROR(FIND("Count",$A34)),UPPER(RIGHT([1]!GetExtension(A34),LEN([1]!GetExtension(A34))-1)),"")</f>
        <v>CS</v>
      </c>
      <c r="F34" s="13">
        <f>IF(ISERROR(FIND("Count",$A34)),[1]!dtmFileDateInfo(A34),"")</f>
        <v>0</v>
      </c>
      <c r="G34" s="14">
        <f>IF(ISERROR(FIND("Count",$A34)),[1]!lngFileSize(A34),"")</f>
        <v>0</v>
      </c>
      <c r="H34" s="11" t="str">
        <f>IF(ISERROR(FIND("Count",$A34)),[1]!GetFolder(A34),"")</f>
        <v>C:\Users\DAVE\Documents\Visual Studio 2013\Projects\WizardWrx_Libs\DLLServices2\DLLServices2</v>
      </c>
      <c r="I34" s="16" t="s">
        <v>168</v>
      </c>
    </row>
    <row r="35" spans="1:9" outlineLevel="2" x14ac:dyDescent="0.25">
      <c r="A35" s="10" t="s">
        <v>55</v>
      </c>
      <c r="B35" s="11">
        <v>742</v>
      </c>
      <c r="C35" s="12" t="s">
        <v>61</v>
      </c>
      <c r="D35" s="11" t="str">
        <f>IF(ISERROR(FIND("Count",$A35)),[1]!GetFile(A35),"")</f>
        <v>SysDateFormatters.cs</v>
      </c>
      <c r="E35" s="15" t="str">
        <f>IF(ISERROR(FIND("Count",$A35)),UPPER(RIGHT([1]!GetExtension(A35),LEN([1]!GetExtension(A35))-1)),"")</f>
        <v>CS</v>
      </c>
      <c r="F35" s="13">
        <f>IF(ISERROR(FIND("Count",$A35)),[1]!dtmFileDateInfo(A35),"")</f>
        <v>0</v>
      </c>
      <c r="G35" s="14">
        <f>IF(ISERROR(FIND("Count",$A35)),[1]!lngFileSize(A35),"")</f>
        <v>0</v>
      </c>
      <c r="H35" s="11" t="str">
        <f>IF(ISERROR(FIND("Count",$A35)),[1]!GetFolder(A35),"")</f>
        <v>C:\Users\DAVE\Documents\Visual Studio 2013\Projects\WizardWrx_Libs\DLLServices2\DLLServices2</v>
      </c>
      <c r="I35" s="16" t="s">
        <v>168</v>
      </c>
    </row>
    <row r="36" spans="1:9" outlineLevel="1" x14ac:dyDescent="0.25">
      <c r="A36" s="10" t="s">
        <v>150</v>
      </c>
      <c r="B36" s="11">
        <f>SUBTOTAL(3,B30:B35)</f>
        <v>6</v>
      </c>
      <c r="C36" s="12"/>
      <c r="D36" s="11" t="str">
        <f>IF(ISERROR(FIND("Count",$A36)),[1]!GetFile(A36),"")</f>
        <v/>
      </c>
      <c r="E36" s="15" t="str">
        <f>IF(ISERROR(FIND("Count",$A36)),UPPER(RIGHT([1]!GetExtension(A36),LEN([1]!GetExtension(A36))-1)),"")</f>
        <v/>
      </c>
      <c r="F36" s="13" t="str">
        <f>IF(ISERROR(FIND("Count",$A36)),[1]!dtmFileDateInfo(A36),"")</f>
        <v/>
      </c>
      <c r="G36" s="14" t="str">
        <f>IF(ISERROR(FIND("Count",$A36)),[1]!lngFileSize(A36),"")</f>
        <v/>
      </c>
      <c r="H36" s="11" t="str">
        <f>IF(ISERROR(FIND("Count",$A36)),[1]!GetFolder(A36),"")</f>
        <v/>
      </c>
      <c r="I36" s="16"/>
    </row>
    <row r="37" spans="1:9" outlineLevel="2" x14ac:dyDescent="0.25">
      <c r="A37" s="10" t="s">
        <v>22</v>
      </c>
      <c r="B37" s="11">
        <v>345</v>
      </c>
      <c r="C37" s="12" t="s">
        <v>63</v>
      </c>
      <c r="D37" s="11" t="str">
        <f>IF(ISERROR(FIND("Count",$A37)),[1]!GetFile(A37),"")</f>
        <v>NewClassTests_20140914.cs</v>
      </c>
      <c r="E37" s="15" t="str">
        <f>IF(ISERROR(FIND("Count",$A37)),UPPER(RIGHT([1]!GetExtension(A37),LEN([1]!GetExtension(A37))-1)),"")</f>
        <v>CS</v>
      </c>
      <c r="F37" s="13">
        <f>IF(ISERROR(FIND("Count",$A37)),[1]!dtmFileDateInfo(A37),"")</f>
        <v>0</v>
      </c>
      <c r="G37" s="14">
        <f>IF(ISERROR(FIND("Count",$A37)),[1]!lngFileSize(A37),"")</f>
        <v>0</v>
      </c>
      <c r="H37" s="11" t="str">
        <f>IF(ISERROR(FIND("Count",$A37)),[1]!GetFolder(A37),"")</f>
        <v>C:\Users\DAVE\Documents\Visual Studio 2013\Projects\WizardWrx_Libs\DLLServices2\DLLServices2TestStand</v>
      </c>
      <c r="I37" s="16" t="s">
        <v>168</v>
      </c>
    </row>
    <row r="38" spans="1:9" outlineLevel="2" x14ac:dyDescent="0.25">
      <c r="A38" s="10" t="s">
        <v>22</v>
      </c>
      <c r="B38" s="11">
        <v>346</v>
      </c>
      <c r="C38" s="12" t="s">
        <v>64</v>
      </c>
      <c r="D38" s="11" t="str">
        <f>IF(ISERROR(FIND("Count",$A38)),[1]!GetFile(A38),"")</f>
        <v>NewClassTests_20140914.cs</v>
      </c>
      <c r="E38" s="15" t="str">
        <f>IF(ISERROR(FIND("Count",$A38)),UPPER(RIGHT([1]!GetExtension(A38),LEN([1]!GetExtension(A38))-1)),"")</f>
        <v>CS</v>
      </c>
      <c r="F38" s="13">
        <f>IF(ISERROR(FIND("Count",$A38)),[1]!dtmFileDateInfo(A38),"")</f>
        <v>0</v>
      </c>
      <c r="G38" s="14">
        <f>IF(ISERROR(FIND("Count",$A38)),[1]!lngFileSize(A38),"")</f>
        <v>0</v>
      </c>
      <c r="H38" s="11" t="str">
        <f>IF(ISERROR(FIND("Count",$A38)),[1]!GetFolder(A38),"")</f>
        <v>C:\Users\DAVE\Documents\Visual Studio 2013\Projects\WizardWrx_Libs\DLLServices2\DLLServices2TestStand</v>
      </c>
      <c r="I38" s="16" t="s">
        <v>168</v>
      </c>
    </row>
    <row r="39" spans="1:9" outlineLevel="2" x14ac:dyDescent="0.25">
      <c r="A39" s="10" t="s">
        <v>22</v>
      </c>
      <c r="B39" s="11">
        <v>347</v>
      </c>
      <c r="C39" s="12" t="s">
        <v>65</v>
      </c>
      <c r="D39" s="11" t="str">
        <f>IF(ISERROR(FIND("Count",$A39)),[1]!GetFile(A39),"")</f>
        <v>NewClassTests_20140914.cs</v>
      </c>
      <c r="E39" s="15" t="str">
        <f>IF(ISERROR(FIND("Count",$A39)),UPPER(RIGHT([1]!GetExtension(A39),LEN([1]!GetExtension(A39))-1)),"")</f>
        <v>CS</v>
      </c>
      <c r="F39" s="13">
        <f>IF(ISERROR(FIND("Count",$A39)),[1]!dtmFileDateInfo(A39),"")</f>
        <v>0</v>
      </c>
      <c r="G39" s="14">
        <f>IF(ISERROR(FIND("Count",$A39)),[1]!lngFileSize(A39),"")</f>
        <v>0</v>
      </c>
      <c r="H39" s="11" t="str">
        <f>IF(ISERROR(FIND("Count",$A39)),[1]!GetFolder(A39),"")</f>
        <v>C:\Users\DAVE\Documents\Visual Studio 2013\Projects\WizardWrx_Libs\DLLServices2\DLLServices2TestStand</v>
      </c>
      <c r="I39" s="16" t="s">
        <v>168</v>
      </c>
    </row>
    <row r="40" spans="1:9" outlineLevel="1" x14ac:dyDescent="0.25">
      <c r="A40" s="10" t="s">
        <v>140</v>
      </c>
      <c r="B40" s="11">
        <f>SUBTOTAL(3,B37:B39)</f>
        <v>3</v>
      </c>
      <c r="C40" s="12"/>
      <c r="D40" s="11" t="str">
        <f>IF(ISERROR(FIND("Count",$A40)),[1]!GetFile(A40),"")</f>
        <v/>
      </c>
      <c r="E40" s="15" t="str">
        <f>IF(ISERROR(FIND("Count",$A40)),UPPER(RIGHT([1]!GetExtension(A40),LEN([1]!GetExtension(A40))-1)),"")</f>
        <v/>
      </c>
      <c r="F40" s="13" t="str">
        <f>IF(ISERROR(FIND("Count",$A40)),[1]!dtmFileDateInfo(A40),"")</f>
        <v/>
      </c>
      <c r="G40" s="14" t="str">
        <f>IF(ISERROR(FIND("Count",$A40)),[1]!lngFileSize(A40),"")</f>
        <v/>
      </c>
      <c r="H40" s="11" t="str">
        <f>IF(ISERROR(FIND("Count",$A40)),[1]!GetFolder(A40),"")</f>
        <v/>
      </c>
      <c r="I40" s="16"/>
    </row>
    <row r="41" spans="1:9" outlineLevel="2" x14ac:dyDescent="0.25">
      <c r="A41" s="10" t="s">
        <v>66</v>
      </c>
      <c r="B41" s="11">
        <v>120</v>
      </c>
      <c r="C41" s="12" t="s">
        <v>62</v>
      </c>
      <c r="D41" s="11" t="str">
        <f>IF(ISERROR(FIND("Count",$A41)),[1]!GetFile(A41),"")</f>
        <v>DisplayFormats.cs</v>
      </c>
      <c r="E41" s="15" t="str">
        <f>IF(ISERROR(FIND("Count",$A41)),UPPER(RIGHT([1]!GetExtension(A41),LEN([1]!GetExtension(A41))-1)),"")</f>
        <v>CS</v>
      </c>
      <c r="F41" s="13">
        <f>IF(ISERROR(FIND("Count",$A41)),[1]!dtmFileDateInfo(A41),"")</f>
        <v>0</v>
      </c>
      <c r="G41" s="14">
        <f>IF(ISERROR(FIND("Count",$A41)),[1]!lngFileSize(A41),"")</f>
        <v>0</v>
      </c>
      <c r="H41" s="11" t="str">
        <f>IF(ISERROR(FIND("Count",$A41)),[1]!GetFolder(A41),"")</f>
        <v>C:\Users\DAVE\Documents\Visual Studio 2013\Projects\WizardWrx_Libs\DLLServices2\GPConstants</v>
      </c>
      <c r="I41" s="16" t="s">
        <v>168</v>
      </c>
    </row>
    <row r="42" spans="1:9" outlineLevel="2" x14ac:dyDescent="0.25">
      <c r="A42" s="10" t="s">
        <v>66</v>
      </c>
      <c r="B42" s="11">
        <v>275</v>
      </c>
      <c r="C42" s="12" t="s">
        <v>67</v>
      </c>
      <c r="D42" s="11" t="str">
        <f>IF(ISERROR(FIND("Count",$A42)),[1]!GetFile(A42),"")</f>
        <v>DisplayFormats.cs</v>
      </c>
      <c r="E42" s="15" t="str">
        <f>IF(ISERROR(FIND("Count",$A42)),UPPER(RIGHT([1]!GetExtension(A42),LEN([1]!GetExtension(A42))-1)),"")</f>
        <v>CS</v>
      </c>
      <c r="F42" s="13">
        <f>IF(ISERROR(FIND("Count",$A42)),[1]!dtmFileDateInfo(A42),"")</f>
        <v>0</v>
      </c>
      <c r="G42" s="14">
        <f>IF(ISERROR(FIND("Count",$A42)),[1]!lngFileSize(A42),"")</f>
        <v>0</v>
      </c>
      <c r="H42" s="11" t="str">
        <f>IF(ISERROR(FIND("Count",$A42)),[1]!GetFolder(A42),"")</f>
        <v>C:\Users\DAVE\Documents\Visual Studio 2013\Projects\WizardWrx_Libs\DLLServices2\GPConstants</v>
      </c>
      <c r="I42" s="16" t="s">
        <v>168</v>
      </c>
    </row>
    <row r="43" spans="1:9" outlineLevel="2" x14ac:dyDescent="0.25">
      <c r="A43" s="10" t="s">
        <v>66</v>
      </c>
      <c r="B43" s="11">
        <v>279</v>
      </c>
      <c r="C43" s="12" t="s">
        <v>68</v>
      </c>
      <c r="D43" s="11" t="str">
        <f>IF(ISERROR(FIND("Count",$A43)),[1]!GetFile(A43),"")</f>
        <v>DisplayFormats.cs</v>
      </c>
      <c r="E43" s="15" t="str">
        <f>IF(ISERROR(FIND("Count",$A43)),UPPER(RIGHT([1]!GetExtension(A43),LEN([1]!GetExtension(A43))-1)),"")</f>
        <v>CS</v>
      </c>
      <c r="F43" s="13">
        <f>IF(ISERROR(FIND("Count",$A43)),[1]!dtmFileDateInfo(A43),"")</f>
        <v>0</v>
      </c>
      <c r="G43" s="14">
        <f>IF(ISERROR(FIND("Count",$A43)),[1]!lngFileSize(A43),"")</f>
        <v>0</v>
      </c>
      <c r="H43" s="11" t="str">
        <f>IF(ISERROR(FIND("Count",$A43)),[1]!GetFolder(A43),"")</f>
        <v>C:\Users\DAVE\Documents\Visual Studio 2013\Projects\WizardWrx_Libs\DLLServices2\GPConstants</v>
      </c>
      <c r="I43" s="16" t="s">
        <v>168</v>
      </c>
    </row>
    <row r="44" spans="1:9" outlineLevel="2" x14ac:dyDescent="0.25">
      <c r="A44" s="10" t="s">
        <v>66</v>
      </c>
      <c r="B44" s="11">
        <v>285</v>
      </c>
      <c r="C44" s="12" t="s">
        <v>69</v>
      </c>
      <c r="D44" s="11" t="str">
        <f>IF(ISERROR(FIND("Count",$A44)),[1]!GetFile(A44),"")</f>
        <v>DisplayFormats.cs</v>
      </c>
      <c r="E44" s="15" t="str">
        <f>IF(ISERROR(FIND("Count",$A44)),UPPER(RIGHT([1]!GetExtension(A44),LEN([1]!GetExtension(A44))-1)),"")</f>
        <v>CS</v>
      </c>
      <c r="F44" s="13">
        <f>IF(ISERROR(FIND("Count",$A44)),[1]!dtmFileDateInfo(A44),"")</f>
        <v>0</v>
      </c>
      <c r="G44" s="14">
        <f>IF(ISERROR(FIND("Count",$A44)),[1]!lngFileSize(A44),"")</f>
        <v>0</v>
      </c>
      <c r="H44" s="11" t="str">
        <f>IF(ISERROR(FIND("Count",$A44)),[1]!GetFolder(A44),"")</f>
        <v>C:\Users\DAVE\Documents\Visual Studio 2013\Projects\WizardWrx_Libs\DLLServices2\GPConstants</v>
      </c>
      <c r="I44" s="16" t="s">
        <v>168</v>
      </c>
    </row>
    <row r="45" spans="1:9" outlineLevel="2" x14ac:dyDescent="0.25">
      <c r="A45" s="10" t="s">
        <v>66</v>
      </c>
      <c r="B45" s="11">
        <v>288</v>
      </c>
      <c r="C45" s="12" t="s">
        <v>70</v>
      </c>
      <c r="D45" s="11" t="str">
        <f>IF(ISERROR(FIND("Count",$A45)),[1]!GetFile(A45),"")</f>
        <v>DisplayFormats.cs</v>
      </c>
      <c r="E45" s="15" t="str">
        <f>IF(ISERROR(FIND("Count",$A45)),UPPER(RIGHT([1]!GetExtension(A45),LEN([1]!GetExtension(A45))-1)),"")</f>
        <v>CS</v>
      </c>
      <c r="F45" s="13">
        <f>IF(ISERROR(FIND("Count",$A45)),[1]!dtmFileDateInfo(A45),"")</f>
        <v>0</v>
      </c>
      <c r="G45" s="14">
        <f>IF(ISERROR(FIND("Count",$A45)),[1]!lngFileSize(A45),"")</f>
        <v>0</v>
      </c>
      <c r="H45" s="11" t="str">
        <f>IF(ISERROR(FIND("Count",$A45)),[1]!GetFolder(A45),"")</f>
        <v>C:\Users\DAVE\Documents\Visual Studio 2013\Projects\WizardWrx_Libs\DLLServices2\GPConstants</v>
      </c>
      <c r="I45" s="16" t="s">
        <v>168</v>
      </c>
    </row>
    <row r="46" spans="1:9" outlineLevel="2" x14ac:dyDescent="0.25">
      <c r="A46" s="10" t="s">
        <v>66</v>
      </c>
      <c r="B46" s="11">
        <v>292</v>
      </c>
      <c r="C46" s="12" t="s">
        <v>68</v>
      </c>
      <c r="D46" s="11" t="str">
        <f>IF(ISERROR(FIND("Count",$A46)),[1]!GetFile(A46),"")</f>
        <v>DisplayFormats.cs</v>
      </c>
      <c r="E46" s="15" t="str">
        <f>IF(ISERROR(FIND("Count",$A46)),UPPER(RIGHT([1]!GetExtension(A46),LEN([1]!GetExtension(A46))-1)),"")</f>
        <v>CS</v>
      </c>
      <c r="F46" s="13">
        <f>IF(ISERROR(FIND("Count",$A46)),[1]!dtmFileDateInfo(A46),"")</f>
        <v>0</v>
      </c>
      <c r="G46" s="14">
        <f>IF(ISERROR(FIND("Count",$A46)),[1]!lngFileSize(A46),"")</f>
        <v>0</v>
      </c>
      <c r="H46" s="11" t="str">
        <f>IF(ISERROR(FIND("Count",$A46)),[1]!GetFolder(A46),"")</f>
        <v>C:\Users\DAVE\Documents\Visual Studio 2013\Projects\WizardWrx_Libs\DLLServices2\GPConstants</v>
      </c>
      <c r="I46" s="16" t="s">
        <v>168</v>
      </c>
    </row>
    <row r="47" spans="1:9" outlineLevel="2" x14ac:dyDescent="0.25">
      <c r="A47" s="10" t="s">
        <v>66</v>
      </c>
      <c r="B47" s="11">
        <v>298</v>
      </c>
      <c r="C47" s="12" t="s">
        <v>71</v>
      </c>
      <c r="D47" s="11" t="str">
        <f>IF(ISERROR(FIND("Count",$A47)),[1]!GetFile(A47),"")</f>
        <v>DisplayFormats.cs</v>
      </c>
      <c r="E47" s="15" t="str">
        <f>IF(ISERROR(FIND("Count",$A47)),UPPER(RIGHT([1]!GetExtension(A47),LEN([1]!GetExtension(A47))-1)),"")</f>
        <v>CS</v>
      </c>
      <c r="F47" s="13">
        <f>IF(ISERROR(FIND("Count",$A47)),[1]!dtmFileDateInfo(A47),"")</f>
        <v>0</v>
      </c>
      <c r="G47" s="14">
        <f>IF(ISERROR(FIND("Count",$A47)),[1]!lngFileSize(A47),"")</f>
        <v>0</v>
      </c>
      <c r="H47" s="11" t="str">
        <f>IF(ISERROR(FIND("Count",$A47)),[1]!GetFolder(A47),"")</f>
        <v>C:\Users\DAVE\Documents\Visual Studio 2013\Projects\WizardWrx_Libs\DLLServices2\GPConstants</v>
      </c>
      <c r="I47" s="16" t="s">
        <v>168</v>
      </c>
    </row>
    <row r="48" spans="1:9" outlineLevel="2" x14ac:dyDescent="0.25">
      <c r="A48" s="10" t="s">
        <v>66</v>
      </c>
      <c r="B48" s="11">
        <v>301</v>
      </c>
      <c r="C48" s="12" t="s">
        <v>72</v>
      </c>
      <c r="D48" s="11" t="str">
        <f>IF(ISERROR(FIND("Count",$A48)),[1]!GetFile(A48),"")</f>
        <v>DisplayFormats.cs</v>
      </c>
      <c r="E48" s="15" t="str">
        <f>IF(ISERROR(FIND("Count",$A48)),UPPER(RIGHT([1]!GetExtension(A48),LEN([1]!GetExtension(A48))-1)),"")</f>
        <v>CS</v>
      </c>
      <c r="F48" s="13">
        <f>IF(ISERROR(FIND("Count",$A48)),[1]!dtmFileDateInfo(A48),"")</f>
        <v>0</v>
      </c>
      <c r="G48" s="14">
        <f>IF(ISERROR(FIND("Count",$A48)),[1]!lngFileSize(A48),"")</f>
        <v>0</v>
      </c>
      <c r="H48" s="11" t="str">
        <f>IF(ISERROR(FIND("Count",$A48)),[1]!GetFolder(A48),"")</f>
        <v>C:\Users\DAVE\Documents\Visual Studio 2013\Projects\WizardWrx_Libs\DLLServices2\GPConstants</v>
      </c>
      <c r="I48" s="16" t="s">
        <v>168</v>
      </c>
    </row>
    <row r="49" spans="1:9" outlineLevel="2" x14ac:dyDescent="0.25">
      <c r="A49" s="10" t="s">
        <v>66</v>
      </c>
      <c r="B49" s="11">
        <v>305</v>
      </c>
      <c r="C49" s="12" t="s">
        <v>68</v>
      </c>
      <c r="D49" s="11" t="str">
        <f>IF(ISERROR(FIND("Count",$A49)),[1]!GetFile(A49),"")</f>
        <v>DisplayFormats.cs</v>
      </c>
      <c r="E49" s="15" t="str">
        <f>IF(ISERROR(FIND("Count",$A49)),UPPER(RIGHT([1]!GetExtension(A49),LEN([1]!GetExtension(A49))-1)),"")</f>
        <v>CS</v>
      </c>
      <c r="F49" s="13">
        <f>IF(ISERROR(FIND("Count",$A49)),[1]!dtmFileDateInfo(A49),"")</f>
        <v>0</v>
      </c>
      <c r="G49" s="14">
        <f>IF(ISERROR(FIND("Count",$A49)),[1]!lngFileSize(A49),"")</f>
        <v>0</v>
      </c>
      <c r="H49" s="11" t="str">
        <f>IF(ISERROR(FIND("Count",$A49)),[1]!GetFolder(A49),"")</f>
        <v>C:\Users\DAVE\Documents\Visual Studio 2013\Projects\WizardWrx_Libs\DLLServices2\GPConstants</v>
      </c>
      <c r="I49" s="16" t="s">
        <v>168</v>
      </c>
    </row>
    <row r="50" spans="1:9" outlineLevel="2" x14ac:dyDescent="0.25">
      <c r="A50" s="10" t="s">
        <v>66</v>
      </c>
      <c r="B50" s="11">
        <v>311</v>
      </c>
      <c r="C50" s="12" t="s">
        <v>73</v>
      </c>
      <c r="D50" s="11" t="str">
        <f>IF(ISERROR(FIND("Count",$A50)),[1]!GetFile(A50),"")</f>
        <v>DisplayFormats.cs</v>
      </c>
      <c r="E50" s="15" t="str">
        <f>IF(ISERROR(FIND("Count",$A50)),UPPER(RIGHT([1]!GetExtension(A50),LEN([1]!GetExtension(A50))-1)),"")</f>
        <v>CS</v>
      </c>
      <c r="F50" s="13">
        <f>IF(ISERROR(FIND("Count",$A50)),[1]!dtmFileDateInfo(A50),"")</f>
        <v>0</v>
      </c>
      <c r="G50" s="14">
        <f>IF(ISERROR(FIND("Count",$A50)),[1]!lngFileSize(A50),"")</f>
        <v>0</v>
      </c>
      <c r="H50" s="11" t="str">
        <f>IF(ISERROR(FIND("Count",$A50)),[1]!GetFolder(A50),"")</f>
        <v>C:\Users\DAVE\Documents\Visual Studio 2013\Projects\WizardWrx_Libs\DLLServices2\GPConstants</v>
      </c>
      <c r="I50" s="16" t="s">
        <v>168</v>
      </c>
    </row>
    <row r="51" spans="1:9" outlineLevel="2" x14ac:dyDescent="0.25">
      <c r="A51" s="10" t="s">
        <v>66</v>
      </c>
      <c r="B51" s="11">
        <v>330</v>
      </c>
      <c r="C51" s="12" t="s">
        <v>74</v>
      </c>
      <c r="D51" s="11" t="str">
        <f>IF(ISERROR(FIND("Count",$A51)),[1]!GetFile(A51),"")</f>
        <v>DisplayFormats.cs</v>
      </c>
      <c r="E51" s="15" t="str">
        <f>IF(ISERROR(FIND("Count",$A51)),UPPER(RIGHT([1]!GetExtension(A51),LEN([1]!GetExtension(A51))-1)),"")</f>
        <v>CS</v>
      </c>
      <c r="F51" s="13">
        <f>IF(ISERROR(FIND("Count",$A51)),[1]!dtmFileDateInfo(A51),"")</f>
        <v>0</v>
      </c>
      <c r="G51" s="14">
        <f>IF(ISERROR(FIND("Count",$A51)),[1]!lngFileSize(A51),"")</f>
        <v>0</v>
      </c>
      <c r="H51" s="11" t="str">
        <f>IF(ISERROR(FIND("Count",$A51)),[1]!GetFolder(A51),"")</f>
        <v>C:\Users\DAVE\Documents\Visual Studio 2013\Projects\WizardWrx_Libs\DLLServices2\GPConstants</v>
      </c>
      <c r="I51" s="16" t="s">
        <v>168</v>
      </c>
    </row>
    <row r="52" spans="1:9" outlineLevel="2" x14ac:dyDescent="0.25">
      <c r="A52" s="10" t="s">
        <v>66</v>
      </c>
      <c r="B52" s="11">
        <v>350</v>
      </c>
      <c r="C52" s="12" t="s">
        <v>74</v>
      </c>
      <c r="D52" s="11" t="str">
        <f>IF(ISERROR(FIND("Count",$A52)),[1]!GetFile(A52),"")</f>
        <v>DisplayFormats.cs</v>
      </c>
      <c r="E52" s="15" t="str">
        <f>IF(ISERROR(FIND("Count",$A52)),UPPER(RIGHT([1]!GetExtension(A52),LEN([1]!GetExtension(A52))-1)),"")</f>
        <v>CS</v>
      </c>
      <c r="F52" s="13">
        <f>IF(ISERROR(FIND("Count",$A52)),[1]!dtmFileDateInfo(A52),"")</f>
        <v>0</v>
      </c>
      <c r="G52" s="14">
        <f>IF(ISERROR(FIND("Count",$A52)),[1]!lngFileSize(A52),"")</f>
        <v>0</v>
      </c>
      <c r="H52" s="11" t="str">
        <f>IF(ISERROR(FIND("Count",$A52)),[1]!GetFolder(A52),"")</f>
        <v>C:\Users\DAVE\Documents\Visual Studio 2013\Projects\WizardWrx_Libs\DLLServices2\GPConstants</v>
      </c>
      <c r="I52" s="16" t="s">
        <v>168</v>
      </c>
    </row>
    <row r="53" spans="1:9" outlineLevel="2" x14ac:dyDescent="0.25">
      <c r="A53" s="10" t="s">
        <v>66</v>
      </c>
      <c r="B53" s="11">
        <v>369</v>
      </c>
      <c r="C53" s="12" t="s">
        <v>75</v>
      </c>
      <c r="D53" s="11" t="str">
        <f>IF(ISERROR(FIND("Count",$A53)),[1]!GetFile(A53),"")</f>
        <v>DisplayFormats.cs</v>
      </c>
      <c r="E53" s="15" t="str">
        <f>IF(ISERROR(FIND("Count",$A53)),UPPER(RIGHT([1]!GetExtension(A53),LEN([1]!GetExtension(A53))-1)),"")</f>
        <v>CS</v>
      </c>
      <c r="F53" s="13">
        <f>IF(ISERROR(FIND("Count",$A53)),[1]!dtmFileDateInfo(A53),"")</f>
        <v>0</v>
      </c>
      <c r="G53" s="14">
        <f>IF(ISERROR(FIND("Count",$A53)),[1]!lngFileSize(A53),"")</f>
        <v>0</v>
      </c>
      <c r="H53" s="11" t="str">
        <f>IF(ISERROR(FIND("Count",$A53)),[1]!GetFolder(A53),"")</f>
        <v>C:\Users\DAVE\Documents\Visual Studio 2013\Projects\WizardWrx_Libs\DLLServices2\GPConstants</v>
      </c>
      <c r="I53" s="16" t="s">
        <v>168</v>
      </c>
    </row>
    <row r="54" spans="1:9" outlineLevel="1" x14ac:dyDescent="0.25">
      <c r="A54" s="10" t="s">
        <v>151</v>
      </c>
      <c r="B54" s="11">
        <f>SUBTOTAL(3,B41:B53)</f>
        <v>13</v>
      </c>
      <c r="C54" s="12"/>
      <c r="D54" s="11" t="str">
        <f>IF(ISERROR(FIND("Count",$A54)),[1]!GetFile(A54),"")</f>
        <v/>
      </c>
      <c r="E54" s="15" t="str">
        <f>IF(ISERROR(FIND("Count",$A54)),UPPER(RIGHT([1]!GetExtension(A54),LEN([1]!GetExtension(A54))-1)),"")</f>
        <v/>
      </c>
      <c r="F54" s="13" t="str">
        <f>IF(ISERROR(FIND("Count",$A54)),[1]!dtmFileDateInfo(A54),"")</f>
        <v/>
      </c>
      <c r="G54" s="14" t="str">
        <f>IF(ISERROR(FIND("Count",$A54)),[1]!lngFileSize(A54),"")</f>
        <v/>
      </c>
      <c r="H54" s="11" t="str">
        <f>IF(ISERROR(FIND("Count",$A54)),[1]!GetFolder(A54),"")</f>
        <v/>
      </c>
      <c r="I54" s="16"/>
    </row>
    <row r="55" spans="1:9" outlineLevel="2" x14ac:dyDescent="0.25">
      <c r="A55" s="10" t="s">
        <v>76</v>
      </c>
      <c r="B55" s="11">
        <v>910</v>
      </c>
      <c r="C55" s="12" t="s">
        <v>77</v>
      </c>
      <c r="D55" s="11" t="str">
        <f>IF(ISERROR(FIND("Count",$A55)),[1]!GetFile(A55),"")</f>
        <v>ApplicationHelpers3_Program_20150606_223541.CS</v>
      </c>
      <c r="E55" s="15" t="str">
        <f>IF(ISERROR(FIND("Count",$A55)),UPPER(RIGHT([1]!GetExtension(A55),LEN([1]!GetExtension(A55))-1)),"")</f>
        <v>CS</v>
      </c>
      <c r="F55" s="13">
        <f>IF(ISERROR(FIND("Count",$A55)),[1]!dtmFileDateInfo(A55),"")</f>
        <v>0</v>
      </c>
      <c r="G55" s="14">
        <f>IF(ISERROR(FIND("Count",$A55)),[1]!lngFileSize(A55),"")</f>
        <v>0</v>
      </c>
      <c r="H55" s="11" t="str">
        <f>IF(ISERROR(FIND("Count",$A55)),[1]!GetFolder(A55),"")</f>
        <v>C:\Users\DAVE\Documents\Visual Studio 2013\Projects\WizardWrx_Libs\DLLServices2\_NOTES</v>
      </c>
      <c r="I55" s="16" t="s">
        <v>167</v>
      </c>
    </row>
    <row r="56" spans="1:9" outlineLevel="2" x14ac:dyDescent="0.25">
      <c r="A56" s="10" t="s">
        <v>76</v>
      </c>
      <c r="B56" s="11">
        <v>925</v>
      </c>
      <c r="C56" s="12" t="s">
        <v>78</v>
      </c>
      <c r="D56" s="11" t="str">
        <f>IF(ISERROR(FIND("Count",$A56)),[1]!GetFile(A56),"")</f>
        <v>ApplicationHelpers3_Program_20150606_223541.CS</v>
      </c>
      <c r="E56" s="15" t="str">
        <f>IF(ISERROR(FIND("Count",$A56)),UPPER(RIGHT([1]!GetExtension(A56),LEN([1]!GetExtension(A56))-1)),"")</f>
        <v>CS</v>
      </c>
      <c r="F56" s="13">
        <f>IF(ISERROR(FIND("Count",$A56)),[1]!dtmFileDateInfo(A56),"")</f>
        <v>0</v>
      </c>
      <c r="G56" s="14">
        <f>IF(ISERROR(FIND("Count",$A56)),[1]!lngFileSize(A56),"")</f>
        <v>0</v>
      </c>
      <c r="H56" s="11" t="str">
        <f>IF(ISERROR(FIND("Count",$A56)),[1]!GetFolder(A56),"")</f>
        <v>C:\Users\DAVE\Documents\Visual Studio 2013\Projects\WizardWrx_Libs\DLLServices2\_NOTES</v>
      </c>
      <c r="I56" s="16" t="s">
        <v>167</v>
      </c>
    </row>
    <row r="57" spans="1:9" outlineLevel="2" x14ac:dyDescent="0.25">
      <c r="A57" s="10" t="s">
        <v>76</v>
      </c>
      <c r="B57" s="11">
        <v>928</v>
      </c>
      <c r="C57" s="12" t="s">
        <v>79</v>
      </c>
      <c r="D57" s="11" t="str">
        <f>IF(ISERROR(FIND("Count",$A57)),[1]!GetFile(A57),"")</f>
        <v>ApplicationHelpers3_Program_20150606_223541.CS</v>
      </c>
      <c r="E57" s="15" t="str">
        <f>IF(ISERROR(FIND("Count",$A57)),UPPER(RIGHT([1]!GetExtension(A57),LEN([1]!GetExtension(A57))-1)),"")</f>
        <v>CS</v>
      </c>
      <c r="F57" s="13">
        <f>IF(ISERROR(FIND("Count",$A57)),[1]!dtmFileDateInfo(A57),"")</f>
        <v>0</v>
      </c>
      <c r="G57" s="14">
        <f>IF(ISERROR(FIND("Count",$A57)),[1]!lngFileSize(A57),"")</f>
        <v>0</v>
      </c>
      <c r="H57" s="11" t="str">
        <f>IF(ISERROR(FIND("Count",$A57)),[1]!GetFolder(A57),"")</f>
        <v>C:\Users\DAVE\Documents\Visual Studio 2013\Projects\WizardWrx_Libs\DLLServices2\_NOTES</v>
      </c>
      <c r="I57" s="16" t="s">
        <v>167</v>
      </c>
    </row>
    <row r="58" spans="1:9" outlineLevel="2" x14ac:dyDescent="0.25">
      <c r="A58" s="10" t="s">
        <v>76</v>
      </c>
      <c r="B58" s="11">
        <v>931</v>
      </c>
      <c r="C58" s="12" t="s">
        <v>79</v>
      </c>
      <c r="D58" s="11" t="str">
        <f>IF(ISERROR(FIND("Count",$A58)),[1]!GetFile(A58),"")</f>
        <v>ApplicationHelpers3_Program_20150606_223541.CS</v>
      </c>
      <c r="E58" s="15" t="str">
        <f>IF(ISERROR(FIND("Count",$A58)),UPPER(RIGHT([1]!GetExtension(A58),LEN([1]!GetExtension(A58))-1)),"")</f>
        <v>CS</v>
      </c>
      <c r="F58" s="13">
        <f>IF(ISERROR(FIND("Count",$A58)),[1]!dtmFileDateInfo(A58),"")</f>
        <v>0</v>
      </c>
      <c r="G58" s="14">
        <f>IF(ISERROR(FIND("Count",$A58)),[1]!lngFileSize(A58),"")</f>
        <v>0</v>
      </c>
      <c r="H58" s="11" t="str">
        <f>IF(ISERROR(FIND("Count",$A58)),[1]!GetFolder(A58),"")</f>
        <v>C:\Users\DAVE\Documents\Visual Studio 2013\Projects\WizardWrx_Libs\DLLServices2\_NOTES</v>
      </c>
      <c r="I58" s="16" t="s">
        <v>167</v>
      </c>
    </row>
    <row r="59" spans="1:9" outlineLevel="2" x14ac:dyDescent="0.25">
      <c r="A59" s="10" t="s">
        <v>76</v>
      </c>
      <c r="B59" s="11">
        <v>934</v>
      </c>
      <c r="C59" s="12" t="s">
        <v>79</v>
      </c>
      <c r="D59" s="11" t="str">
        <f>IF(ISERROR(FIND("Count",$A59)),[1]!GetFile(A59),"")</f>
        <v>ApplicationHelpers3_Program_20150606_223541.CS</v>
      </c>
      <c r="E59" s="15" t="str">
        <f>IF(ISERROR(FIND("Count",$A59)),UPPER(RIGHT([1]!GetExtension(A59),LEN([1]!GetExtension(A59))-1)),"")</f>
        <v>CS</v>
      </c>
      <c r="F59" s="13">
        <f>IF(ISERROR(FIND("Count",$A59)),[1]!dtmFileDateInfo(A59),"")</f>
        <v>0</v>
      </c>
      <c r="G59" s="14">
        <f>IF(ISERROR(FIND("Count",$A59)),[1]!lngFileSize(A59),"")</f>
        <v>0</v>
      </c>
      <c r="H59" s="11" t="str">
        <f>IF(ISERROR(FIND("Count",$A59)),[1]!GetFolder(A59),"")</f>
        <v>C:\Users\DAVE\Documents\Visual Studio 2013\Projects\WizardWrx_Libs\DLLServices2\_NOTES</v>
      </c>
      <c r="I59" s="16" t="s">
        <v>167</v>
      </c>
    </row>
    <row r="60" spans="1:9" outlineLevel="2" x14ac:dyDescent="0.25">
      <c r="A60" s="10" t="s">
        <v>76</v>
      </c>
      <c r="B60" s="11">
        <v>2115</v>
      </c>
      <c r="C60" s="12" t="s">
        <v>80</v>
      </c>
      <c r="D60" s="11" t="str">
        <f>IF(ISERROR(FIND("Count",$A60)),[1]!GetFile(A60),"")</f>
        <v>ApplicationHelpers3_Program_20150606_223541.CS</v>
      </c>
      <c r="E60" s="15" t="str">
        <f>IF(ISERROR(FIND("Count",$A60)),UPPER(RIGHT([1]!GetExtension(A60),LEN([1]!GetExtension(A60))-1)),"")</f>
        <v>CS</v>
      </c>
      <c r="F60" s="13">
        <f>IF(ISERROR(FIND("Count",$A60)),[1]!dtmFileDateInfo(A60),"")</f>
        <v>0</v>
      </c>
      <c r="G60" s="14">
        <f>IF(ISERROR(FIND("Count",$A60)),[1]!lngFileSize(A60),"")</f>
        <v>0</v>
      </c>
      <c r="H60" s="11" t="str">
        <f>IF(ISERROR(FIND("Count",$A60)),[1]!GetFolder(A60),"")</f>
        <v>C:\Users\DAVE\Documents\Visual Studio 2013\Projects\WizardWrx_Libs\DLLServices2\_NOTES</v>
      </c>
      <c r="I60" s="16" t="s">
        <v>167</v>
      </c>
    </row>
    <row r="61" spans="1:9" outlineLevel="2" x14ac:dyDescent="0.25">
      <c r="A61" s="10" t="s">
        <v>76</v>
      </c>
      <c r="B61" s="11">
        <v>2139</v>
      </c>
      <c r="C61" s="12" t="s">
        <v>81</v>
      </c>
      <c r="D61" s="11" t="str">
        <f>IF(ISERROR(FIND("Count",$A61)),[1]!GetFile(A61),"")</f>
        <v>ApplicationHelpers3_Program_20150606_223541.CS</v>
      </c>
      <c r="E61" s="15" t="str">
        <f>IF(ISERROR(FIND("Count",$A61)),UPPER(RIGHT([1]!GetExtension(A61),LEN([1]!GetExtension(A61))-1)),"")</f>
        <v>CS</v>
      </c>
      <c r="F61" s="13">
        <f>IF(ISERROR(FIND("Count",$A61)),[1]!dtmFileDateInfo(A61),"")</f>
        <v>0</v>
      </c>
      <c r="G61" s="14">
        <f>IF(ISERROR(FIND("Count",$A61)),[1]!lngFileSize(A61),"")</f>
        <v>0</v>
      </c>
      <c r="H61" s="11" t="str">
        <f>IF(ISERROR(FIND("Count",$A61)),[1]!GetFolder(A61),"")</f>
        <v>C:\Users\DAVE\Documents\Visual Studio 2013\Projects\WizardWrx_Libs\DLLServices2\_NOTES</v>
      </c>
      <c r="I61" s="16" t="s">
        <v>167</v>
      </c>
    </row>
    <row r="62" spans="1:9" outlineLevel="2" x14ac:dyDescent="0.25">
      <c r="A62" s="10" t="s">
        <v>76</v>
      </c>
      <c r="B62" s="11">
        <v>2141</v>
      </c>
      <c r="C62" s="12" t="s">
        <v>82</v>
      </c>
      <c r="D62" s="11" t="str">
        <f>IF(ISERROR(FIND("Count",$A62)),[1]!GetFile(A62),"")</f>
        <v>ApplicationHelpers3_Program_20150606_223541.CS</v>
      </c>
      <c r="E62" s="15" t="str">
        <f>IF(ISERROR(FIND("Count",$A62)),UPPER(RIGHT([1]!GetExtension(A62),LEN([1]!GetExtension(A62))-1)),"")</f>
        <v>CS</v>
      </c>
      <c r="F62" s="13">
        <f>IF(ISERROR(FIND("Count",$A62)),[1]!dtmFileDateInfo(A62),"")</f>
        <v>0</v>
      </c>
      <c r="G62" s="14">
        <f>IF(ISERROR(FIND("Count",$A62)),[1]!lngFileSize(A62),"")</f>
        <v>0</v>
      </c>
      <c r="H62" s="11" t="str">
        <f>IF(ISERROR(FIND("Count",$A62)),[1]!GetFolder(A62),"")</f>
        <v>C:\Users\DAVE\Documents\Visual Studio 2013\Projects\WizardWrx_Libs\DLLServices2\_NOTES</v>
      </c>
      <c r="I62" s="16" t="s">
        <v>167</v>
      </c>
    </row>
    <row r="63" spans="1:9" outlineLevel="2" x14ac:dyDescent="0.25">
      <c r="A63" s="10" t="s">
        <v>76</v>
      </c>
      <c r="B63" s="11">
        <v>2142</v>
      </c>
      <c r="C63" s="12" t="s">
        <v>83</v>
      </c>
      <c r="D63" s="11" t="str">
        <f>IF(ISERROR(FIND("Count",$A63)),[1]!GetFile(A63),"")</f>
        <v>ApplicationHelpers3_Program_20150606_223541.CS</v>
      </c>
      <c r="E63" s="15" t="str">
        <f>IF(ISERROR(FIND("Count",$A63)),UPPER(RIGHT([1]!GetExtension(A63),LEN([1]!GetExtension(A63))-1)),"")</f>
        <v>CS</v>
      </c>
      <c r="F63" s="13">
        <f>IF(ISERROR(FIND("Count",$A63)),[1]!dtmFileDateInfo(A63),"")</f>
        <v>0</v>
      </c>
      <c r="G63" s="14">
        <f>IF(ISERROR(FIND("Count",$A63)),[1]!lngFileSize(A63),"")</f>
        <v>0</v>
      </c>
      <c r="H63" s="11" t="str">
        <f>IF(ISERROR(FIND("Count",$A63)),[1]!GetFolder(A63),"")</f>
        <v>C:\Users\DAVE\Documents\Visual Studio 2013\Projects\WizardWrx_Libs\DLLServices2\_NOTES</v>
      </c>
      <c r="I63" s="16" t="s">
        <v>167</v>
      </c>
    </row>
    <row r="64" spans="1:9" outlineLevel="2" x14ac:dyDescent="0.25">
      <c r="A64" s="10" t="s">
        <v>76</v>
      </c>
      <c r="B64" s="11">
        <v>2143</v>
      </c>
      <c r="C64" s="12" t="s">
        <v>84</v>
      </c>
      <c r="D64" s="11" t="str">
        <f>IF(ISERROR(FIND("Count",$A64)),[1]!GetFile(A64),"")</f>
        <v>ApplicationHelpers3_Program_20150606_223541.CS</v>
      </c>
      <c r="E64" s="15" t="str">
        <f>IF(ISERROR(FIND("Count",$A64)),UPPER(RIGHT([1]!GetExtension(A64),LEN([1]!GetExtension(A64))-1)),"")</f>
        <v>CS</v>
      </c>
      <c r="F64" s="13">
        <f>IF(ISERROR(FIND("Count",$A64)),[1]!dtmFileDateInfo(A64),"")</f>
        <v>0</v>
      </c>
      <c r="G64" s="14">
        <f>IF(ISERROR(FIND("Count",$A64)),[1]!lngFileSize(A64),"")</f>
        <v>0</v>
      </c>
      <c r="H64" s="11" t="str">
        <f>IF(ISERROR(FIND("Count",$A64)),[1]!GetFolder(A64),"")</f>
        <v>C:\Users\DAVE\Documents\Visual Studio 2013\Projects\WizardWrx_Libs\DLLServices2\_NOTES</v>
      </c>
      <c r="I64" s="16" t="s">
        <v>167</v>
      </c>
    </row>
    <row r="65" spans="1:9" outlineLevel="2" x14ac:dyDescent="0.25">
      <c r="A65" s="10" t="s">
        <v>76</v>
      </c>
      <c r="B65" s="11">
        <v>2145</v>
      </c>
      <c r="C65" s="12" t="s">
        <v>85</v>
      </c>
      <c r="D65" s="11" t="str">
        <f>IF(ISERROR(FIND("Count",$A65)),[1]!GetFile(A65),"")</f>
        <v>ApplicationHelpers3_Program_20150606_223541.CS</v>
      </c>
      <c r="E65" s="15" t="str">
        <f>IF(ISERROR(FIND("Count",$A65)),UPPER(RIGHT([1]!GetExtension(A65),LEN([1]!GetExtension(A65))-1)),"")</f>
        <v>CS</v>
      </c>
      <c r="F65" s="13">
        <f>IF(ISERROR(FIND("Count",$A65)),[1]!dtmFileDateInfo(A65),"")</f>
        <v>0</v>
      </c>
      <c r="G65" s="14">
        <f>IF(ISERROR(FIND("Count",$A65)),[1]!lngFileSize(A65),"")</f>
        <v>0</v>
      </c>
      <c r="H65" s="11" t="str">
        <f>IF(ISERROR(FIND("Count",$A65)),[1]!GetFolder(A65),"")</f>
        <v>C:\Users\DAVE\Documents\Visual Studio 2013\Projects\WizardWrx_Libs\DLLServices2\_NOTES</v>
      </c>
      <c r="I65" s="16" t="s">
        <v>167</v>
      </c>
    </row>
    <row r="66" spans="1:9" outlineLevel="2" x14ac:dyDescent="0.25">
      <c r="A66" s="10" t="s">
        <v>76</v>
      </c>
      <c r="B66" s="11">
        <v>2146</v>
      </c>
      <c r="C66" s="12" t="s">
        <v>86</v>
      </c>
      <c r="D66" s="11" t="str">
        <f>IF(ISERROR(FIND("Count",$A66)),[1]!GetFile(A66),"")</f>
        <v>ApplicationHelpers3_Program_20150606_223541.CS</v>
      </c>
      <c r="E66" s="15" t="str">
        <f>IF(ISERROR(FIND("Count",$A66)),UPPER(RIGHT([1]!GetExtension(A66),LEN([1]!GetExtension(A66))-1)),"")</f>
        <v>CS</v>
      </c>
      <c r="F66" s="13">
        <f>IF(ISERROR(FIND("Count",$A66)),[1]!dtmFileDateInfo(A66),"")</f>
        <v>0</v>
      </c>
      <c r="G66" s="14">
        <f>IF(ISERROR(FIND("Count",$A66)),[1]!lngFileSize(A66),"")</f>
        <v>0</v>
      </c>
      <c r="H66" s="11" t="str">
        <f>IF(ISERROR(FIND("Count",$A66)),[1]!GetFolder(A66),"")</f>
        <v>C:\Users\DAVE\Documents\Visual Studio 2013\Projects\WizardWrx_Libs\DLLServices2\_NOTES</v>
      </c>
      <c r="I66" s="16" t="s">
        <v>167</v>
      </c>
    </row>
    <row r="67" spans="1:9" outlineLevel="2" x14ac:dyDescent="0.25">
      <c r="A67" s="10" t="s">
        <v>76</v>
      </c>
      <c r="B67" s="11">
        <v>2148</v>
      </c>
      <c r="C67" s="12" t="s">
        <v>87</v>
      </c>
      <c r="D67" s="11" t="str">
        <f>IF(ISERROR(FIND("Count",$A67)),[1]!GetFile(A67),"")</f>
        <v>ApplicationHelpers3_Program_20150606_223541.CS</v>
      </c>
      <c r="E67" s="15" t="str">
        <f>IF(ISERROR(FIND("Count",$A67)),UPPER(RIGHT([1]!GetExtension(A67),LEN([1]!GetExtension(A67))-1)),"")</f>
        <v>CS</v>
      </c>
      <c r="F67" s="13">
        <f>IF(ISERROR(FIND("Count",$A67)),[1]!dtmFileDateInfo(A67),"")</f>
        <v>0</v>
      </c>
      <c r="G67" s="14">
        <f>IF(ISERROR(FIND("Count",$A67)),[1]!lngFileSize(A67),"")</f>
        <v>0</v>
      </c>
      <c r="H67" s="11" t="str">
        <f>IF(ISERROR(FIND("Count",$A67)),[1]!GetFolder(A67),"")</f>
        <v>C:\Users\DAVE\Documents\Visual Studio 2013\Projects\WizardWrx_Libs\DLLServices2\_NOTES</v>
      </c>
      <c r="I67" s="16" t="s">
        <v>167</v>
      </c>
    </row>
    <row r="68" spans="1:9" outlineLevel="2" x14ac:dyDescent="0.25">
      <c r="A68" s="10" t="s">
        <v>76</v>
      </c>
      <c r="B68" s="11">
        <v>2149</v>
      </c>
      <c r="C68" s="12" t="s">
        <v>88</v>
      </c>
      <c r="D68" s="11" t="str">
        <f>IF(ISERROR(FIND("Count",$A68)),[1]!GetFile(A68),"")</f>
        <v>ApplicationHelpers3_Program_20150606_223541.CS</v>
      </c>
      <c r="E68" s="15" t="str">
        <f>IF(ISERROR(FIND("Count",$A68)),UPPER(RIGHT([1]!GetExtension(A68),LEN([1]!GetExtension(A68))-1)),"")</f>
        <v>CS</v>
      </c>
      <c r="F68" s="13">
        <f>IF(ISERROR(FIND("Count",$A68)),[1]!dtmFileDateInfo(A68),"")</f>
        <v>0</v>
      </c>
      <c r="G68" s="14">
        <f>IF(ISERROR(FIND("Count",$A68)),[1]!lngFileSize(A68),"")</f>
        <v>0</v>
      </c>
      <c r="H68" s="11" t="str">
        <f>IF(ISERROR(FIND("Count",$A68)),[1]!GetFolder(A68),"")</f>
        <v>C:\Users\DAVE\Documents\Visual Studio 2013\Projects\WizardWrx_Libs\DLLServices2\_NOTES</v>
      </c>
      <c r="I68" s="16" t="s">
        <v>167</v>
      </c>
    </row>
    <row r="69" spans="1:9" outlineLevel="2" x14ac:dyDescent="0.25">
      <c r="A69" s="10" t="s">
        <v>76</v>
      </c>
      <c r="B69" s="11">
        <v>2151</v>
      </c>
      <c r="C69" s="12" t="s">
        <v>89</v>
      </c>
      <c r="D69" s="11" t="str">
        <f>IF(ISERROR(FIND("Count",$A69)),[1]!GetFile(A69),"")</f>
        <v>ApplicationHelpers3_Program_20150606_223541.CS</v>
      </c>
      <c r="E69" s="15" t="str">
        <f>IF(ISERROR(FIND("Count",$A69)),UPPER(RIGHT([1]!GetExtension(A69),LEN([1]!GetExtension(A69))-1)),"")</f>
        <v>CS</v>
      </c>
      <c r="F69" s="13">
        <f>IF(ISERROR(FIND("Count",$A69)),[1]!dtmFileDateInfo(A69),"")</f>
        <v>0</v>
      </c>
      <c r="G69" s="14">
        <f>IF(ISERROR(FIND("Count",$A69)),[1]!lngFileSize(A69),"")</f>
        <v>0</v>
      </c>
      <c r="H69" s="11" t="str">
        <f>IF(ISERROR(FIND("Count",$A69)),[1]!GetFolder(A69),"")</f>
        <v>C:\Users\DAVE\Documents\Visual Studio 2013\Projects\WizardWrx_Libs\DLLServices2\_NOTES</v>
      </c>
      <c r="I69" s="16" t="s">
        <v>167</v>
      </c>
    </row>
    <row r="70" spans="1:9" outlineLevel="2" x14ac:dyDescent="0.25">
      <c r="A70" s="10" t="s">
        <v>76</v>
      </c>
      <c r="B70" s="11">
        <v>2152</v>
      </c>
      <c r="C70" s="12" t="s">
        <v>90</v>
      </c>
      <c r="D70" s="11" t="str">
        <f>IF(ISERROR(FIND("Count",$A70)),[1]!GetFile(A70),"")</f>
        <v>ApplicationHelpers3_Program_20150606_223541.CS</v>
      </c>
      <c r="E70" s="15" t="str">
        <f>IF(ISERROR(FIND("Count",$A70)),UPPER(RIGHT([1]!GetExtension(A70),LEN([1]!GetExtension(A70))-1)),"")</f>
        <v>CS</v>
      </c>
      <c r="F70" s="13">
        <f>IF(ISERROR(FIND("Count",$A70)),[1]!dtmFileDateInfo(A70),"")</f>
        <v>0</v>
      </c>
      <c r="G70" s="14">
        <f>IF(ISERROR(FIND("Count",$A70)),[1]!lngFileSize(A70),"")</f>
        <v>0</v>
      </c>
      <c r="H70" s="11" t="str">
        <f>IF(ISERROR(FIND("Count",$A70)),[1]!GetFolder(A70),"")</f>
        <v>C:\Users\DAVE\Documents\Visual Studio 2013\Projects\WizardWrx_Libs\DLLServices2\_NOTES</v>
      </c>
      <c r="I70" s="16" t="s">
        <v>167</v>
      </c>
    </row>
    <row r="71" spans="1:9" outlineLevel="2" x14ac:dyDescent="0.25">
      <c r="A71" s="10" t="s">
        <v>76</v>
      </c>
      <c r="B71" s="11">
        <v>2154</v>
      </c>
      <c r="C71" s="12" t="s">
        <v>91</v>
      </c>
      <c r="D71" s="11" t="str">
        <f>IF(ISERROR(FIND("Count",$A71)),[1]!GetFile(A71),"")</f>
        <v>ApplicationHelpers3_Program_20150606_223541.CS</v>
      </c>
      <c r="E71" s="15" t="str">
        <f>IF(ISERROR(FIND("Count",$A71)),UPPER(RIGHT([1]!GetExtension(A71),LEN([1]!GetExtension(A71))-1)),"")</f>
        <v>CS</v>
      </c>
      <c r="F71" s="13">
        <f>IF(ISERROR(FIND("Count",$A71)),[1]!dtmFileDateInfo(A71),"")</f>
        <v>0</v>
      </c>
      <c r="G71" s="14">
        <f>IF(ISERROR(FIND("Count",$A71)),[1]!lngFileSize(A71),"")</f>
        <v>0</v>
      </c>
      <c r="H71" s="11" t="str">
        <f>IF(ISERROR(FIND("Count",$A71)),[1]!GetFolder(A71),"")</f>
        <v>C:\Users\DAVE\Documents\Visual Studio 2013\Projects\WizardWrx_Libs\DLLServices2\_NOTES</v>
      </c>
      <c r="I71" s="16" t="s">
        <v>167</v>
      </c>
    </row>
    <row r="72" spans="1:9" outlineLevel="2" x14ac:dyDescent="0.25">
      <c r="A72" s="10" t="s">
        <v>76</v>
      </c>
      <c r="B72" s="11">
        <v>2155</v>
      </c>
      <c r="C72" s="12" t="s">
        <v>92</v>
      </c>
      <c r="D72" s="11" t="str">
        <f>IF(ISERROR(FIND("Count",$A72)),[1]!GetFile(A72),"")</f>
        <v>ApplicationHelpers3_Program_20150606_223541.CS</v>
      </c>
      <c r="E72" s="15" t="str">
        <f>IF(ISERROR(FIND("Count",$A72)),UPPER(RIGHT([1]!GetExtension(A72),LEN([1]!GetExtension(A72))-1)),"")</f>
        <v>CS</v>
      </c>
      <c r="F72" s="13">
        <f>IF(ISERROR(FIND("Count",$A72)),[1]!dtmFileDateInfo(A72),"")</f>
        <v>0</v>
      </c>
      <c r="G72" s="14">
        <f>IF(ISERROR(FIND("Count",$A72)),[1]!lngFileSize(A72),"")</f>
        <v>0</v>
      </c>
      <c r="H72" s="11" t="str">
        <f>IF(ISERROR(FIND("Count",$A72)),[1]!GetFolder(A72),"")</f>
        <v>C:\Users\DAVE\Documents\Visual Studio 2013\Projects\WizardWrx_Libs\DLLServices2\_NOTES</v>
      </c>
      <c r="I72" s="16" t="s">
        <v>167</v>
      </c>
    </row>
    <row r="73" spans="1:9" outlineLevel="2" x14ac:dyDescent="0.25">
      <c r="A73" s="10" t="s">
        <v>76</v>
      </c>
      <c r="B73" s="11">
        <v>2157</v>
      </c>
      <c r="C73" s="12" t="s">
        <v>93</v>
      </c>
      <c r="D73" s="11" t="str">
        <f>IF(ISERROR(FIND("Count",$A73)),[1]!GetFile(A73),"")</f>
        <v>ApplicationHelpers3_Program_20150606_223541.CS</v>
      </c>
      <c r="E73" s="15" t="str">
        <f>IF(ISERROR(FIND("Count",$A73)),UPPER(RIGHT([1]!GetExtension(A73),LEN([1]!GetExtension(A73))-1)),"")</f>
        <v>CS</v>
      </c>
      <c r="F73" s="13">
        <f>IF(ISERROR(FIND("Count",$A73)),[1]!dtmFileDateInfo(A73),"")</f>
        <v>0</v>
      </c>
      <c r="G73" s="14">
        <f>IF(ISERROR(FIND("Count",$A73)),[1]!lngFileSize(A73),"")</f>
        <v>0</v>
      </c>
      <c r="H73" s="11" t="str">
        <f>IF(ISERROR(FIND("Count",$A73)),[1]!GetFolder(A73),"")</f>
        <v>C:\Users\DAVE\Documents\Visual Studio 2013\Projects\WizardWrx_Libs\DLLServices2\_NOTES</v>
      </c>
      <c r="I73" s="16" t="s">
        <v>167</v>
      </c>
    </row>
    <row r="74" spans="1:9" outlineLevel="2" x14ac:dyDescent="0.25">
      <c r="A74" s="10" t="s">
        <v>76</v>
      </c>
      <c r="B74" s="11">
        <v>2158</v>
      </c>
      <c r="C74" s="12" t="s">
        <v>94</v>
      </c>
      <c r="D74" s="11" t="str">
        <f>IF(ISERROR(FIND("Count",$A74)),[1]!GetFile(A74),"")</f>
        <v>ApplicationHelpers3_Program_20150606_223541.CS</v>
      </c>
      <c r="E74" s="15" t="str">
        <f>IF(ISERROR(FIND("Count",$A74)),UPPER(RIGHT([1]!GetExtension(A74),LEN([1]!GetExtension(A74))-1)),"")</f>
        <v>CS</v>
      </c>
      <c r="F74" s="13">
        <f>IF(ISERROR(FIND("Count",$A74)),[1]!dtmFileDateInfo(A74),"")</f>
        <v>0</v>
      </c>
      <c r="G74" s="14">
        <f>IF(ISERROR(FIND("Count",$A74)),[1]!lngFileSize(A74),"")</f>
        <v>0</v>
      </c>
      <c r="H74" s="11" t="str">
        <f>IF(ISERROR(FIND("Count",$A74)),[1]!GetFolder(A74),"")</f>
        <v>C:\Users\DAVE\Documents\Visual Studio 2013\Projects\WizardWrx_Libs\DLLServices2\_NOTES</v>
      </c>
      <c r="I74" s="16" t="s">
        <v>167</v>
      </c>
    </row>
    <row r="75" spans="1:9" outlineLevel="2" x14ac:dyDescent="0.25">
      <c r="A75" s="10" t="s">
        <v>76</v>
      </c>
      <c r="B75" s="11">
        <v>2159</v>
      </c>
      <c r="C75" s="12" t="s">
        <v>95</v>
      </c>
      <c r="D75" s="11" t="str">
        <f>IF(ISERROR(FIND("Count",$A75)),[1]!GetFile(A75),"")</f>
        <v>ApplicationHelpers3_Program_20150606_223541.CS</v>
      </c>
      <c r="E75" s="15" t="str">
        <f>IF(ISERROR(FIND("Count",$A75)),UPPER(RIGHT([1]!GetExtension(A75),LEN([1]!GetExtension(A75))-1)),"")</f>
        <v>CS</v>
      </c>
      <c r="F75" s="13">
        <f>IF(ISERROR(FIND("Count",$A75)),[1]!dtmFileDateInfo(A75),"")</f>
        <v>0</v>
      </c>
      <c r="G75" s="14">
        <f>IF(ISERROR(FIND("Count",$A75)),[1]!lngFileSize(A75),"")</f>
        <v>0</v>
      </c>
      <c r="H75" s="11" t="str">
        <f>IF(ISERROR(FIND("Count",$A75)),[1]!GetFolder(A75),"")</f>
        <v>C:\Users\DAVE\Documents\Visual Studio 2013\Projects\WizardWrx_Libs\DLLServices2\_NOTES</v>
      </c>
      <c r="I75" s="16" t="s">
        <v>167</v>
      </c>
    </row>
    <row r="76" spans="1:9" outlineLevel="2" x14ac:dyDescent="0.25">
      <c r="A76" s="10" t="s">
        <v>76</v>
      </c>
      <c r="B76" s="11">
        <v>2174</v>
      </c>
      <c r="C76" s="12" t="s">
        <v>96</v>
      </c>
      <c r="D76" s="11" t="str">
        <f>IF(ISERROR(FIND("Count",$A76)),[1]!GetFile(A76),"")</f>
        <v>ApplicationHelpers3_Program_20150606_223541.CS</v>
      </c>
      <c r="E76" s="15" t="str">
        <f>IF(ISERROR(FIND("Count",$A76)),UPPER(RIGHT([1]!GetExtension(A76),LEN([1]!GetExtension(A76))-1)),"")</f>
        <v>CS</v>
      </c>
      <c r="F76" s="13">
        <f>IF(ISERROR(FIND("Count",$A76)),[1]!dtmFileDateInfo(A76),"")</f>
        <v>0</v>
      </c>
      <c r="G76" s="14">
        <f>IF(ISERROR(FIND("Count",$A76)),[1]!lngFileSize(A76),"")</f>
        <v>0</v>
      </c>
      <c r="H76" s="11" t="str">
        <f>IF(ISERROR(FIND("Count",$A76)),[1]!GetFolder(A76),"")</f>
        <v>C:\Users\DAVE\Documents\Visual Studio 2013\Projects\WizardWrx_Libs\DLLServices2\_NOTES</v>
      </c>
      <c r="I76" s="16" t="s">
        <v>167</v>
      </c>
    </row>
    <row r="77" spans="1:9" outlineLevel="2" x14ac:dyDescent="0.25">
      <c r="A77" s="10" t="s">
        <v>76</v>
      </c>
      <c r="B77" s="11">
        <v>2206</v>
      </c>
      <c r="C77" s="12" t="s">
        <v>97</v>
      </c>
      <c r="D77" s="11" t="str">
        <f>IF(ISERROR(FIND("Count",$A77)),[1]!GetFile(A77),"")</f>
        <v>ApplicationHelpers3_Program_20150606_223541.CS</v>
      </c>
      <c r="E77" s="15" t="str">
        <f>IF(ISERROR(FIND("Count",$A77)),UPPER(RIGHT([1]!GetExtension(A77),LEN([1]!GetExtension(A77))-1)),"")</f>
        <v>CS</v>
      </c>
      <c r="F77" s="13">
        <f>IF(ISERROR(FIND("Count",$A77)),[1]!dtmFileDateInfo(A77),"")</f>
        <v>0</v>
      </c>
      <c r="G77" s="14">
        <f>IF(ISERROR(FIND("Count",$A77)),[1]!lngFileSize(A77),"")</f>
        <v>0</v>
      </c>
      <c r="H77" s="11" t="str">
        <f>IF(ISERROR(FIND("Count",$A77)),[1]!GetFolder(A77),"")</f>
        <v>C:\Users\DAVE\Documents\Visual Studio 2013\Projects\WizardWrx_Libs\DLLServices2\_NOTES</v>
      </c>
      <c r="I77" s="16" t="s">
        <v>167</v>
      </c>
    </row>
    <row r="78" spans="1:9" outlineLevel="2" x14ac:dyDescent="0.25">
      <c r="A78" s="10" t="s">
        <v>76</v>
      </c>
      <c r="B78" s="11">
        <v>2208</v>
      </c>
      <c r="C78" s="12" t="s">
        <v>98</v>
      </c>
      <c r="D78" s="11" t="str">
        <f>IF(ISERROR(FIND("Count",$A78)),[1]!GetFile(A78),"")</f>
        <v>ApplicationHelpers3_Program_20150606_223541.CS</v>
      </c>
      <c r="E78" s="15" t="str">
        <f>IF(ISERROR(FIND("Count",$A78)),UPPER(RIGHT([1]!GetExtension(A78),LEN([1]!GetExtension(A78))-1)),"")</f>
        <v>CS</v>
      </c>
      <c r="F78" s="13">
        <f>IF(ISERROR(FIND("Count",$A78)),[1]!dtmFileDateInfo(A78),"")</f>
        <v>0</v>
      </c>
      <c r="G78" s="14">
        <f>IF(ISERROR(FIND("Count",$A78)),[1]!lngFileSize(A78),"")</f>
        <v>0</v>
      </c>
      <c r="H78" s="11" t="str">
        <f>IF(ISERROR(FIND("Count",$A78)),[1]!GetFolder(A78),"")</f>
        <v>C:\Users\DAVE\Documents\Visual Studio 2013\Projects\WizardWrx_Libs\DLLServices2\_NOTES</v>
      </c>
      <c r="I78" s="16" t="s">
        <v>167</v>
      </c>
    </row>
    <row r="79" spans="1:9" outlineLevel="2" x14ac:dyDescent="0.25">
      <c r="A79" s="10" t="s">
        <v>76</v>
      </c>
      <c r="B79" s="11">
        <v>2210</v>
      </c>
      <c r="C79" s="12" t="s">
        <v>99</v>
      </c>
      <c r="D79" s="11" t="str">
        <f>IF(ISERROR(FIND("Count",$A79)),[1]!GetFile(A79),"")</f>
        <v>ApplicationHelpers3_Program_20150606_223541.CS</v>
      </c>
      <c r="E79" s="15" t="str">
        <f>IF(ISERROR(FIND("Count",$A79)),UPPER(RIGHT([1]!GetExtension(A79),LEN([1]!GetExtension(A79))-1)),"")</f>
        <v>CS</v>
      </c>
      <c r="F79" s="13">
        <f>IF(ISERROR(FIND("Count",$A79)),[1]!dtmFileDateInfo(A79),"")</f>
        <v>0</v>
      </c>
      <c r="G79" s="14">
        <f>IF(ISERROR(FIND("Count",$A79)),[1]!lngFileSize(A79),"")</f>
        <v>0</v>
      </c>
      <c r="H79" s="11" t="str">
        <f>IF(ISERROR(FIND("Count",$A79)),[1]!GetFolder(A79),"")</f>
        <v>C:\Users\DAVE\Documents\Visual Studio 2013\Projects\WizardWrx_Libs\DLLServices2\_NOTES</v>
      </c>
      <c r="I79" s="16" t="s">
        <v>167</v>
      </c>
    </row>
    <row r="80" spans="1:9" outlineLevel="1" x14ac:dyDescent="0.25">
      <c r="A80" s="10" t="s">
        <v>152</v>
      </c>
      <c r="B80" s="11">
        <f>SUBTOTAL(3,B55:B79)</f>
        <v>25</v>
      </c>
      <c r="C80" s="12"/>
      <c r="D80" s="11" t="str">
        <f>IF(ISERROR(FIND("Count",$A80)),[1]!GetFile(A80),"")</f>
        <v/>
      </c>
      <c r="E80" s="15" t="str">
        <f>IF(ISERROR(FIND("Count",$A80)),UPPER(RIGHT([1]!GetExtension(A80),LEN([1]!GetExtension(A80))-1)),"")</f>
        <v/>
      </c>
      <c r="F80" s="13" t="str">
        <f>IF(ISERROR(FIND("Count",$A80)),[1]!dtmFileDateInfo(A80),"")</f>
        <v/>
      </c>
      <c r="G80" s="14" t="str">
        <f>IF(ISERROR(FIND("Count",$A80)),[1]!lngFileSize(A80),"")</f>
        <v/>
      </c>
      <c r="H80" s="11" t="str">
        <f>IF(ISERROR(FIND("Count",$A80)),[1]!GetFolder(A80),"")</f>
        <v/>
      </c>
      <c r="I80" s="16"/>
    </row>
    <row r="81" spans="1:9" outlineLevel="2" x14ac:dyDescent="0.25">
      <c r="A81" s="10" t="s">
        <v>101</v>
      </c>
      <c r="B81" s="11">
        <v>730</v>
      </c>
      <c r="C81" s="12" t="s">
        <v>102</v>
      </c>
      <c r="D81" s="11" t="str">
        <f>IF(ISERROR(FIND("Count",$A81)),[1]!GetFile(A81),"")</f>
        <v>RFC2822MessageID.cs</v>
      </c>
      <c r="E81" s="15" t="str">
        <f>IF(ISERROR(FIND("Count",$A81)),UPPER(RIGHT([1]!GetExtension(A81),LEN([1]!GetExtension(A81))-1)),"")</f>
        <v>CS</v>
      </c>
      <c r="F81" s="13">
        <f>IF(ISERROR(FIND("Count",$A81)),[1]!dtmFileDateInfo(A81),"")</f>
        <v>41907.623981481483</v>
      </c>
      <c r="G81" s="14">
        <f>IF(ISERROR(FIND("Count",$A81)),[1]!lngFileSize(A81),"")</f>
        <v>53168</v>
      </c>
      <c r="H81" s="11" t="str">
        <f>IF(ISERROR(FIND("Count",$A81)),[1]!GetFolder(A81),"")</f>
        <v>C:\Users\DAVE\Documents\Visual Studio 2013\Projects\WizardWrx_Libs\MailForAllApps\MailForAllApps</v>
      </c>
      <c r="I81" s="16" t="s">
        <v>168</v>
      </c>
    </row>
    <row r="82" spans="1:9" outlineLevel="2" x14ac:dyDescent="0.25">
      <c r="A82" s="10" t="s">
        <v>101</v>
      </c>
      <c r="B82" s="11">
        <v>790</v>
      </c>
      <c r="C82" s="12" t="s">
        <v>100</v>
      </c>
      <c r="D82" s="11" t="str">
        <f>IF(ISERROR(FIND("Count",$A82)),[1]!GetFile(A82),"")</f>
        <v>RFC2822MessageID.cs</v>
      </c>
      <c r="E82" s="15" t="str">
        <f>IF(ISERROR(FIND("Count",$A82)),UPPER(RIGHT([1]!GetExtension(A82),LEN([1]!GetExtension(A82))-1)),"")</f>
        <v>CS</v>
      </c>
      <c r="F82" s="13">
        <f>IF(ISERROR(FIND("Count",$A82)),[1]!dtmFileDateInfo(A82),"")</f>
        <v>41907.623981481483</v>
      </c>
      <c r="G82" s="14">
        <f>IF(ISERROR(FIND("Count",$A82)),[1]!lngFileSize(A82),"")</f>
        <v>53168</v>
      </c>
      <c r="H82" s="11" t="str">
        <f>IF(ISERROR(FIND("Count",$A82)),[1]!GetFolder(A82),"")</f>
        <v>C:\Users\DAVE\Documents\Visual Studio 2013\Projects\WizardWrx_Libs\MailForAllApps\MailForAllApps</v>
      </c>
      <c r="I82" s="16" t="s">
        <v>168</v>
      </c>
    </row>
    <row r="83" spans="1:9" outlineLevel="2" x14ac:dyDescent="0.25">
      <c r="A83" s="10" t="s">
        <v>101</v>
      </c>
      <c r="B83" s="11">
        <v>820</v>
      </c>
      <c r="C83" s="12" t="s">
        <v>102</v>
      </c>
      <c r="D83" s="11" t="str">
        <f>IF(ISERROR(FIND("Count",$A83)),[1]!GetFile(A83),"")</f>
        <v>RFC2822MessageID.cs</v>
      </c>
      <c r="E83" s="15" t="str">
        <f>IF(ISERROR(FIND("Count",$A83)),UPPER(RIGHT([1]!GetExtension(A83),LEN([1]!GetExtension(A83))-1)),"")</f>
        <v>CS</v>
      </c>
      <c r="F83" s="13">
        <f>IF(ISERROR(FIND("Count",$A83)),[1]!dtmFileDateInfo(A83),"")</f>
        <v>41907.623981481483</v>
      </c>
      <c r="G83" s="14">
        <f>IF(ISERROR(FIND("Count",$A83)),[1]!lngFileSize(A83),"")</f>
        <v>53168</v>
      </c>
      <c r="H83" s="11" t="str">
        <f>IF(ISERROR(FIND("Count",$A83)),[1]!GetFolder(A83),"")</f>
        <v>C:\Users\DAVE\Documents\Visual Studio 2013\Projects\WizardWrx_Libs\MailForAllApps\MailForAllApps</v>
      </c>
      <c r="I83" s="16" t="s">
        <v>168</v>
      </c>
    </row>
    <row r="84" spans="1:9" outlineLevel="2" x14ac:dyDescent="0.25">
      <c r="A84" s="10" t="s">
        <v>101</v>
      </c>
      <c r="B84" s="11">
        <v>1041</v>
      </c>
      <c r="C84" s="12" t="s">
        <v>103</v>
      </c>
      <c r="D84" s="11" t="str">
        <f>IF(ISERROR(FIND("Count",$A84)),[1]!GetFile(A84),"")</f>
        <v>RFC2822MessageID.cs</v>
      </c>
      <c r="E84" s="15" t="str">
        <f>IF(ISERROR(FIND("Count",$A84)),UPPER(RIGHT([1]!GetExtension(A84),LEN([1]!GetExtension(A84))-1)),"")</f>
        <v>CS</v>
      </c>
      <c r="F84" s="13">
        <f>IF(ISERROR(FIND("Count",$A84)),[1]!dtmFileDateInfo(A84),"")</f>
        <v>41907.623981481483</v>
      </c>
      <c r="G84" s="14">
        <f>IF(ISERROR(FIND("Count",$A84)),[1]!lngFileSize(A84),"")</f>
        <v>53168</v>
      </c>
      <c r="H84" s="11" t="str">
        <f>IF(ISERROR(FIND("Count",$A84)),[1]!GetFolder(A84),"")</f>
        <v>C:\Users\DAVE\Documents\Visual Studio 2013\Projects\WizardWrx_Libs\MailForAllApps\MailForAllApps</v>
      </c>
      <c r="I84" s="16" t="s">
        <v>168</v>
      </c>
    </row>
    <row r="85" spans="1:9" outlineLevel="1" x14ac:dyDescent="0.25">
      <c r="A85" s="10" t="s">
        <v>153</v>
      </c>
      <c r="B85" s="11">
        <f>SUBTOTAL(3,B81:B84)</f>
        <v>4</v>
      </c>
      <c r="C85" s="12"/>
      <c r="D85" s="11" t="str">
        <f>IF(ISERROR(FIND("Count",$A85)),[1]!GetFile(A85),"")</f>
        <v/>
      </c>
      <c r="E85" s="15" t="str">
        <f>IF(ISERROR(FIND("Count",$A85)),UPPER(RIGHT([1]!GetExtension(A85),LEN([1]!GetExtension(A85))-1)),"")</f>
        <v/>
      </c>
      <c r="F85" s="13" t="str">
        <f>IF(ISERROR(FIND("Count",$A85)),[1]!dtmFileDateInfo(A85),"")</f>
        <v/>
      </c>
      <c r="G85" s="14" t="str">
        <f>IF(ISERROR(FIND("Count",$A85)),[1]!lngFileSize(A85),"")</f>
        <v/>
      </c>
      <c r="H85" s="11" t="str">
        <f>IF(ISERROR(FIND("Count",$A85)),[1]!GetFolder(A85),"")</f>
        <v/>
      </c>
      <c r="I85" s="16"/>
    </row>
    <row r="86" spans="1:9" outlineLevel="2" x14ac:dyDescent="0.25">
      <c r="A86" s="10" t="s">
        <v>104</v>
      </c>
      <c r="B86" s="11">
        <v>317</v>
      </c>
      <c r="C86" s="12" t="s">
        <v>105</v>
      </c>
      <c r="D86" s="11" t="str">
        <f>IF(ISERROR(FIND("Count",$A86)),[1]!GetFile(A86),"")</f>
        <v>Program.cs</v>
      </c>
      <c r="E86" s="15" t="str">
        <f>IF(ISERROR(FIND("Count",$A86)),UPPER(RIGHT([1]!GetExtension(A86),LEN([1]!GetExtension(A86))-1)),"")</f>
        <v>CS</v>
      </c>
      <c r="F86" s="13">
        <f>IF(ISERROR(FIND("Count",$A86)),[1]!dtmFileDateInfo(A86),"")</f>
        <v>41907.771481481483</v>
      </c>
      <c r="G86" s="14">
        <f>IF(ISERROR(FIND("Count",$A86)),[1]!lngFileSize(A86),"")</f>
        <v>27525</v>
      </c>
      <c r="H86" s="11" t="str">
        <f>IF(ISERROR(FIND("Count",$A86)),[1]!GetFolder(A86),"")</f>
        <v>C:\Users\DAVE\Documents\Visual Studio 2013\Projects\WizardWrx_Libs\MailForAllApps\TestStand</v>
      </c>
      <c r="I86" s="16" t="s">
        <v>168</v>
      </c>
    </row>
    <row r="87" spans="1:9" outlineLevel="2" x14ac:dyDescent="0.25">
      <c r="A87" s="10" t="s">
        <v>104</v>
      </c>
      <c r="B87" s="11">
        <v>318</v>
      </c>
      <c r="C87" s="12" t="s">
        <v>106</v>
      </c>
      <c r="D87" s="11" t="str">
        <f>IF(ISERROR(FIND("Count",$A87)),[1]!GetFile(A87),"")</f>
        <v>Program.cs</v>
      </c>
      <c r="E87" s="15" t="str">
        <f>IF(ISERROR(FIND("Count",$A87)),UPPER(RIGHT([1]!GetExtension(A87),LEN([1]!GetExtension(A87))-1)),"")</f>
        <v>CS</v>
      </c>
      <c r="F87" s="13">
        <f>IF(ISERROR(FIND("Count",$A87)),[1]!dtmFileDateInfo(A87),"")</f>
        <v>41907.771481481483</v>
      </c>
      <c r="G87" s="14">
        <f>IF(ISERROR(FIND("Count",$A87)),[1]!lngFileSize(A87),"")</f>
        <v>27525</v>
      </c>
      <c r="H87" s="11" t="str">
        <f>IF(ISERROR(FIND("Count",$A87)),[1]!GetFolder(A87),"")</f>
        <v>C:\Users\DAVE\Documents\Visual Studio 2013\Projects\WizardWrx_Libs\MailForAllApps\TestStand</v>
      </c>
      <c r="I87" s="16" t="s">
        <v>168</v>
      </c>
    </row>
    <row r="88" spans="1:9" outlineLevel="2" x14ac:dyDescent="0.25">
      <c r="A88" s="10" t="s">
        <v>104</v>
      </c>
      <c r="B88" s="11">
        <v>320</v>
      </c>
      <c r="C88" s="12" t="s">
        <v>107</v>
      </c>
      <c r="D88" s="11" t="str">
        <f>IF(ISERROR(FIND("Count",$A88)),[1]!GetFile(A88),"")</f>
        <v>Program.cs</v>
      </c>
      <c r="E88" s="15" t="str">
        <f>IF(ISERROR(FIND("Count",$A88)),UPPER(RIGHT([1]!GetExtension(A88),LEN([1]!GetExtension(A88))-1)),"")</f>
        <v>CS</v>
      </c>
      <c r="F88" s="13">
        <f>IF(ISERROR(FIND("Count",$A88)),[1]!dtmFileDateInfo(A88),"")</f>
        <v>41907.771481481483</v>
      </c>
      <c r="G88" s="14">
        <f>IF(ISERROR(FIND("Count",$A88)),[1]!lngFileSize(A88),"")</f>
        <v>27525</v>
      </c>
      <c r="H88" s="11" t="str">
        <f>IF(ISERROR(FIND("Count",$A88)),[1]!GetFolder(A88),"")</f>
        <v>C:\Users\DAVE\Documents\Visual Studio 2013\Projects\WizardWrx_Libs\MailForAllApps\TestStand</v>
      </c>
      <c r="I88" s="16" t="s">
        <v>168</v>
      </c>
    </row>
    <row r="89" spans="1:9" outlineLevel="1" x14ac:dyDescent="0.25">
      <c r="A89" s="10" t="s">
        <v>154</v>
      </c>
      <c r="B89" s="11">
        <f>SUBTOTAL(3,B86:B88)</f>
        <v>3</v>
      </c>
      <c r="C89" s="12"/>
      <c r="D89" s="11" t="str">
        <f>IF(ISERROR(FIND("Count",$A89)),[1]!GetFile(A89),"")</f>
        <v/>
      </c>
      <c r="E89" s="15" t="str">
        <f>IF(ISERROR(FIND("Count",$A89)),UPPER(RIGHT([1]!GetExtension(A89),LEN([1]!GetExtension(A89))-1)),"")</f>
        <v/>
      </c>
      <c r="F89" s="13" t="str">
        <f>IF(ISERROR(FIND("Count",$A89)),[1]!dtmFileDateInfo(A89),"")</f>
        <v/>
      </c>
      <c r="G89" s="14" t="str">
        <f>IF(ISERROR(FIND("Count",$A89)),[1]!lngFileSize(A89),"")</f>
        <v/>
      </c>
      <c r="H89" s="11" t="str">
        <f>IF(ISERROR(FIND("Count",$A89)),[1]!GetFolder(A89),"")</f>
        <v/>
      </c>
      <c r="I89" s="16"/>
    </row>
    <row r="90" spans="1:9" outlineLevel="2" x14ac:dyDescent="0.25">
      <c r="A90" s="10" t="s">
        <v>108</v>
      </c>
      <c r="B90" s="11">
        <v>221</v>
      </c>
      <c r="C90" s="12" t="s">
        <v>109</v>
      </c>
      <c r="D90" s="11" t="str">
        <f>IF(ISERROR(FIND("Count",$A90)),[1]!GetFile(A90),"")</f>
        <v>MaxStringLength_Tester.cs</v>
      </c>
      <c r="E90" s="15" t="str">
        <f>IF(ISERROR(FIND("Count",$A90)),UPPER(RIGHT([1]!GetExtension(A90),LEN([1]!GetExtension(A90))-1)),"")</f>
        <v>CS</v>
      </c>
      <c r="F90" s="13">
        <f>IF(ISERROR(FIND("Count",$A90)),[1]!dtmFileDateInfo(A90),"")</f>
        <v>42527.0153587963</v>
      </c>
      <c r="G90" s="14">
        <f>IF(ISERROR(FIND("Count",$A90)),[1]!lngFileSize(A90),"")</f>
        <v>11333</v>
      </c>
      <c r="H90" s="11" t="str">
        <f>IF(ISERROR(FIND("Count",$A90)),[1]!GetFolder(A90),"")</f>
        <v>C:\Users\DAVE\Documents\Visual Studio 2013\Projects\WizardWrx_Libs\SharedUtl4\SharedUtl4_TestStand</v>
      </c>
      <c r="I90" s="16" t="s">
        <v>168</v>
      </c>
    </row>
    <row r="91" spans="1:9" outlineLevel="1" x14ac:dyDescent="0.25">
      <c r="A91" s="10" t="s">
        <v>155</v>
      </c>
      <c r="B91" s="11">
        <f>SUBTOTAL(3,B90:B90)</f>
        <v>1</v>
      </c>
      <c r="C91" s="12"/>
      <c r="D91" s="11" t="str">
        <f>IF(ISERROR(FIND("Count",$A91)),[1]!GetFile(A91),"")</f>
        <v/>
      </c>
      <c r="E91" s="15" t="str">
        <f>IF(ISERROR(FIND("Count",$A91)),UPPER(RIGHT([1]!GetExtension(A91),LEN([1]!GetExtension(A91))-1)),"")</f>
        <v/>
      </c>
      <c r="F91" s="13" t="str">
        <f>IF(ISERROR(FIND("Count",$A91)),[1]!dtmFileDateInfo(A91),"")</f>
        <v/>
      </c>
      <c r="G91" s="14" t="str">
        <f>IF(ISERROR(FIND("Count",$A91)),[1]!lngFileSize(A91),"")</f>
        <v/>
      </c>
      <c r="H91" s="11" t="str">
        <f>IF(ISERROR(FIND("Count",$A91)),[1]!GetFolder(A91),"")</f>
        <v/>
      </c>
      <c r="I91" s="16"/>
    </row>
    <row r="92" spans="1:9" outlineLevel="2" x14ac:dyDescent="0.25">
      <c r="A92" s="10" t="s">
        <v>110</v>
      </c>
      <c r="B92" s="11">
        <v>182</v>
      </c>
      <c r="C92" s="12" t="s">
        <v>111</v>
      </c>
      <c r="D92" s="11" t="str">
        <f>IF(ISERROR(FIND("Count",$A92)),[1]!GetFile(A92),"")</f>
        <v>MergeNewItemsIntoArray_Tester.cs</v>
      </c>
      <c r="E92" s="15" t="str">
        <f>IF(ISERROR(FIND("Count",$A92)),UPPER(RIGHT([1]!GetExtension(A92),LEN([1]!GetExtension(A92))-1)),"")</f>
        <v>CS</v>
      </c>
      <c r="F92" s="13">
        <f>IF(ISERROR(FIND("Count",$A92)),[1]!dtmFileDateInfo(A92),"")</f>
        <v>42527.583518518521</v>
      </c>
      <c r="G92" s="14">
        <f>IF(ISERROR(FIND("Count",$A92)),[1]!lngFileSize(A92),"")</f>
        <v>17759</v>
      </c>
      <c r="H92" s="11" t="str">
        <f>IF(ISERROR(FIND("Count",$A92)),[1]!GetFolder(A92),"")</f>
        <v>C:\Users\DAVE\Documents\Visual Studio 2013\Projects\WizardWrx_Libs\SharedUtl4\SharedUtl4_TestStand</v>
      </c>
      <c r="I92" s="16" t="s">
        <v>168</v>
      </c>
    </row>
    <row r="93" spans="1:9" outlineLevel="2" x14ac:dyDescent="0.25">
      <c r="A93" s="10" t="s">
        <v>110</v>
      </c>
      <c r="B93" s="11">
        <v>242</v>
      </c>
      <c r="C93" s="12" t="s">
        <v>112</v>
      </c>
      <c r="D93" s="11" t="str">
        <f>IF(ISERROR(FIND("Count",$A93)),[1]!GetFile(A93),"")</f>
        <v>MergeNewItemsIntoArray_Tester.cs</v>
      </c>
      <c r="E93" s="15" t="str">
        <f>IF(ISERROR(FIND("Count",$A93)),UPPER(RIGHT([1]!GetExtension(A93),LEN([1]!GetExtension(A93))-1)),"")</f>
        <v>CS</v>
      </c>
      <c r="F93" s="13">
        <f>IF(ISERROR(FIND("Count",$A93)),[1]!dtmFileDateInfo(A93),"")</f>
        <v>42527.583518518521</v>
      </c>
      <c r="G93" s="14">
        <f>IF(ISERROR(FIND("Count",$A93)),[1]!lngFileSize(A93),"")</f>
        <v>17759</v>
      </c>
      <c r="H93" s="11" t="str">
        <f>IF(ISERROR(FIND("Count",$A93)),[1]!GetFolder(A93),"")</f>
        <v>C:\Users\DAVE\Documents\Visual Studio 2013\Projects\WizardWrx_Libs\SharedUtl4\SharedUtl4_TestStand</v>
      </c>
      <c r="I93" s="16" t="s">
        <v>168</v>
      </c>
    </row>
    <row r="94" spans="1:9" outlineLevel="2" x14ac:dyDescent="0.25">
      <c r="A94" s="10" t="s">
        <v>110</v>
      </c>
      <c r="B94" s="11">
        <v>245</v>
      </c>
      <c r="C94" s="12" t="s">
        <v>113</v>
      </c>
      <c r="D94" s="11" t="str">
        <f>IF(ISERROR(FIND("Count",$A94)),[1]!GetFile(A94),"")</f>
        <v>MergeNewItemsIntoArray_Tester.cs</v>
      </c>
      <c r="E94" s="15" t="str">
        <f>IF(ISERROR(FIND("Count",$A94)),UPPER(RIGHT([1]!GetExtension(A94),LEN([1]!GetExtension(A94))-1)),"")</f>
        <v>CS</v>
      </c>
      <c r="F94" s="13">
        <f>IF(ISERROR(FIND("Count",$A94)),[1]!dtmFileDateInfo(A94),"")</f>
        <v>42527.583518518521</v>
      </c>
      <c r="G94" s="14">
        <f>IF(ISERROR(FIND("Count",$A94)),[1]!lngFileSize(A94),"")</f>
        <v>17759</v>
      </c>
      <c r="H94" s="11" t="str">
        <f>IF(ISERROR(FIND("Count",$A94)),[1]!GetFolder(A94),"")</f>
        <v>C:\Users\DAVE\Documents\Visual Studio 2013\Projects\WizardWrx_Libs\SharedUtl4\SharedUtl4_TestStand</v>
      </c>
      <c r="I94" s="16" t="s">
        <v>168</v>
      </c>
    </row>
    <row r="95" spans="1:9" outlineLevel="1" x14ac:dyDescent="0.25">
      <c r="A95" s="10" t="s">
        <v>156</v>
      </c>
      <c r="B95" s="11">
        <f>SUBTOTAL(3,B92:B94)</f>
        <v>3</v>
      </c>
      <c r="C95" s="12"/>
      <c r="D95" s="11" t="str">
        <f>IF(ISERROR(FIND("Count",$A95)),[1]!GetFile(A95),"")</f>
        <v/>
      </c>
      <c r="E95" s="15" t="str">
        <f>IF(ISERROR(FIND("Count",$A95)),UPPER(RIGHT([1]!GetExtension(A95),LEN([1]!GetExtension(A95))-1)),"")</f>
        <v/>
      </c>
      <c r="F95" s="13" t="str">
        <f>IF(ISERROR(FIND("Count",$A95)),[1]!dtmFileDateInfo(A95),"")</f>
        <v/>
      </c>
      <c r="G95" s="14" t="str">
        <f>IF(ISERROR(FIND("Count",$A95)),[1]!lngFileSize(A95),"")</f>
        <v/>
      </c>
      <c r="H95" s="11" t="str">
        <f>IF(ISERROR(FIND("Count",$A95)),[1]!GetFolder(A95),"")</f>
        <v/>
      </c>
      <c r="I95" s="16"/>
    </row>
    <row r="96" spans="1:9" outlineLevel="2" x14ac:dyDescent="0.25">
      <c r="A96" s="10" t="s">
        <v>114</v>
      </c>
      <c r="B96" s="11">
        <v>6</v>
      </c>
      <c r="C96" s="12" t="s">
        <v>54</v>
      </c>
      <c r="D96" s="11" t="str">
        <f>IF(ISERROR(FIND("Count",$A96)),[1]!GetFile(A96),"")</f>
        <v>SysDateFormatters.cs</v>
      </c>
      <c r="E96" s="15" t="str">
        <f>IF(ISERROR(FIND("Count",$A96)),UPPER(RIGHT([1]!GetExtension(A96),LEN([1]!GetExtension(A96))-1)),"")</f>
        <v>CS</v>
      </c>
      <c r="F96" s="13">
        <f>IF(ISERROR(FIND("Count",$A96)),[1]!dtmFileDateInfo(A96),"")</f>
        <v>41602.784513888888</v>
      </c>
      <c r="G96" s="14">
        <f>IF(ISERROR(FIND("Count",$A96)),[1]!lngFileSize(A96),"")</f>
        <v>31966</v>
      </c>
      <c r="H96" s="11" t="str">
        <f>IF(ISERROR(FIND("Count",$A96)),[1]!GetFolder(A96),"")</f>
        <v>C:\Users\DAVE\Documents\Visual Studio 2013\Projects\WizardWrx_Libs\_Deprecated_Libraries\ApplicationHelpers\ApplicationHelpers</v>
      </c>
      <c r="I96" s="16" t="s">
        <v>167</v>
      </c>
    </row>
    <row r="97" spans="1:9" outlineLevel="2" x14ac:dyDescent="0.25">
      <c r="A97" s="10" t="s">
        <v>114</v>
      </c>
      <c r="B97" s="11">
        <v>96</v>
      </c>
      <c r="C97" s="12" t="s">
        <v>57</v>
      </c>
      <c r="D97" s="11" t="str">
        <f>IF(ISERROR(FIND("Count",$A97)),[1]!GetFile(A97),"")</f>
        <v>SysDateFormatters.cs</v>
      </c>
      <c r="E97" s="15" t="str">
        <f>IF(ISERROR(FIND("Count",$A97)),UPPER(RIGHT([1]!GetExtension(A97),LEN([1]!GetExtension(A97))-1)),"")</f>
        <v>CS</v>
      </c>
      <c r="F97" s="13">
        <f>IF(ISERROR(FIND("Count",$A97)),[1]!dtmFileDateInfo(A97),"")</f>
        <v>41602.784513888888</v>
      </c>
      <c r="G97" s="14">
        <f>IF(ISERROR(FIND("Count",$A97)),[1]!lngFileSize(A97),"")</f>
        <v>31966</v>
      </c>
      <c r="H97" s="11" t="str">
        <f>IF(ISERROR(FIND("Count",$A97)),[1]!GetFolder(A97),"")</f>
        <v>C:\Users\DAVE\Documents\Visual Studio 2013\Projects\WizardWrx_Libs\_Deprecated_Libraries\ApplicationHelpers\ApplicationHelpers</v>
      </c>
      <c r="I97" s="16" t="s">
        <v>167</v>
      </c>
    </row>
    <row r="98" spans="1:9" outlineLevel="2" x14ac:dyDescent="0.25">
      <c r="A98" s="10" t="s">
        <v>114</v>
      </c>
      <c r="B98" s="11">
        <v>467</v>
      </c>
      <c r="C98" s="12" t="s">
        <v>115</v>
      </c>
      <c r="D98" s="11" t="str">
        <f>IF(ISERROR(FIND("Count",$A98)),[1]!GetFile(A98),"")</f>
        <v>SysDateFormatters.cs</v>
      </c>
      <c r="E98" s="15" t="str">
        <f>IF(ISERROR(FIND("Count",$A98)),UPPER(RIGHT([1]!GetExtension(A98),LEN([1]!GetExtension(A98))-1)),"")</f>
        <v>CS</v>
      </c>
      <c r="F98" s="13">
        <f>IF(ISERROR(FIND("Count",$A98)),[1]!dtmFileDateInfo(A98),"")</f>
        <v>41602.784513888888</v>
      </c>
      <c r="G98" s="14">
        <f>IF(ISERROR(FIND("Count",$A98)),[1]!lngFileSize(A98),"")</f>
        <v>31966</v>
      </c>
      <c r="H98" s="11" t="str">
        <f>IF(ISERROR(FIND("Count",$A98)),[1]!GetFolder(A98),"")</f>
        <v>C:\Users\DAVE\Documents\Visual Studio 2013\Projects\WizardWrx_Libs\_Deprecated_Libraries\ApplicationHelpers\ApplicationHelpers</v>
      </c>
      <c r="I98" s="16" t="s">
        <v>167</v>
      </c>
    </row>
    <row r="99" spans="1:9" outlineLevel="2" x14ac:dyDescent="0.25">
      <c r="A99" s="10" t="s">
        <v>114</v>
      </c>
      <c r="B99" s="11">
        <v>474</v>
      </c>
      <c r="C99" s="12" t="s">
        <v>59</v>
      </c>
      <c r="D99" s="11" t="str">
        <f>IF(ISERROR(FIND("Count",$A99)),[1]!GetFile(A99),"")</f>
        <v>SysDateFormatters.cs</v>
      </c>
      <c r="E99" s="15" t="str">
        <f>IF(ISERROR(FIND("Count",$A99)),UPPER(RIGHT([1]!GetExtension(A99),LEN([1]!GetExtension(A99))-1)),"")</f>
        <v>CS</v>
      </c>
      <c r="F99" s="13">
        <f>IF(ISERROR(FIND("Count",$A99)),[1]!dtmFileDateInfo(A99),"")</f>
        <v>41602.784513888888</v>
      </c>
      <c r="G99" s="14">
        <f>IF(ISERROR(FIND("Count",$A99)),[1]!lngFileSize(A99),"")</f>
        <v>31966</v>
      </c>
      <c r="H99" s="11" t="str">
        <f>IF(ISERROR(FIND("Count",$A99)),[1]!GetFolder(A99),"")</f>
        <v>C:\Users\DAVE\Documents\Visual Studio 2013\Projects\WizardWrx_Libs\_Deprecated_Libraries\ApplicationHelpers\ApplicationHelpers</v>
      </c>
      <c r="I99" s="16" t="s">
        <v>167</v>
      </c>
    </row>
    <row r="100" spans="1:9" outlineLevel="2" x14ac:dyDescent="0.25">
      <c r="A100" s="10" t="s">
        <v>114</v>
      </c>
      <c r="B100" s="11">
        <v>560</v>
      </c>
      <c r="C100" s="12" t="s">
        <v>60</v>
      </c>
      <c r="D100" s="11" t="str">
        <f>IF(ISERROR(FIND("Count",$A100)),[1]!GetFile(A100),"")</f>
        <v>SysDateFormatters.cs</v>
      </c>
      <c r="E100" s="15" t="str">
        <f>IF(ISERROR(FIND("Count",$A100)),UPPER(RIGHT([1]!GetExtension(A100),LEN([1]!GetExtension(A100))-1)),"")</f>
        <v>CS</v>
      </c>
      <c r="F100" s="13">
        <f>IF(ISERROR(FIND("Count",$A100)),[1]!dtmFileDateInfo(A100),"")</f>
        <v>41602.784513888888</v>
      </c>
      <c r="G100" s="14">
        <f>IF(ISERROR(FIND("Count",$A100)),[1]!lngFileSize(A100),"")</f>
        <v>31966</v>
      </c>
      <c r="H100" s="11" t="str">
        <f>IF(ISERROR(FIND("Count",$A100)),[1]!GetFolder(A100),"")</f>
        <v>C:\Users\DAVE\Documents\Visual Studio 2013\Projects\WizardWrx_Libs\_Deprecated_Libraries\ApplicationHelpers\ApplicationHelpers</v>
      </c>
      <c r="I100" s="16" t="s">
        <v>167</v>
      </c>
    </row>
    <row r="101" spans="1:9" outlineLevel="2" x14ac:dyDescent="0.25">
      <c r="A101" s="10" t="s">
        <v>114</v>
      </c>
      <c r="B101" s="11">
        <v>688</v>
      </c>
      <c r="C101" s="12" t="s">
        <v>116</v>
      </c>
      <c r="D101" s="11" t="str">
        <f>IF(ISERROR(FIND("Count",$A101)),[1]!GetFile(A101),"")</f>
        <v>SysDateFormatters.cs</v>
      </c>
      <c r="E101" s="15" t="str">
        <f>IF(ISERROR(FIND("Count",$A101)),UPPER(RIGHT([1]!GetExtension(A101),LEN([1]!GetExtension(A101))-1)),"")</f>
        <v>CS</v>
      </c>
      <c r="F101" s="13">
        <f>IF(ISERROR(FIND("Count",$A101)),[1]!dtmFileDateInfo(A101),"")</f>
        <v>41602.784513888888</v>
      </c>
      <c r="G101" s="14">
        <f>IF(ISERROR(FIND("Count",$A101)),[1]!lngFileSize(A101),"")</f>
        <v>31966</v>
      </c>
      <c r="H101" s="11" t="str">
        <f>IF(ISERROR(FIND("Count",$A101)),[1]!GetFolder(A101),"")</f>
        <v>C:\Users\DAVE\Documents\Visual Studio 2013\Projects\WizardWrx_Libs\_Deprecated_Libraries\ApplicationHelpers\ApplicationHelpers</v>
      </c>
      <c r="I101" s="16" t="s">
        <v>167</v>
      </c>
    </row>
    <row r="102" spans="1:9" outlineLevel="1" x14ac:dyDescent="0.25">
      <c r="A102" s="10" t="s">
        <v>157</v>
      </c>
      <c r="B102" s="11">
        <f>SUBTOTAL(3,B96:B101)</f>
        <v>6</v>
      </c>
      <c r="C102" s="12"/>
      <c r="D102" s="11" t="str">
        <f>IF(ISERROR(FIND("Count",$A102)),[1]!GetFile(A102),"")</f>
        <v/>
      </c>
      <c r="E102" s="15" t="str">
        <f>IF(ISERROR(FIND("Count",$A102)),UPPER(RIGHT([1]!GetExtension(A102),LEN([1]!GetExtension(A102))-1)),"")</f>
        <v/>
      </c>
      <c r="F102" s="13" t="str">
        <f>IF(ISERROR(FIND("Count",$A102)),[1]!dtmFileDateInfo(A102),"")</f>
        <v/>
      </c>
      <c r="G102" s="14" t="str">
        <f>IF(ISERROR(FIND("Count",$A102)),[1]!lngFileSize(A102),"")</f>
        <v/>
      </c>
      <c r="H102" s="11" t="str">
        <f>IF(ISERROR(FIND("Count",$A102)),[1]!GetFolder(A102),"")</f>
        <v/>
      </c>
      <c r="I102" s="16"/>
    </row>
    <row r="103" spans="1:9" outlineLevel="2" x14ac:dyDescent="0.25">
      <c r="A103" s="10" t="s">
        <v>117</v>
      </c>
      <c r="B103" s="11">
        <v>680</v>
      </c>
      <c r="C103" s="12" t="s">
        <v>77</v>
      </c>
      <c r="D103" s="11" t="str">
        <f>IF(ISERROR(FIND("Count",$A103)),[1]!GetFile(A103),"")</f>
        <v>Program.cs</v>
      </c>
      <c r="E103" s="15" t="str">
        <f>IF(ISERROR(FIND("Count",$A103)),UPPER(RIGHT([1]!GetExtension(A103),LEN([1]!GetExtension(A103))-1)),"")</f>
        <v>CS</v>
      </c>
      <c r="F103" s="13">
        <f>IF(ISERROR(FIND("Count",$A103)),[1]!dtmFileDateInfo(A103),"")</f>
        <v>41708.069236111114</v>
      </c>
      <c r="G103" s="14">
        <f>IF(ISERROR(FIND("Count",$A103)),[1]!lngFileSize(A103),"")</f>
        <v>110794</v>
      </c>
      <c r="H103" s="11" t="str">
        <f>IF(ISERROR(FIND("Count",$A103)),[1]!GetFolder(A103),"")</f>
        <v>C:\Users\DAVE\Documents\Visual Studio 2013\Projects\WizardWrx_Libs\_Deprecated_Libraries\ApplicationHelpers\ApplicationHelpersTestHarness\ApplicationHelpersTestHarness</v>
      </c>
      <c r="I103" s="16" t="s">
        <v>167</v>
      </c>
    </row>
    <row r="104" spans="1:9" outlineLevel="2" x14ac:dyDescent="0.25">
      <c r="A104" s="10" t="s">
        <v>117</v>
      </c>
      <c r="B104" s="11">
        <v>695</v>
      </c>
      <c r="C104" s="12" t="s">
        <v>78</v>
      </c>
      <c r="D104" s="11" t="str">
        <f>IF(ISERROR(FIND("Count",$A104)),[1]!GetFile(A104),"")</f>
        <v>Program.cs</v>
      </c>
      <c r="E104" s="15" t="str">
        <f>IF(ISERROR(FIND("Count",$A104)),UPPER(RIGHT([1]!GetExtension(A104),LEN([1]!GetExtension(A104))-1)),"")</f>
        <v>CS</v>
      </c>
      <c r="F104" s="13">
        <f>IF(ISERROR(FIND("Count",$A104)),[1]!dtmFileDateInfo(A104),"")</f>
        <v>41708.069236111114</v>
      </c>
      <c r="G104" s="14">
        <f>IF(ISERROR(FIND("Count",$A104)),[1]!lngFileSize(A104),"")</f>
        <v>110794</v>
      </c>
      <c r="H104" s="11" t="str">
        <f>IF(ISERROR(FIND("Count",$A104)),[1]!GetFolder(A104),"")</f>
        <v>C:\Users\DAVE\Documents\Visual Studio 2013\Projects\WizardWrx_Libs\_Deprecated_Libraries\ApplicationHelpers\ApplicationHelpersTestHarness\ApplicationHelpersTestHarness</v>
      </c>
      <c r="I104" s="16" t="s">
        <v>167</v>
      </c>
    </row>
    <row r="105" spans="1:9" outlineLevel="2" x14ac:dyDescent="0.25">
      <c r="A105" s="10" t="s">
        <v>117</v>
      </c>
      <c r="B105" s="11">
        <v>698</v>
      </c>
      <c r="C105" s="12" t="s">
        <v>79</v>
      </c>
      <c r="D105" s="11" t="str">
        <f>IF(ISERROR(FIND("Count",$A105)),[1]!GetFile(A105),"")</f>
        <v>Program.cs</v>
      </c>
      <c r="E105" s="15" t="str">
        <f>IF(ISERROR(FIND("Count",$A105)),UPPER(RIGHT([1]!GetExtension(A105),LEN([1]!GetExtension(A105))-1)),"")</f>
        <v>CS</v>
      </c>
      <c r="F105" s="13">
        <f>IF(ISERROR(FIND("Count",$A105)),[1]!dtmFileDateInfo(A105),"")</f>
        <v>41708.069236111114</v>
      </c>
      <c r="G105" s="14">
        <f>IF(ISERROR(FIND("Count",$A105)),[1]!lngFileSize(A105),"")</f>
        <v>110794</v>
      </c>
      <c r="H105" s="11" t="str">
        <f>IF(ISERROR(FIND("Count",$A105)),[1]!GetFolder(A105),"")</f>
        <v>C:\Users\DAVE\Documents\Visual Studio 2013\Projects\WizardWrx_Libs\_Deprecated_Libraries\ApplicationHelpers\ApplicationHelpersTestHarness\ApplicationHelpersTestHarness</v>
      </c>
      <c r="I105" s="16" t="s">
        <v>167</v>
      </c>
    </row>
    <row r="106" spans="1:9" outlineLevel="2" x14ac:dyDescent="0.25">
      <c r="A106" s="10" t="s">
        <v>117</v>
      </c>
      <c r="B106" s="11">
        <v>701</v>
      </c>
      <c r="C106" s="12" t="s">
        <v>79</v>
      </c>
      <c r="D106" s="11" t="str">
        <f>IF(ISERROR(FIND("Count",$A106)),[1]!GetFile(A106),"")</f>
        <v>Program.cs</v>
      </c>
      <c r="E106" s="15" t="str">
        <f>IF(ISERROR(FIND("Count",$A106)),UPPER(RIGHT([1]!GetExtension(A106),LEN([1]!GetExtension(A106))-1)),"")</f>
        <v>CS</v>
      </c>
      <c r="F106" s="13">
        <f>IF(ISERROR(FIND("Count",$A106)),[1]!dtmFileDateInfo(A106),"")</f>
        <v>41708.069236111114</v>
      </c>
      <c r="G106" s="14">
        <f>IF(ISERROR(FIND("Count",$A106)),[1]!lngFileSize(A106),"")</f>
        <v>110794</v>
      </c>
      <c r="H106" s="11" t="str">
        <f>IF(ISERROR(FIND("Count",$A106)),[1]!GetFolder(A106),"")</f>
        <v>C:\Users\DAVE\Documents\Visual Studio 2013\Projects\WizardWrx_Libs\_Deprecated_Libraries\ApplicationHelpers\ApplicationHelpersTestHarness\ApplicationHelpersTestHarness</v>
      </c>
      <c r="I106" s="16" t="s">
        <v>167</v>
      </c>
    </row>
    <row r="107" spans="1:9" outlineLevel="2" x14ac:dyDescent="0.25">
      <c r="A107" s="10" t="s">
        <v>117</v>
      </c>
      <c r="B107" s="11">
        <v>704</v>
      </c>
      <c r="C107" s="12" t="s">
        <v>79</v>
      </c>
      <c r="D107" s="11" t="str">
        <f>IF(ISERROR(FIND("Count",$A107)),[1]!GetFile(A107),"")</f>
        <v>Program.cs</v>
      </c>
      <c r="E107" s="15" t="str">
        <f>IF(ISERROR(FIND("Count",$A107)),UPPER(RIGHT([1]!GetExtension(A107),LEN([1]!GetExtension(A107))-1)),"")</f>
        <v>CS</v>
      </c>
      <c r="F107" s="13">
        <f>IF(ISERROR(FIND("Count",$A107)),[1]!dtmFileDateInfo(A107),"")</f>
        <v>41708.069236111114</v>
      </c>
      <c r="G107" s="14">
        <f>IF(ISERROR(FIND("Count",$A107)),[1]!lngFileSize(A107),"")</f>
        <v>110794</v>
      </c>
      <c r="H107" s="11" t="str">
        <f>IF(ISERROR(FIND("Count",$A107)),[1]!GetFolder(A107),"")</f>
        <v>C:\Users\DAVE\Documents\Visual Studio 2013\Projects\WizardWrx_Libs\_Deprecated_Libraries\ApplicationHelpers\ApplicationHelpersTestHarness\ApplicationHelpersTestHarness</v>
      </c>
      <c r="I107" s="16" t="s">
        <v>167</v>
      </c>
    </row>
    <row r="108" spans="1:9" outlineLevel="2" x14ac:dyDescent="0.25">
      <c r="A108" s="10" t="s">
        <v>117</v>
      </c>
      <c r="B108" s="11">
        <v>1799</v>
      </c>
      <c r="C108" s="12" t="s">
        <v>80</v>
      </c>
      <c r="D108" s="11" t="str">
        <f>IF(ISERROR(FIND("Count",$A108)),[1]!GetFile(A108),"")</f>
        <v>Program.cs</v>
      </c>
      <c r="E108" s="15" t="str">
        <f>IF(ISERROR(FIND("Count",$A108)),UPPER(RIGHT([1]!GetExtension(A108),LEN([1]!GetExtension(A108))-1)),"")</f>
        <v>CS</v>
      </c>
      <c r="F108" s="13">
        <f>IF(ISERROR(FIND("Count",$A108)),[1]!dtmFileDateInfo(A108),"")</f>
        <v>41708.069236111114</v>
      </c>
      <c r="G108" s="14">
        <f>IF(ISERROR(FIND("Count",$A108)),[1]!lngFileSize(A108),"")</f>
        <v>110794</v>
      </c>
      <c r="H108" s="11" t="str">
        <f>IF(ISERROR(FIND("Count",$A108)),[1]!GetFolder(A108),"")</f>
        <v>C:\Users\DAVE\Documents\Visual Studio 2013\Projects\WizardWrx_Libs\_Deprecated_Libraries\ApplicationHelpers\ApplicationHelpersTestHarness\ApplicationHelpersTestHarness</v>
      </c>
      <c r="I108" s="16" t="s">
        <v>167</v>
      </c>
    </row>
    <row r="109" spans="1:9" outlineLevel="2" x14ac:dyDescent="0.25">
      <c r="A109" s="10" t="s">
        <v>117</v>
      </c>
      <c r="B109" s="11">
        <v>1823</v>
      </c>
      <c r="C109" s="12" t="s">
        <v>81</v>
      </c>
      <c r="D109" s="11" t="str">
        <f>IF(ISERROR(FIND("Count",$A109)),[1]!GetFile(A109),"")</f>
        <v>Program.cs</v>
      </c>
      <c r="E109" s="15" t="str">
        <f>IF(ISERROR(FIND("Count",$A109)),UPPER(RIGHT([1]!GetExtension(A109),LEN([1]!GetExtension(A109))-1)),"")</f>
        <v>CS</v>
      </c>
      <c r="F109" s="13">
        <f>IF(ISERROR(FIND("Count",$A109)),[1]!dtmFileDateInfo(A109),"")</f>
        <v>41708.069236111114</v>
      </c>
      <c r="G109" s="14">
        <f>IF(ISERROR(FIND("Count",$A109)),[1]!lngFileSize(A109),"")</f>
        <v>110794</v>
      </c>
      <c r="H109" s="11" t="str">
        <f>IF(ISERROR(FIND("Count",$A109)),[1]!GetFolder(A109),"")</f>
        <v>C:\Users\DAVE\Documents\Visual Studio 2013\Projects\WizardWrx_Libs\_Deprecated_Libraries\ApplicationHelpers\ApplicationHelpersTestHarness\ApplicationHelpersTestHarness</v>
      </c>
      <c r="I109" s="16" t="s">
        <v>167</v>
      </c>
    </row>
    <row r="110" spans="1:9" outlineLevel="2" x14ac:dyDescent="0.25">
      <c r="A110" s="10" t="s">
        <v>117</v>
      </c>
      <c r="B110" s="11">
        <v>1825</v>
      </c>
      <c r="C110" s="12" t="s">
        <v>82</v>
      </c>
      <c r="D110" s="11" t="str">
        <f>IF(ISERROR(FIND("Count",$A110)),[1]!GetFile(A110),"")</f>
        <v>Program.cs</v>
      </c>
      <c r="E110" s="15" t="str">
        <f>IF(ISERROR(FIND("Count",$A110)),UPPER(RIGHT([1]!GetExtension(A110),LEN([1]!GetExtension(A110))-1)),"")</f>
        <v>CS</v>
      </c>
      <c r="F110" s="13">
        <f>IF(ISERROR(FIND("Count",$A110)),[1]!dtmFileDateInfo(A110),"")</f>
        <v>41708.069236111114</v>
      </c>
      <c r="G110" s="14">
        <f>IF(ISERROR(FIND("Count",$A110)),[1]!lngFileSize(A110),"")</f>
        <v>110794</v>
      </c>
      <c r="H110" s="11" t="str">
        <f>IF(ISERROR(FIND("Count",$A110)),[1]!GetFolder(A110),"")</f>
        <v>C:\Users\DAVE\Documents\Visual Studio 2013\Projects\WizardWrx_Libs\_Deprecated_Libraries\ApplicationHelpers\ApplicationHelpersTestHarness\ApplicationHelpersTestHarness</v>
      </c>
      <c r="I110" s="16" t="s">
        <v>167</v>
      </c>
    </row>
    <row r="111" spans="1:9" outlineLevel="2" x14ac:dyDescent="0.25">
      <c r="A111" s="10" t="s">
        <v>117</v>
      </c>
      <c r="B111" s="11">
        <v>1826</v>
      </c>
      <c r="C111" s="12" t="s">
        <v>83</v>
      </c>
      <c r="D111" s="11" t="str">
        <f>IF(ISERROR(FIND("Count",$A111)),[1]!GetFile(A111),"")</f>
        <v>Program.cs</v>
      </c>
      <c r="E111" s="15" t="str">
        <f>IF(ISERROR(FIND("Count",$A111)),UPPER(RIGHT([1]!GetExtension(A111),LEN([1]!GetExtension(A111))-1)),"")</f>
        <v>CS</v>
      </c>
      <c r="F111" s="13">
        <f>IF(ISERROR(FIND("Count",$A111)),[1]!dtmFileDateInfo(A111),"")</f>
        <v>41708.069236111114</v>
      </c>
      <c r="G111" s="14">
        <f>IF(ISERROR(FIND("Count",$A111)),[1]!lngFileSize(A111),"")</f>
        <v>110794</v>
      </c>
      <c r="H111" s="11" t="str">
        <f>IF(ISERROR(FIND("Count",$A111)),[1]!GetFolder(A111),"")</f>
        <v>C:\Users\DAVE\Documents\Visual Studio 2013\Projects\WizardWrx_Libs\_Deprecated_Libraries\ApplicationHelpers\ApplicationHelpersTestHarness\ApplicationHelpersTestHarness</v>
      </c>
      <c r="I111" s="16" t="s">
        <v>167</v>
      </c>
    </row>
    <row r="112" spans="1:9" outlineLevel="2" x14ac:dyDescent="0.25">
      <c r="A112" s="10" t="s">
        <v>117</v>
      </c>
      <c r="B112" s="11">
        <v>1827</v>
      </c>
      <c r="C112" s="12" t="s">
        <v>84</v>
      </c>
      <c r="D112" s="11" t="str">
        <f>IF(ISERROR(FIND("Count",$A112)),[1]!GetFile(A112),"")</f>
        <v>Program.cs</v>
      </c>
      <c r="E112" s="15" t="str">
        <f>IF(ISERROR(FIND("Count",$A112)),UPPER(RIGHT([1]!GetExtension(A112),LEN([1]!GetExtension(A112))-1)),"")</f>
        <v>CS</v>
      </c>
      <c r="F112" s="13">
        <f>IF(ISERROR(FIND("Count",$A112)),[1]!dtmFileDateInfo(A112),"")</f>
        <v>41708.069236111114</v>
      </c>
      <c r="G112" s="14">
        <f>IF(ISERROR(FIND("Count",$A112)),[1]!lngFileSize(A112),"")</f>
        <v>110794</v>
      </c>
      <c r="H112" s="11" t="str">
        <f>IF(ISERROR(FIND("Count",$A112)),[1]!GetFolder(A112),"")</f>
        <v>C:\Users\DAVE\Documents\Visual Studio 2013\Projects\WizardWrx_Libs\_Deprecated_Libraries\ApplicationHelpers\ApplicationHelpersTestHarness\ApplicationHelpersTestHarness</v>
      </c>
      <c r="I112" s="16" t="s">
        <v>167</v>
      </c>
    </row>
    <row r="113" spans="1:9" outlineLevel="2" x14ac:dyDescent="0.25">
      <c r="A113" s="10" t="s">
        <v>117</v>
      </c>
      <c r="B113" s="11">
        <v>1829</v>
      </c>
      <c r="C113" s="12" t="s">
        <v>85</v>
      </c>
      <c r="D113" s="11" t="str">
        <f>IF(ISERROR(FIND("Count",$A113)),[1]!GetFile(A113),"")</f>
        <v>Program.cs</v>
      </c>
      <c r="E113" s="15" t="str">
        <f>IF(ISERROR(FIND("Count",$A113)),UPPER(RIGHT([1]!GetExtension(A113),LEN([1]!GetExtension(A113))-1)),"")</f>
        <v>CS</v>
      </c>
      <c r="F113" s="13">
        <f>IF(ISERROR(FIND("Count",$A113)),[1]!dtmFileDateInfo(A113),"")</f>
        <v>41708.069236111114</v>
      </c>
      <c r="G113" s="14">
        <f>IF(ISERROR(FIND("Count",$A113)),[1]!lngFileSize(A113),"")</f>
        <v>110794</v>
      </c>
      <c r="H113" s="11" t="str">
        <f>IF(ISERROR(FIND("Count",$A113)),[1]!GetFolder(A113),"")</f>
        <v>C:\Users\DAVE\Documents\Visual Studio 2013\Projects\WizardWrx_Libs\_Deprecated_Libraries\ApplicationHelpers\ApplicationHelpersTestHarness\ApplicationHelpersTestHarness</v>
      </c>
      <c r="I113" s="16" t="s">
        <v>167</v>
      </c>
    </row>
    <row r="114" spans="1:9" outlineLevel="2" x14ac:dyDescent="0.25">
      <c r="A114" s="10" t="s">
        <v>117</v>
      </c>
      <c r="B114" s="11">
        <v>1830</v>
      </c>
      <c r="C114" s="12" t="s">
        <v>86</v>
      </c>
      <c r="D114" s="11" t="str">
        <f>IF(ISERROR(FIND("Count",$A114)),[1]!GetFile(A114),"")</f>
        <v>Program.cs</v>
      </c>
      <c r="E114" s="15" t="str">
        <f>IF(ISERROR(FIND("Count",$A114)),UPPER(RIGHT([1]!GetExtension(A114),LEN([1]!GetExtension(A114))-1)),"")</f>
        <v>CS</v>
      </c>
      <c r="F114" s="13">
        <f>IF(ISERROR(FIND("Count",$A114)),[1]!dtmFileDateInfo(A114),"")</f>
        <v>41708.069236111114</v>
      </c>
      <c r="G114" s="14">
        <f>IF(ISERROR(FIND("Count",$A114)),[1]!lngFileSize(A114),"")</f>
        <v>110794</v>
      </c>
      <c r="H114" s="11" t="str">
        <f>IF(ISERROR(FIND("Count",$A114)),[1]!GetFolder(A114),"")</f>
        <v>C:\Users\DAVE\Documents\Visual Studio 2013\Projects\WizardWrx_Libs\_Deprecated_Libraries\ApplicationHelpers\ApplicationHelpersTestHarness\ApplicationHelpersTestHarness</v>
      </c>
      <c r="I114" s="16" t="s">
        <v>167</v>
      </c>
    </row>
    <row r="115" spans="1:9" outlineLevel="2" x14ac:dyDescent="0.25">
      <c r="A115" s="10" t="s">
        <v>117</v>
      </c>
      <c r="B115" s="11">
        <v>1832</v>
      </c>
      <c r="C115" s="12" t="s">
        <v>87</v>
      </c>
      <c r="D115" s="11" t="str">
        <f>IF(ISERROR(FIND("Count",$A115)),[1]!GetFile(A115),"")</f>
        <v>Program.cs</v>
      </c>
      <c r="E115" s="15" t="str">
        <f>IF(ISERROR(FIND("Count",$A115)),UPPER(RIGHT([1]!GetExtension(A115),LEN([1]!GetExtension(A115))-1)),"")</f>
        <v>CS</v>
      </c>
      <c r="F115" s="13">
        <f>IF(ISERROR(FIND("Count",$A115)),[1]!dtmFileDateInfo(A115),"")</f>
        <v>41708.069236111114</v>
      </c>
      <c r="G115" s="14">
        <f>IF(ISERROR(FIND("Count",$A115)),[1]!lngFileSize(A115),"")</f>
        <v>110794</v>
      </c>
      <c r="H115" s="11" t="str">
        <f>IF(ISERROR(FIND("Count",$A115)),[1]!GetFolder(A115),"")</f>
        <v>C:\Users\DAVE\Documents\Visual Studio 2013\Projects\WizardWrx_Libs\_Deprecated_Libraries\ApplicationHelpers\ApplicationHelpersTestHarness\ApplicationHelpersTestHarness</v>
      </c>
      <c r="I115" s="16" t="s">
        <v>167</v>
      </c>
    </row>
    <row r="116" spans="1:9" outlineLevel="2" x14ac:dyDescent="0.25">
      <c r="A116" s="10" t="s">
        <v>117</v>
      </c>
      <c r="B116" s="11">
        <v>1833</v>
      </c>
      <c r="C116" s="12" t="s">
        <v>88</v>
      </c>
      <c r="D116" s="11" t="str">
        <f>IF(ISERROR(FIND("Count",$A116)),[1]!GetFile(A116),"")</f>
        <v>Program.cs</v>
      </c>
      <c r="E116" s="15" t="str">
        <f>IF(ISERROR(FIND("Count",$A116)),UPPER(RIGHT([1]!GetExtension(A116),LEN([1]!GetExtension(A116))-1)),"")</f>
        <v>CS</v>
      </c>
      <c r="F116" s="13">
        <f>IF(ISERROR(FIND("Count",$A116)),[1]!dtmFileDateInfo(A116),"")</f>
        <v>41708.069236111114</v>
      </c>
      <c r="G116" s="14">
        <f>IF(ISERROR(FIND("Count",$A116)),[1]!lngFileSize(A116),"")</f>
        <v>110794</v>
      </c>
      <c r="H116" s="11" t="str">
        <f>IF(ISERROR(FIND("Count",$A116)),[1]!GetFolder(A116),"")</f>
        <v>C:\Users\DAVE\Documents\Visual Studio 2013\Projects\WizardWrx_Libs\_Deprecated_Libraries\ApplicationHelpers\ApplicationHelpersTestHarness\ApplicationHelpersTestHarness</v>
      </c>
      <c r="I116" s="16" t="s">
        <v>167</v>
      </c>
    </row>
    <row r="117" spans="1:9" outlineLevel="2" x14ac:dyDescent="0.25">
      <c r="A117" s="10" t="s">
        <v>117</v>
      </c>
      <c r="B117" s="11">
        <v>1835</v>
      </c>
      <c r="C117" s="12" t="s">
        <v>89</v>
      </c>
      <c r="D117" s="11" t="str">
        <f>IF(ISERROR(FIND("Count",$A117)),[1]!GetFile(A117),"")</f>
        <v>Program.cs</v>
      </c>
      <c r="E117" s="15" t="str">
        <f>IF(ISERROR(FIND("Count",$A117)),UPPER(RIGHT([1]!GetExtension(A117),LEN([1]!GetExtension(A117))-1)),"")</f>
        <v>CS</v>
      </c>
      <c r="F117" s="13">
        <f>IF(ISERROR(FIND("Count",$A117)),[1]!dtmFileDateInfo(A117),"")</f>
        <v>41708.069236111114</v>
      </c>
      <c r="G117" s="14">
        <f>IF(ISERROR(FIND("Count",$A117)),[1]!lngFileSize(A117),"")</f>
        <v>110794</v>
      </c>
      <c r="H117" s="11" t="str">
        <f>IF(ISERROR(FIND("Count",$A117)),[1]!GetFolder(A117),"")</f>
        <v>C:\Users\DAVE\Documents\Visual Studio 2013\Projects\WizardWrx_Libs\_Deprecated_Libraries\ApplicationHelpers\ApplicationHelpersTestHarness\ApplicationHelpersTestHarness</v>
      </c>
      <c r="I117" s="16" t="s">
        <v>167</v>
      </c>
    </row>
    <row r="118" spans="1:9" outlineLevel="2" x14ac:dyDescent="0.25">
      <c r="A118" s="10" t="s">
        <v>117</v>
      </c>
      <c r="B118" s="11">
        <v>1836</v>
      </c>
      <c r="C118" s="12" t="s">
        <v>90</v>
      </c>
      <c r="D118" s="11" t="str">
        <f>IF(ISERROR(FIND("Count",$A118)),[1]!GetFile(A118),"")</f>
        <v>Program.cs</v>
      </c>
      <c r="E118" s="15" t="str">
        <f>IF(ISERROR(FIND("Count",$A118)),UPPER(RIGHT([1]!GetExtension(A118),LEN([1]!GetExtension(A118))-1)),"")</f>
        <v>CS</v>
      </c>
      <c r="F118" s="13">
        <f>IF(ISERROR(FIND("Count",$A118)),[1]!dtmFileDateInfo(A118),"")</f>
        <v>41708.069236111114</v>
      </c>
      <c r="G118" s="14">
        <f>IF(ISERROR(FIND("Count",$A118)),[1]!lngFileSize(A118),"")</f>
        <v>110794</v>
      </c>
      <c r="H118" s="11" t="str">
        <f>IF(ISERROR(FIND("Count",$A118)),[1]!GetFolder(A118),"")</f>
        <v>C:\Users\DAVE\Documents\Visual Studio 2013\Projects\WizardWrx_Libs\_Deprecated_Libraries\ApplicationHelpers\ApplicationHelpersTestHarness\ApplicationHelpersTestHarness</v>
      </c>
      <c r="I118" s="16" t="s">
        <v>167</v>
      </c>
    </row>
    <row r="119" spans="1:9" outlineLevel="2" x14ac:dyDescent="0.25">
      <c r="A119" s="10" t="s">
        <v>117</v>
      </c>
      <c r="B119" s="11">
        <v>1838</v>
      </c>
      <c r="C119" s="12" t="s">
        <v>91</v>
      </c>
      <c r="D119" s="11" t="str">
        <f>IF(ISERROR(FIND("Count",$A119)),[1]!GetFile(A119),"")</f>
        <v>Program.cs</v>
      </c>
      <c r="E119" s="15" t="str">
        <f>IF(ISERROR(FIND("Count",$A119)),UPPER(RIGHT([1]!GetExtension(A119),LEN([1]!GetExtension(A119))-1)),"")</f>
        <v>CS</v>
      </c>
      <c r="F119" s="13">
        <f>IF(ISERROR(FIND("Count",$A119)),[1]!dtmFileDateInfo(A119),"")</f>
        <v>41708.069236111114</v>
      </c>
      <c r="G119" s="14">
        <f>IF(ISERROR(FIND("Count",$A119)),[1]!lngFileSize(A119),"")</f>
        <v>110794</v>
      </c>
      <c r="H119" s="11" t="str">
        <f>IF(ISERROR(FIND("Count",$A119)),[1]!GetFolder(A119),"")</f>
        <v>C:\Users\DAVE\Documents\Visual Studio 2013\Projects\WizardWrx_Libs\_Deprecated_Libraries\ApplicationHelpers\ApplicationHelpersTestHarness\ApplicationHelpersTestHarness</v>
      </c>
      <c r="I119" s="16" t="s">
        <v>167</v>
      </c>
    </row>
    <row r="120" spans="1:9" outlineLevel="2" x14ac:dyDescent="0.25">
      <c r="A120" s="10" t="s">
        <v>117</v>
      </c>
      <c r="B120" s="11">
        <v>1839</v>
      </c>
      <c r="C120" s="12" t="s">
        <v>92</v>
      </c>
      <c r="D120" s="11" t="str">
        <f>IF(ISERROR(FIND("Count",$A120)),[1]!GetFile(A120),"")</f>
        <v>Program.cs</v>
      </c>
      <c r="E120" s="15" t="str">
        <f>IF(ISERROR(FIND("Count",$A120)),UPPER(RIGHT([1]!GetExtension(A120),LEN([1]!GetExtension(A120))-1)),"")</f>
        <v>CS</v>
      </c>
      <c r="F120" s="13">
        <f>IF(ISERROR(FIND("Count",$A120)),[1]!dtmFileDateInfo(A120),"")</f>
        <v>41708.069236111114</v>
      </c>
      <c r="G120" s="14">
        <f>IF(ISERROR(FIND("Count",$A120)),[1]!lngFileSize(A120),"")</f>
        <v>110794</v>
      </c>
      <c r="H120" s="11" t="str">
        <f>IF(ISERROR(FIND("Count",$A120)),[1]!GetFolder(A120),"")</f>
        <v>C:\Users\DAVE\Documents\Visual Studio 2013\Projects\WizardWrx_Libs\_Deprecated_Libraries\ApplicationHelpers\ApplicationHelpersTestHarness\ApplicationHelpersTestHarness</v>
      </c>
      <c r="I120" s="16" t="s">
        <v>167</v>
      </c>
    </row>
    <row r="121" spans="1:9" outlineLevel="2" x14ac:dyDescent="0.25">
      <c r="A121" s="10" t="s">
        <v>117</v>
      </c>
      <c r="B121" s="11">
        <v>1841</v>
      </c>
      <c r="C121" s="12" t="s">
        <v>93</v>
      </c>
      <c r="D121" s="11" t="str">
        <f>IF(ISERROR(FIND("Count",$A121)),[1]!GetFile(A121),"")</f>
        <v>Program.cs</v>
      </c>
      <c r="E121" s="15" t="str">
        <f>IF(ISERROR(FIND("Count",$A121)),UPPER(RIGHT([1]!GetExtension(A121),LEN([1]!GetExtension(A121))-1)),"")</f>
        <v>CS</v>
      </c>
      <c r="F121" s="13">
        <f>IF(ISERROR(FIND("Count",$A121)),[1]!dtmFileDateInfo(A121),"")</f>
        <v>41708.069236111114</v>
      </c>
      <c r="G121" s="14">
        <f>IF(ISERROR(FIND("Count",$A121)),[1]!lngFileSize(A121),"")</f>
        <v>110794</v>
      </c>
      <c r="H121" s="11" t="str">
        <f>IF(ISERROR(FIND("Count",$A121)),[1]!GetFolder(A121),"")</f>
        <v>C:\Users\DAVE\Documents\Visual Studio 2013\Projects\WizardWrx_Libs\_Deprecated_Libraries\ApplicationHelpers\ApplicationHelpersTestHarness\ApplicationHelpersTestHarness</v>
      </c>
      <c r="I121" s="16" t="s">
        <v>167</v>
      </c>
    </row>
    <row r="122" spans="1:9" outlineLevel="2" x14ac:dyDescent="0.25">
      <c r="A122" s="10" t="s">
        <v>117</v>
      </c>
      <c r="B122" s="11">
        <v>1842</v>
      </c>
      <c r="C122" s="12" t="s">
        <v>94</v>
      </c>
      <c r="D122" s="11" t="str">
        <f>IF(ISERROR(FIND("Count",$A122)),[1]!GetFile(A122),"")</f>
        <v>Program.cs</v>
      </c>
      <c r="E122" s="15" t="str">
        <f>IF(ISERROR(FIND("Count",$A122)),UPPER(RIGHT([1]!GetExtension(A122),LEN([1]!GetExtension(A122))-1)),"")</f>
        <v>CS</v>
      </c>
      <c r="F122" s="13">
        <f>IF(ISERROR(FIND("Count",$A122)),[1]!dtmFileDateInfo(A122),"")</f>
        <v>41708.069236111114</v>
      </c>
      <c r="G122" s="14">
        <f>IF(ISERROR(FIND("Count",$A122)),[1]!lngFileSize(A122),"")</f>
        <v>110794</v>
      </c>
      <c r="H122" s="11" t="str">
        <f>IF(ISERROR(FIND("Count",$A122)),[1]!GetFolder(A122),"")</f>
        <v>C:\Users\DAVE\Documents\Visual Studio 2013\Projects\WizardWrx_Libs\_Deprecated_Libraries\ApplicationHelpers\ApplicationHelpersTestHarness\ApplicationHelpersTestHarness</v>
      </c>
      <c r="I122" s="16" t="s">
        <v>167</v>
      </c>
    </row>
    <row r="123" spans="1:9" outlineLevel="2" x14ac:dyDescent="0.25">
      <c r="A123" s="10" t="s">
        <v>117</v>
      </c>
      <c r="B123" s="11">
        <v>1843</v>
      </c>
      <c r="C123" s="12" t="s">
        <v>95</v>
      </c>
      <c r="D123" s="11" t="str">
        <f>IF(ISERROR(FIND("Count",$A123)),[1]!GetFile(A123),"")</f>
        <v>Program.cs</v>
      </c>
      <c r="E123" s="15" t="str">
        <f>IF(ISERROR(FIND("Count",$A123)),UPPER(RIGHT([1]!GetExtension(A123),LEN([1]!GetExtension(A123))-1)),"")</f>
        <v>CS</v>
      </c>
      <c r="F123" s="13">
        <f>IF(ISERROR(FIND("Count",$A123)),[1]!dtmFileDateInfo(A123),"")</f>
        <v>41708.069236111114</v>
      </c>
      <c r="G123" s="14">
        <f>IF(ISERROR(FIND("Count",$A123)),[1]!lngFileSize(A123),"")</f>
        <v>110794</v>
      </c>
      <c r="H123" s="11" t="str">
        <f>IF(ISERROR(FIND("Count",$A123)),[1]!GetFolder(A123),"")</f>
        <v>C:\Users\DAVE\Documents\Visual Studio 2013\Projects\WizardWrx_Libs\_Deprecated_Libraries\ApplicationHelpers\ApplicationHelpersTestHarness\ApplicationHelpersTestHarness</v>
      </c>
      <c r="I123" s="16" t="s">
        <v>167</v>
      </c>
    </row>
    <row r="124" spans="1:9" outlineLevel="2" x14ac:dyDescent="0.25">
      <c r="A124" s="10" t="s">
        <v>117</v>
      </c>
      <c r="B124" s="11">
        <v>1858</v>
      </c>
      <c r="C124" s="12" t="s">
        <v>96</v>
      </c>
      <c r="D124" s="11" t="str">
        <f>IF(ISERROR(FIND("Count",$A124)),[1]!GetFile(A124),"")</f>
        <v>Program.cs</v>
      </c>
      <c r="E124" s="15" t="str">
        <f>IF(ISERROR(FIND("Count",$A124)),UPPER(RIGHT([1]!GetExtension(A124),LEN([1]!GetExtension(A124))-1)),"")</f>
        <v>CS</v>
      </c>
      <c r="F124" s="13">
        <f>IF(ISERROR(FIND("Count",$A124)),[1]!dtmFileDateInfo(A124),"")</f>
        <v>41708.069236111114</v>
      </c>
      <c r="G124" s="14">
        <f>IF(ISERROR(FIND("Count",$A124)),[1]!lngFileSize(A124),"")</f>
        <v>110794</v>
      </c>
      <c r="H124" s="11" t="str">
        <f>IF(ISERROR(FIND("Count",$A124)),[1]!GetFolder(A124),"")</f>
        <v>C:\Users\DAVE\Documents\Visual Studio 2013\Projects\WizardWrx_Libs\_Deprecated_Libraries\ApplicationHelpers\ApplicationHelpersTestHarness\ApplicationHelpersTestHarness</v>
      </c>
      <c r="I124" s="16" t="s">
        <v>167</v>
      </c>
    </row>
    <row r="125" spans="1:9" outlineLevel="2" x14ac:dyDescent="0.25">
      <c r="A125" s="10" t="s">
        <v>117</v>
      </c>
      <c r="B125" s="11">
        <v>1869</v>
      </c>
      <c r="C125" s="12" t="s">
        <v>118</v>
      </c>
      <c r="D125" s="11" t="str">
        <f>IF(ISERROR(FIND("Count",$A125)),[1]!GetFile(A125),"")</f>
        <v>Program.cs</v>
      </c>
      <c r="E125" s="15" t="str">
        <f>IF(ISERROR(FIND("Count",$A125)),UPPER(RIGHT([1]!GetExtension(A125),LEN([1]!GetExtension(A125))-1)),"")</f>
        <v>CS</v>
      </c>
      <c r="F125" s="13">
        <f>IF(ISERROR(FIND("Count",$A125)),[1]!dtmFileDateInfo(A125),"")</f>
        <v>41708.069236111114</v>
      </c>
      <c r="G125" s="14">
        <f>IF(ISERROR(FIND("Count",$A125)),[1]!lngFileSize(A125),"")</f>
        <v>110794</v>
      </c>
      <c r="H125" s="11" t="str">
        <f>IF(ISERROR(FIND("Count",$A125)),[1]!GetFolder(A125),"")</f>
        <v>C:\Users\DAVE\Documents\Visual Studio 2013\Projects\WizardWrx_Libs\_Deprecated_Libraries\ApplicationHelpers\ApplicationHelpersTestHarness\ApplicationHelpersTestHarness</v>
      </c>
      <c r="I125" s="16" t="s">
        <v>167</v>
      </c>
    </row>
    <row r="126" spans="1:9" outlineLevel="2" x14ac:dyDescent="0.25">
      <c r="A126" s="10" t="s">
        <v>117</v>
      </c>
      <c r="B126" s="11">
        <v>1871</v>
      </c>
      <c r="C126" s="12" t="s">
        <v>119</v>
      </c>
      <c r="D126" s="11" t="str">
        <f>IF(ISERROR(FIND("Count",$A126)),[1]!GetFile(A126),"")</f>
        <v>Program.cs</v>
      </c>
      <c r="E126" s="15" t="str">
        <f>IF(ISERROR(FIND("Count",$A126)),UPPER(RIGHT([1]!GetExtension(A126),LEN([1]!GetExtension(A126))-1)),"")</f>
        <v>CS</v>
      </c>
      <c r="F126" s="13">
        <f>IF(ISERROR(FIND("Count",$A126)),[1]!dtmFileDateInfo(A126),"")</f>
        <v>41708.069236111114</v>
      </c>
      <c r="G126" s="14">
        <f>IF(ISERROR(FIND("Count",$A126)),[1]!lngFileSize(A126),"")</f>
        <v>110794</v>
      </c>
      <c r="H126" s="11" t="str">
        <f>IF(ISERROR(FIND("Count",$A126)),[1]!GetFolder(A126),"")</f>
        <v>C:\Users\DAVE\Documents\Visual Studio 2013\Projects\WizardWrx_Libs\_Deprecated_Libraries\ApplicationHelpers\ApplicationHelpersTestHarness\ApplicationHelpersTestHarness</v>
      </c>
      <c r="I126" s="16" t="s">
        <v>167</v>
      </c>
    </row>
    <row r="127" spans="1:9" outlineLevel="2" x14ac:dyDescent="0.25">
      <c r="A127" s="10" t="s">
        <v>117</v>
      </c>
      <c r="B127" s="11">
        <v>1873</v>
      </c>
      <c r="C127" s="12" t="s">
        <v>120</v>
      </c>
      <c r="D127" s="11" t="str">
        <f>IF(ISERROR(FIND("Count",$A127)),[1]!GetFile(A127),"")</f>
        <v>Program.cs</v>
      </c>
      <c r="E127" s="15" t="str">
        <f>IF(ISERROR(FIND("Count",$A127)),UPPER(RIGHT([1]!GetExtension(A127),LEN([1]!GetExtension(A127))-1)),"")</f>
        <v>CS</v>
      </c>
      <c r="F127" s="13">
        <f>IF(ISERROR(FIND("Count",$A127)),[1]!dtmFileDateInfo(A127),"")</f>
        <v>41708.069236111114</v>
      </c>
      <c r="G127" s="14">
        <f>IF(ISERROR(FIND("Count",$A127)),[1]!lngFileSize(A127),"")</f>
        <v>110794</v>
      </c>
      <c r="H127" s="11" t="str">
        <f>IF(ISERROR(FIND("Count",$A127)),[1]!GetFolder(A127),"")</f>
        <v>C:\Users\DAVE\Documents\Visual Studio 2013\Projects\WizardWrx_Libs\_Deprecated_Libraries\ApplicationHelpers\ApplicationHelpersTestHarness\ApplicationHelpersTestHarness</v>
      </c>
      <c r="I127" s="16" t="s">
        <v>167</v>
      </c>
    </row>
    <row r="128" spans="1:9" outlineLevel="1" x14ac:dyDescent="0.25">
      <c r="A128" s="10" t="s">
        <v>158</v>
      </c>
      <c r="B128" s="11">
        <f>SUBTOTAL(3,B103:B127)</f>
        <v>25</v>
      </c>
      <c r="C128" s="12"/>
      <c r="D128" s="11" t="str">
        <f>IF(ISERROR(FIND("Count",$A128)),[1]!GetFile(A128),"")</f>
        <v/>
      </c>
      <c r="E128" s="15" t="str">
        <f>IF(ISERROR(FIND("Count",$A128)),UPPER(RIGHT([1]!GetExtension(A128),LEN([1]!GetExtension(A128))-1)),"")</f>
        <v/>
      </c>
      <c r="F128" s="13" t="str">
        <f>IF(ISERROR(FIND("Count",$A128)),[1]!dtmFileDateInfo(A128),"")</f>
        <v/>
      </c>
      <c r="G128" s="14" t="str">
        <f>IF(ISERROR(FIND("Count",$A128)),[1]!lngFileSize(A128),"")</f>
        <v/>
      </c>
      <c r="H128" s="11" t="str">
        <f>IF(ISERROR(FIND("Count",$A128)),[1]!GetFolder(A128),"")</f>
        <v/>
      </c>
      <c r="I128" s="16"/>
    </row>
    <row r="129" spans="1:9" outlineLevel="2" x14ac:dyDescent="0.25">
      <c r="A129" s="10" t="s">
        <v>121</v>
      </c>
      <c r="B129" s="11">
        <v>216</v>
      </c>
      <c r="C129" s="12" t="s">
        <v>68</v>
      </c>
      <c r="D129" s="11" t="str">
        <f>IF(ISERROR(FIND("Count",$A129)),[1]!GetFile(A129),"")</f>
        <v>DisplayFormats.cs</v>
      </c>
      <c r="E129" s="15" t="str">
        <f>IF(ISERROR(FIND("Count",$A129)),UPPER(RIGHT([1]!GetExtension(A129),LEN([1]!GetExtension(A129))-1)),"")</f>
        <v>CS</v>
      </c>
      <c r="F129" s="13">
        <f>IF(ISERROR(FIND("Count",$A129)),[1]!dtmFileDateInfo(A129),"")</f>
        <v>41899.92523148148</v>
      </c>
      <c r="G129" s="14">
        <f>IF(ISERROR(FIND("Count",$A129)),[1]!lngFileSize(A129),"")</f>
        <v>14001</v>
      </c>
      <c r="H129" s="11" t="str">
        <f>IF(ISERROR(FIND("Count",$A129)),[1]!GetFolder(A129),"")</f>
        <v>C:\Users\DAVE\Documents\Visual Studio 2013\Projects\WizardWrx_Libs\_Deprecated_Libraries\ApplicationHelpers2\ApplicationHelpers2</v>
      </c>
      <c r="I129" s="16" t="s">
        <v>167</v>
      </c>
    </row>
    <row r="130" spans="1:9" outlineLevel="2" x14ac:dyDescent="0.25">
      <c r="A130" s="10" t="s">
        <v>121</v>
      </c>
      <c r="B130" s="11">
        <v>222</v>
      </c>
      <c r="C130" s="12" t="s">
        <v>69</v>
      </c>
      <c r="D130" s="11" t="str">
        <f>IF(ISERROR(FIND("Count",$A130)),[1]!GetFile(A130),"")</f>
        <v>DisplayFormats.cs</v>
      </c>
      <c r="E130" s="15" t="str">
        <f>IF(ISERROR(FIND("Count",$A130)),UPPER(RIGHT([1]!GetExtension(A130),LEN([1]!GetExtension(A130))-1)),"")</f>
        <v>CS</v>
      </c>
      <c r="F130" s="13">
        <f>IF(ISERROR(FIND("Count",$A130)),[1]!dtmFileDateInfo(A130),"")</f>
        <v>41899.92523148148</v>
      </c>
      <c r="G130" s="14">
        <f>IF(ISERROR(FIND("Count",$A130)),[1]!lngFileSize(A130),"")</f>
        <v>14001</v>
      </c>
      <c r="H130" s="11" t="str">
        <f>IF(ISERROR(FIND("Count",$A130)),[1]!GetFolder(A130),"")</f>
        <v>C:\Users\DAVE\Documents\Visual Studio 2013\Projects\WizardWrx_Libs\_Deprecated_Libraries\ApplicationHelpers2\ApplicationHelpers2</v>
      </c>
      <c r="I130" s="16" t="s">
        <v>167</v>
      </c>
    </row>
    <row r="131" spans="1:9" outlineLevel="2" x14ac:dyDescent="0.25">
      <c r="A131" s="10" t="s">
        <v>121</v>
      </c>
      <c r="B131" s="11">
        <v>225</v>
      </c>
      <c r="C131" s="12" t="s">
        <v>70</v>
      </c>
      <c r="D131" s="11" t="str">
        <f>IF(ISERROR(FIND("Count",$A131)),[1]!GetFile(A131),"")</f>
        <v>DisplayFormats.cs</v>
      </c>
      <c r="E131" s="15" t="str">
        <f>IF(ISERROR(FIND("Count",$A131)),UPPER(RIGHT([1]!GetExtension(A131),LEN([1]!GetExtension(A131))-1)),"")</f>
        <v>CS</v>
      </c>
      <c r="F131" s="13">
        <f>IF(ISERROR(FIND("Count",$A131)),[1]!dtmFileDateInfo(A131),"")</f>
        <v>41899.92523148148</v>
      </c>
      <c r="G131" s="14">
        <f>IF(ISERROR(FIND("Count",$A131)),[1]!lngFileSize(A131),"")</f>
        <v>14001</v>
      </c>
      <c r="H131" s="11" t="str">
        <f>IF(ISERROR(FIND("Count",$A131)),[1]!GetFolder(A131),"")</f>
        <v>C:\Users\DAVE\Documents\Visual Studio 2013\Projects\WizardWrx_Libs\_Deprecated_Libraries\ApplicationHelpers2\ApplicationHelpers2</v>
      </c>
      <c r="I131" s="16" t="s">
        <v>167</v>
      </c>
    </row>
    <row r="132" spans="1:9" outlineLevel="2" x14ac:dyDescent="0.25">
      <c r="A132" s="10" t="s">
        <v>121</v>
      </c>
      <c r="B132" s="11">
        <v>229</v>
      </c>
      <c r="C132" s="12" t="s">
        <v>68</v>
      </c>
      <c r="D132" s="11" t="str">
        <f>IF(ISERROR(FIND("Count",$A132)),[1]!GetFile(A132),"")</f>
        <v>DisplayFormats.cs</v>
      </c>
      <c r="E132" s="15" t="str">
        <f>IF(ISERROR(FIND("Count",$A132)),UPPER(RIGHT([1]!GetExtension(A132),LEN([1]!GetExtension(A132))-1)),"")</f>
        <v>CS</v>
      </c>
      <c r="F132" s="13">
        <f>IF(ISERROR(FIND("Count",$A132)),[1]!dtmFileDateInfo(A132),"")</f>
        <v>41899.92523148148</v>
      </c>
      <c r="G132" s="14">
        <f>IF(ISERROR(FIND("Count",$A132)),[1]!lngFileSize(A132),"")</f>
        <v>14001</v>
      </c>
      <c r="H132" s="11" t="str">
        <f>IF(ISERROR(FIND("Count",$A132)),[1]!GetFolder(A132),"")</f>
        <v>C:\Users\DAVE\Documents\Visual Studio 2013\Projects\WizardWrx_Libs\_Deprecated_Libraries\ApplicationHelpers2\ApplicationHelpers2</v>
      </c>
      <c r="I132" s="16" t="s">
        <v>167</v>
      </c>
    </row>
    <row r="133" spans="1:9" outlineLevel="2" x14ac:dyDescent="0.25">
      <c r="A133" s="10" t="s">
        <v>121</v>
      </c>
      <c r="B133" s="11">
        <v>235</v>
      </c>
      <c r="C133" s="12" t="s">
        <v>71</v>
      </c>
      <c r="D133" s="11" t="str">
        <f>IF(ISERROR(FIND("Count",$A133)),[1]!GetFile(A133),"")</f>
        <v>DisplayFormats.cs</v>
      </c>
      <c r="E133" s="15" t="str">
        <f>IF(ISERROR(FIND("Count",$A133)),UPPER(RIGHT([1]!GetExtension(A133),LEN([1]!GetExtension(A133))-1)),"")</f>
        <v>CS</v>
      </c>
      <c r="F133" s="13">
        <f>IF(ISERROR(FIND("Count",$A133)),[1]!dtmFileDateInfo(A133),"")</f>
        <v>41899.92523148148</v>
      </c>
      <c r="G133" s="14">
        <f>IF(ISERROR(FIND("Count",$A133)),[1]!lngFileSize(A133),"")</f>
        <v>14001</v>
      </c>
      <c r="H133" s="11" t="str">
        <f>IF(ISERROR(FIND("Count",$A133)),[1]!GetFolder(A133),"")</f>
        <v>C:\Users\DAVE\Documents\Visual Studio 2013\Projects\WizardWrx_Libs\_Deprecated_Libraries\ApplicationHelpers2\ApplicationHelpers2</v>
      </c>
      <c r="I133" s="16" t="s">
        <v>167</v>
      </c>
    </row>
    <row r="134" spans="1:9" outlineLevel="2" x14ac:dyDescent="0.25">
      <c r="A134" s="10" t="s">
        <v>121</v>
      </c>
      <c r="B134" s="11">
        <v>238</v>
      </c>
      <c r="C134" s="12" t="s">
        <v>72</v>
      </c>
      <c r="D134" s="11" t="str">
        <f>IF(ISERROR(FIND("Count",$A134)),[1]!GetFile(A134),"")</f>
        <v>DisplayFormats.cs</v>
      </c>
      <c r="E134" s="15" t="str">
        <f>IF(ISERROR(FIND("Count",$A134)),UPPER(RIGHT([1]!GetExtension(A134),LEN([1]!GetExtension(A134))-1)),"")</f>
        <v>CS</v>
      </c>
      <c r="F134" s="13">
        <f>IF(ISERROR(FIND("Count",$A134)),[1]!dtmFileDateInfo(A134),"")</f>
        <v>41899.92523148148</v>
      </c>
      <c r="G134" s="14">
        <f>IF(ISERROR(FIND("Count",$A134)),[1]!lngFileSize(A134),"")</f>
        <v>14001</v>
      </c>
      <c r="H134" s="11" t="str">
        <f>IF(ISERROR(FIND("Count",$A134)),[1]!GetFolder(A134),"")</f>
        <v>C:\Users\DAVE\Documents\Visual Studio 2013\Projects\WizardWrx_Libs\_Deprecated_Libraries\ApplicationHelpers2\ApplicationHelpers2</v>
      </c>
      <c r="I134" s="16" t="s">
        <v>167</v>
      </c>
    </row>
    <row r="135" spans="1:9" outlineLevel="2" x14ac:dyDescent="0.25">
      <c r="A135" s="10" t="s">
        <v>121</v>
      </c>
      <c r="B135" s="11">
        <v>242</v>
      </c>
      <c r="C135" s="12" t="s">
        <v>68</v>
      </c>
      <c r="D135" s="11" t="str">
        <f>IF(ISERROR(FIND("Count",$A135)),[1]!GetFile(A135),"")</f>
        <v>DisplayFormats.cs</v>
      </c>
      <c r="E135" s="15" t="str">
        <f>IF(ISERROR(FIND("Count",$A135)),UPPER(RIGHT([1]!GetExtension(A135),LEN([1]!GetExtension(A135))-1)),"")</f>
        <v>CS</v>
      </c>
      <c r="F135" s="13">
        <f>IF(ISERROR(FIND("Count",$A135)),[1]!dtmFileDateInfo(A135),"")</f>
        <v>41899.92523148148</v>
      </c>
      <c r="G135" s="14">
        <f>IF(ISERROR(FIND("Count",$A135)),[1]!lngFileSize(A135),"")</f>
        <v>14001</v>
      </c>
      <c r="H135" s="11" t="str">
        <f>IF(ISERROR(FIND("Count",$A135)),[1]!GetFolder(A135),"")</f>
        <v>C:\Users\DAVE\Documents\Visual Studio 2013\Projects\WizardWrx_Libs\_Deprecated_Libraries\ApplicationHelpers2\ApplicationHelpers2</v>
      </c>
      <c r="I135" s="16" t="s">
        <v>167</v>
      </c>
    </row>
    <row r="136" spans="1:9" outlineLevel="2" x14ac:dyDescent="0.25">
      <c r="A136" s="10" t="s">
        <v>121</v>
      </c>
      <c r="B136" s="11">
        <v>248</v>
      </c>
      <c r="C136" s="12" t="s">
        <v>73</v>
      </c>
      <c r="D136" s="11" t="str">
        <f>IF(ISERROR(FIND("Count",$A136)),[1]!GetFile(A136),"")</f>
        <v>DisplayFormats.cs</v>
      </c>
      <c r="E136" s="15" t="str">
        <f>IF(ISERROR(FIND("Count",$A136)),UPPER(RIGHT([1]!GetExtension(A136),LEN([1]!GetExtension(A136))-1)),"")</f>
        <v>CS</v>
      </c>
      <c r="F136" s="13">
        <f>IF(ISERROR(FIND("Count",$A136)),[1]!dtmFileDateInfo(A136),"")</f>
        <v>41899.92523148148</v>
      </c>
      <c r="G136" s="14">
        <f>IF(ISERROR(FIND("Count",$A136)),[1]!lngFileSize(A136),"")</f>
        <v>14001</v>
      </c>
      <c r="H136" s="11" t="str">
        <f>IF(ISERROR(FIND("Count",$A136)),[1]!GetFolder(A136),"")</f>
        <v>C:\Users\DAVE\Documents\Visual Studio 2013\Projects\WizardWrx_Libs\_Deprecated_Libraries\ApplicationHelpers2\ApplicationHelpers2</v>
      </c>
      <c r="I136" s="16" t="s">
        <v>167</v>
      </c>
    </row>
    <row r="137" spans="1:9" outlineLevel="2" x14ac:dyDescent="0.25">
      <c r="A137" s="10" t="s">
        <v>121</v>
      </c>
      <c r="B137" s="11">
        <v>267</v>
      </c>
      <c r="C137" s="12" t="s">
        <v>74</v>
      </c>
      <c r="D137" s="11" t="str">
        <f>IF(ISERROR(FIND("Count",$A137)),[1]!GetFile(A137),"")</f>
        <v>DisplayFormats.cs</v>
      </c>
      <c r="E137" s="15" t="str">
        <f>IF(ISERROR(FIND("Count",$A137)),UPPER(RIGHT([1]!GetExtension(A137),LEN([1]!GetExtension(A137))-1)),"")</f>
        <v>CS</v>
      </c>
      <c r="F137" s="13">
        <f>IF(ISERROR(FIND("Count",$A137)),[1]!dtmFileDateInfo(A137),"")</f>
        <v>41899.92523148148</v>
      </c>
      <c r="G137" s="14">
        <f>IF(ISERROR(FIND("Count",$A137)),[1]!lngFileSize(A137),"")</f>
        <v>14001</v>
      </c>
      <c r="H137" s="11" t="str">
        <f>IF(ISERROR(FIND("Count",$A137)),[1]!GetFolder(A137),"")</f>
        <v>C:\Users\DAVE\Documents\Visual Studio 2013\Projects\WizardWrx_Libs\_Deprecated_Libraries\ApplicationHelpers2\ApplicationHelpers2</v>
      </c>
      <c r="I137" s="16" t="s">
        <v>167</v>
      </c>
    </row>
    <row r="138" spans="1:9" outlineLevel="2" x14ac:dyDescent="0.25">
      <c r="A138" s="10" t="s">
        <v>121</v>
      </c>
      <c r="B138" s="11">
        <v>287</v>
      </c>
      <c r="C138" s="12" t="s">
        <v>74</v>
      </c>
      <c r="D138" s="11" t="str">
        <f>IF(ISERROR(FIND("Count",$A138)),[1]!GetFile(A138),"")</f>
        <v>DisplayFormats.cs</v>
      </c>
      <c r="E138" s="15" t="str">
        <f>IF(ISERROR(FIND("Count",$A138)),UPPER(RIGHT([1]!GetExtension(A138),LEN([1]!GetExtension(A138))-1)),"")</f>
        <v>CS</v>
      </c>
      <c r="F138" s="13">
        <f>IF(ISERROR(FIND("Count",$A138)),[1]!dtmFileDateInfo(A138),"")</f>
        <v>41899.92523148148</v>
      </c>
      <c r="G138" s="14">
        <f>IF(ISERROR(FIND("Count",$A138)),[1]!lngFileSize(A138),"")</f>
        <v>14001</v>
      </c>
      <c r="H138" s="11" t="str">
        <f>IF(ISERROR(FIND("Count",$A138)),[1]!GetFolder(A138),"")</f>
        <v>C:\Users\DAVE\Documents\Visual Studio 2013\Projects\WizardWrx_Libs\_Deprecated_Libraries\ApplicationHelpers2\ApplicationHelpers2</v>
      </c>
      <c r="I138" s="16" t="s">
        <v>167</v>
      </c>
    </row>
    <row r="139" spans="1:9" outlineLevel="2" x14ac:dyDescent="0.25">
      <c r="A139" s="10" t="s">
        <v>121</v>
      </c>
      <c r="B139" s="11">
        <v>306</v>
      </c>
      <c r="C139" s="12" t="s">
        <v>122</v>
      </c>
      <c r="D139" s="11" t="str">
        <f>IF(ISERROR(FIND("Count",$A139)),[1]!GetFile(A139),"")</f>
        <v>DisplayFormats.cs</v>
      </c>
      <c r="E139" s="15" t="str">
        <f>IF(ISERROR(FIND("Count",$A139)),UPPER(RIGHT([1]!GetExtension(A139),LEN([1]!GetExtension(A139))-1)),"")</f>
        <v>CS</v>
      </c>
      <c r="F139" s="13">
        <f>IF(ISERROR(FIND("Count",$A139)),[1]!dtmFileDateInfo(A139),"")</f>
        <v>41899.92523148148</v>
      </c>
      <c r="G139" s="14">
        <f>IF(ISERROR(FIND("Count",$A139)),[1]!lngFileSize(A139),"")</f>
        <v>14001</v>
      </c>
      <c r="H139" s="11" t="str">
        <f>IF(ISERROR(FIND("Count",$A139)),[1]!GetFolder(A139),"")</f>
        <v>C:\Users\DAVE\Documents\Visual Studio 2013\Projects\WizardWrx_Libs\_Deprecated_Libraries\ApplicationHelpers2\ApplicationHelpers2</v>
      </c>
      <c r="I139" s="16" t="s">
        <v>167</v>
      </c>
    </row>
    <row r="140" spans="1:9" outlineLevel="1" x14ac:dyDescent="0.25">
      <c r="A140" s="10" t="s">
        <v>159</v>
      </c>
      <c r="B140" s="11">
        <f>SUBTOTAL(3,B129:B139)</f>
        <v>11</v>
      </c>
      <c r="C140" s="12"/>
      <c r="D140" s="11" t="str">
        <f>IF(ISERROR(FIND("Count",$A140)),[1]!GetFile(A140),"")</f>
        <v/>
      </c>
      <c r="E140" s="15" t="str">
        <f>IF(ISERROR(FIND("Count",$A140)),UPPER(RIGHT([1]!GetExtension(A140),LEN([1]!GetExtension(A140))-1)),"")</f>
        <v/>
      </c>
      <c r="F140" s="13" t="str">
        <f>IF(ISERROR(FIND("Count",$A140)),[1]!dtmFileDateInfo(A140),"")</f>
        <v/>
      </c>
      <c r="G140" s="14" t="str">
        <f>IF(ISERROR(FIND("Count",$A140)),[1]!lngFileSize(A140),"")</f>
        <v/>
      </c>
      <c r="H140" s="11" t="str">
        <f>IF(ISERROR(FIND("Count",$A140)),[1]!GetFolder(A140),"")</f>
        <v/>
      </c>
      <c r="I140" s="16"/>
    </row>
    <row r="141" spans="1:9" outlineLevel="2" x14ac:dyDescent="0.25">
      <c r="A141" s="10" t="s">
        <v>123</v>
      </c>
      <c r="B141" s="11">
        <v>6</v>
      </c>
      <c r="C141" s="12" t="s">
        <v>54</v>
      </c>
      <c r="D141" s="11" t="str">
        <f>IF(ISERROR(FIND("Count",$A141)),[1]!GetFile(A141),"")</f>
        <v>SysDateFormatters.cs</v>
      </c>
      <c r="E141" s="15" t="str">
        <f>IF(ISERROR(FIND("Count",$A141)),UPPER(RIGHT([1]!GetExtension(A141),LEN([1]!GetExtension(A141))-1)),"")</f>
        <v>CS</v>
      </c>
      <c r="F141" s="13">
        <f>IF(ISERROR(FIND("Count",$A141)),[1]!dtmFileDateInfo(A141),"")</f>
        <v>41813.502847222226</v>
      </c>
      <c r="G141" s="14">
        <f>IF(ISERROR(FIND("Count",$A141)),[1]!lngFileSize(A141),"")</f>
        <v>32094</v>
      </c>
      <c r="H141" s="11" t="str">
        <f>IF(ISERROR(FIND("Count",$A141)),[1]!GetFolder(A141),"")</f>
        <v>C:\Users\DAVE\Documents\Visual Studio 2013\Projects\WizardWrx_Libs\_Deprecated_Libraries\ApplicationHelpers2\ApplicationHelpers2</v>
      </c>
      <c r="I141" s="16" t="s">
        <v>167</v>
      </c>
    </row>
    <row r="142" spans="1:9" outlineLevel="2" x14ac:dyDescent="0.25">
      <c r="A142" s="10" t="s">
        <v>123</v>
      </c>
      <c r="B142" s="11">
        <v>100</v>
      </c>
      <c r="C142" s="12" t="s">
        <v>57</v>
      </c>
      <c r="D142" s="11" t="str">
        <f>IF(ISERROR(FIND("Count",$A142)),[1]!GetFile(A142),"")</f>
        <v>SysDateFormatters.cs</v>
      </c>
      <c r="E142" s="15" t="str">
        <f>IF(ISERROR(FIND("Count",$A142)),UPPER(RIGHT([1]!GetExtension(A142),LEN([1]!GetExtension(A142))-1)),"")</f>
        <v>CS</v>
      </c>
      <c r="F142" s="13">
        <f>IF(ISERROR(FIND("Count",$A142)),[1]!dtmFileDateInfo(A142),"")</f>
        <v>41813.502847222226</v>
      </c>
      <c r="G142" s="14">
        <f>IF(ISERROR(FIND("Count",$A142)),[1]!lngFileSize(A142),"")</f>
        <v>32094</v>
      </c>
      <c r="H142" s="11" t="str">
        <f>IF(ISERROR(FIND("Count",$A142)),[1]!GetFolder(A142),"")</f>
        <v>C:\Users\DAVE\Documents\Visual Studio 2013\Projects\WizardWrx_Libs\_Deprecated_Libraries\ApplicationHelpers2\ApplicationHelpers2</v>
      </c>
      <c r="I142" s="16" t="s">
        <v>167</v>
      </c>
    </row>
    <row r="143" spans="1:9" outlineLevel="2" x14ac:dyDescent="0.25">
      <c r="A143" s="10" t="s">
        <v>123</v>
      </c>
      <c r="B143" s="11">
        <v>471</v>
      </c>
      <c r="C143" s="12" t="s">
        <v>115</v>
      </c>
      <c r="D143" s="11" t="str">
        <f>IF(ISERROR(FIND("Count",$A143)),[1]!GetFile(A143),"")</f>
        <v>SysDateFormatters.cs</v>
      </c>
      <c r="E143" s="15" t="str">
        <f>IF(ISERROR(FIND("Count",$A143)),UPPER(RIGHT([1]!GetExtension(A143),LEN([1]!GetExtension(A143))-1)),"")</f>
        <v>CS</v>
      </c>
      <c r="F143" s="13">
        <f>IF(ISERROR(FIND("Count",$A143)),[1]!dtmFileDateInfo(A143),"")</f>
        <v>41813.502847222226</v>
      </c>
      <c r="G143" s="14">
        <f>IF(ISERROR(FIND("Count",$A143)),[1]!lngFileSize(A143),"")</f>
        <v>32094</v>
      </c>
      <c r="H143" s="11" t="str">
        <f>IF(ISERROR(FIND("Count",$A143)),[1]!GetFolder(A143),"")</f>
        <v>C:\Users\DAVE\Documents\Visual Studio 2013\Projects\WizardWrx_Libs\_Deprecated_Libraries\ApplicationHelpers2\ApplicationHelpers2</v>
      </c>
      <c r="I143" s="16" t="s">
        <v>167</v>
      </c>
    </row>
    <row r="144" spans="1:9" outlineLevel="2" x14ac:dyDescent="0.25">
      <c r="A144" s="10" t="s">
        <v>123</v>
      </c>
      <c r="B144" s="11">
        <v>478</v>
      </c>
      <c r="C144" s="12" t="s">
        <v>59</v>
      </c>
      <c r="D144" s="11" t="str">
        <f>IF(ISERROR(FIND("Count",$A144)),[1]!GetFile(A144),"")</f>
        <v>SysDateFormatters.cs</v>
      </c>
      <c r="E144" s="15" t="str">
        <f>IF(ISERROR(FIND("Count",$A144)),UPPER(RIGHT([1]!GetExtension(A144),LEN([1]!GetExtension(A144))-1)),"")</f>
        <v>CS</v>
      </c>
      <c r="F144" s="13">
        <f>IF(ISERROR(FIND("Count",$A144)),[1]!dtmFileDateInfo(A144),"")</f>
        <v>41813.502847222226</v>
      </c>
      <c r="G144" s="14">
        <f>IF(ISERROR(FIND("Count",$A144)),[1]!lngFileSize(A144),"")</f>
        <v>32094</v>
      </c>
      <c r="H144" s="11" t="str">
        <f>IF(ISERROR(FIND("Count",$A144)),[1]!GetFolder(A144),"")</f>
        <v>C:\Users\DAVE\Documents\Visual Studio 2013\Projects\WizardWrx_Libs\_Deprecated_Libraries\ApplicationHelpers2\ApplicationHelpers2</v>
      </c>
      <c r="I144" s="16" t="s">
        <v>167</v>
      </c>
    </row>
    <row r="145" spans="1:9" outlineLevel="2" x14ac:dyDescent="0.25">
      <c r="A145" s="10" t="s">
        <v>123</v>
      </c>
      <c r="B145" s="11">
        <v>564</v>
      </c>
      <c r="C145" s="12" t="s">
        <v>60</v>
      </c>
      <c r="D145" s="11" t="str">
        <f>IF(ISERROR(FIND("Count",$A145)),[1]!GetFile(A145),"")</f>
        <v>SysDateFormatters.cs</v>
      </c>
      <c r="E145" s="15" t="str">
        <f>IF(ISERROR(FIND("Count",$A145)),UPPER(RIGHT([1]!GetExtension(A145),LEN([1]!GetExtension(A145))-1)),"")</f>
        <v>CS</v>
      </c>
      <c r="F145" s="13">
        <f>IF(ISERROR(FIND("Count",$A145)),[1]!dtmFileDateInfo(A145),"")</f>
        <v>41813.502847222226</v>
      </c>
      <c r="G145" s="14">
        <f>IF(ISERROR(FIND("Count",$A145)),[1]!lngFileSize(A145),"")</f>
        <v>32094</v>
      </c>
      <c r="H145" s="11" t="str">
        <f>IF(ISERROR(FIND("Count",$A145)),[1]!GetFolder(A145),"")</f>
        <v>C:\Users\DAVE\Documents\Visual Studio 2013\Projects\WizardWrx_Libs\_Deprecated_Libraries\ApplicationHelpers2\ApplicationHelpers2</v>
      </c>
      <c r="I145" s="16" t="s">
        <v>167</v>
      </c>
    </row>
    <row r="146" spans="1:9" outlineLevel="2" x14ac:dyDescent="0.25">
      <c r="A146" s="10" t="s">
        <v>123</v>
      </c>
      <c r="B146" s="11">
        <v>692</v>
      </c>
      <c r="C146" s="12" t="s">
        <v>124</v>
      </c>
      <c r="D146" s="11" t="str">
        <f>IF(ISERROR(FIND("Count",$A146)),[1]!GetFile(A146),"")</f>
        <v>SysDateFormatters.cs</v>
      </c>
      <c r="E146" s="15" t="str">
        <f>IF(ISERROR(FIND("Count",$A146)),UPPER(RIGHT([1]!GetExtension(A146),LEN([1]!GetExtension(A146))-1)),"")</f>
        <v>CS</v>
      </c>
      <c r="F146" s="13">
        <f>IF(ISERROR(FIND("Count",$A146)),[1]!dtmFileDateInfo(A146),"")</f>
        <v>41813.502847222226</v>
      </c>
      <c r="G146" s="14">
        <f>IF(ISERROR(FIND("Count",$A146)),[1]!lngFileSize(A146),"")</f>
        <v>32094</v>
      </c>
      <c r="H146" s="11" t="str">
        <f>IF(ISERROR(FIND("Count",$A146)),[1]!GetFolder(A146),"")</f>
        <v>C:\Users\DAVE\Documents\Visual Studio 2013\Projects\WizardWrx_Libs\_Deprecated_Libraries\ApplicationHelpers2\ApplicationHelpers2</v>
      </c>
      <c r="I146" s="16" t="s">
        <v>167</v>
      </c>
    </row>
    <row r="147" spans="1:9" outlineLevel="1" x14ac:dyDescent="0.25">
      <c r="A147" s="10" t="s">
        <v>160</v>
      </c>
      <c r="B147" s="11">
        <f>SUBTOTAL(3,B141:B146)</f>
        <v>6</v>
      </c>
      <c r="C147" s="12"/>
      <c r="D147" s="11" t="str">
        <f>IF(ISERROR(FIND("Count",$A147)),[1]!GetFile(A147),"")</f>
        <v/>
      </c>
      <c r="E147" s="15" t="str">
        <f>IF(ISERROR(FIND("Count",$A147)),UPPER(RIGHT([1]!GetExtension(A147),LEN([1]!GetExtension(A147))-1)),"")</f>
        <v/>
      </c>
      <c r="F147" s="13" t="str">
        <f>IF(ISERROR(FIND("Count",$A147)),[1]!dtmFileDateInfo(A147),"")</f>
        <v/>
      </c>
      <c r="G147" s="14" t="str">
        <f>IF(ISERROR(FIND("Count",$A147)),[1]!lngFileSize(A147),"")</f>
        <v/>
      </c>
      <c r="H147" s="11" t="str">
        <f>IF(ISERROR(FIND("Count",$A147)),[1]!GetFolder(A147),"")</f>
        <v/>
      </c>
      <c r="I147" s="16"/>
    </row>
    <row r="148" spans="1:9" outlineLevel="2" x14ac:dyDescent="0.25">
      <c r="A148" s="10" t="s">
        <v>125</v>
      </c>
      <c r="B148" s="11">
        <v>137</v>
      </c>
      <c r="C148" s="12" t="s">
        <v>64</v>
      </c>
      <c r="D148" s="11" t="str">
        <f>IF(ISERROR(FIND("Count",$A148)),[1]!GetFile(A148),"")</f>
        <v>NewClassTests_20140914.cs</v>
      </c>
      <c r="E148" s="15" t="str">
        <f>IF(ISERROR(FIND("Count",$A148)),UPPER(RIGHT([1]!GetExtension(A148),LEN([1]!GetExtension(A148))-1)),"")</f>
        <v>CS</v>
      </c>
      <c r="F148" s="13">
        <f>IF(ISERROR(FIND("Count",$A148)),[1]!dtmFileDateInfo(A148),"")</f>
        <v>41908.083703703705</v>
      </c>
      <c r="G148" s="14">
        <f>IF(ISERROR(FIND("Count",$A148)),[1]!lngFileSize(A148),"")</f>
        <v>37955</v>
      </c>
      <c r="H148" s="11" t="str">
        <f>IF(ISERROR(FIND("Count",$A148)),[1]!GetFolder(A148),"")</f>
        <v>C:\Users\DAVE\Documents\Visual Studio 2013\Projects\WizardWrx_Libs\_Deprecated_Libraries\ApplicationHelpers2\ApplicationHelpers2TestHarness\ApplicationHelpers2TestHarness</v>
      </c>
      <c r="I148" s="16" t="s">
        <v>167</v>
      </c>
    </row>
    <row r="149" spans="1:9" outlineLevel="2" x14ac:dyDescent="0.25">
      <c r="A149" s="10" t="s">
        <v>125</v>
      </c>
      <c r="B149" s="11">
        <v>138</v>
      </c>
      <c r="C149" s="12" t="s">
        <v>126</v>
      </c>
      <c r="D149" s="11" t="str">
        <f>IF(ISERROR(FIND("Count",$A149)),[1]!GetFile(A149),"")</f>
        <v>NewClassTests_20140914.cs</v>
      </c>
      <c r="E149" s="15" t="str">
        <f>IF(ISERROR(FIND("Count",$A149)),UPPER(RIGHT([1]!GetExtension(A149),LEN([1]!GetExtension(A149))-1)),"")</f>
        <v>CS</v>
      </c>
      <c r="F149" s="13">
        <f>IF(ISERROR(FIND("Count",$A149)),[1]!dtmFileDateInfo(A149),"")</f>
        <v>41908.083703703705</v>
      </c>
      <c r="G149" s="14">
        <f>IF(ISERROR(FIND("Count",$A149)),[1]!lngFileSize(A149),"")</f>
        <v>37955</v>
      </c>
      <c r="H149" s="11" t="str">
        <f>IF(ISERROR(FIND("Count",$A149)),[1]!GetFolder(A149),"")</f>
        <v>C:\Users\DAVE\Documents\Visual Studio 2013\Projects\WizardWrx_Libs\_Deprecated_Libraries\ApplicationHelpers2\ApplicationHelpers2TestHarness\ApplicationHelpers2TestHarness</v>
      </c>
      <c r="I149" s="16" t="s">
        <v>167</v>
      </c>
    </row>
    <row r="150" spans="1:9" outlineLevel="1" x14ac:dyDescent="0.25">
      <c r="A150" s="10" t="s">
        <v>161</v>
      </c>
      <c r="B150" s="11">
        <f>SUBTOTAL(3,B148:B149)</f>
        <v>2</v>
      </c>
      <c r="C150" s="12"/>
      <c r="D150" s="11" t="str">
        <f>IF(ISERROR(FIND("Count",$A150)),[1]!GetFile(A150),"")</f>
        <v/>
      </c>
      <c r="E150" s="15" t="str">
        <f>IF(ISERROR(FIND("Count",$A150)),UPPER(RIGHT([1]!GetExtension(A150),LEN([1]!GetExtension(A150))-1)),"")</f>
        <v/>
      </c>
      <c r="F150" s="13" t="str">
        <f>IF(ISERROR(FIND("Count",$A150)),[1]!dtmFileDateInfo(A150),"")</f>
        <v/>
      </c>
      <c r="G150" s="14" t="str">
        <f>IF(ISERROR(FIND("Count",$A150)),[1]!lngFileSize(A150),"")</f>
        <v/>
      </c>
      <c r="H150" s="11" t="str">
        <f>IF(ISERROR(FIND("Count",$A150)),[1]!GetFolder(A150),"")</f>
        <v/>
      </c>
      <c r="I150" s="16"/>
    </row>
    <row r="151" spans="1:9" outlineLevel="2" x14ac:dyDescent="0.25">
      <c r="A151" s="10" t="s">
        <v>127</v>
      </c>
      <c r="B151" s="11">
        <v>929</v>
      </c>
      <c r="C151" s="12" t="s">
        <v>77</v>
      </c>
      <c r="D151" s="11" t="str">
        <f>IF(ISERROR(FIND("Count",$A151)),[1]!GetFile(A151),"")</f>
        <v>Program.cs</v>
      </c>
      <c r="E151" s="15" t="str">
        <f>IF(ISERROR(FIND("Count",$A151)),UPPER(RIGHT([1]!GetExtension(A151),LEN([1]!GetExtension(A151))-1)),"")</f>
        <v>CS</v>
      </c>
      <c r="F151" s="13">
        <f>IF(ISERROR(FIND("Count",$A151)),[1]!dtmFileDateInfo(A151),"")</f>
        <v>41904.603055555555</v>
      </c>
      <c r="G151" s="14">
        <f>IF(ISERROR(FIND("Count",$A151)),[1]!lngFileSize(A151),"")</f>
        <v>130536</v>
      </c>
      <c r="H151" s="11" t="str">
        <f>IF(ISERROR(FIND("Count",$A151)),[1]!GetFolder(A151),"")</f>
        <v>C:\Users\DAVE\Documents\Visual Studio 2013\Projects\WizardWrx_Libs\_Deprecated_Libraries\ApplicationHelpers2\ApplicationHelpers2TestHarness\ApplicationHelpers2TestHarness</v>
      </c>
      <c r="I151" s="16" t="s">
        <v>167</v>
      </c>
    </row>
    <row r="152" spans="1:9" outlineLevel="2" x14ac:dyDescent="0.25">
      <c r="A152" s="10" t="s">
        <v>127</v>
      </c>
      <c r="B152" s="11">
        <v>944</v>
      </c>
      <c r="C152" s="12" t="s">
        <v>78</v>
      </c>
      <c r="D152" s="11" t="str">
        <f>IF(ISERROR(FIND("Count",$A152)),[1]!GetFile(A152),"")</f>
        <v>Program.cs</v>
      </c>
      <c r="E152" s="15" t="str">
        <f>IF(ISERROR(FIND("Count",$A152)),UPPER(RIGHT([1]!GetExtension(A152),LEN([1]!GetExtension(A152))-1)),"")</f>
        <v>CS</v>
      </c>
      <c r="F152" s="13">
        <f>IF(ISERROR(FIND("Count",$A152)),[1]!dtmFileDateInfo(A152),"")</f>
        <v>41904.603055555555</v>
      </c>
      <c r="G152" s="14">
        <f>IF(ISERROR(FIND("Count",$A152)),[1]!lngFileSize(A152),"")</f>
        <v>130536</v>
      </c>
      <c r="H152" s="11" t="str">
        <f>IF(ISERROR(FIND("Count",$A152)),[1]!GetFolder(A152),"")</f>
        <v>C:\Users\DAVE\Documents\Visual Studio 2013\Projects\WizardWrx_Libs\_Deprecated_Libraries\ApplicationHelpers2\ApplicationHelpers2TestHarness\ApplicationHelpers2TestHarness</v>
      </c>
      <c r="I152" s="16" t="s">
        <v>167</v>
      </c>
    </row>
    <row r="153" spans="1:9" outlineLevel="2" x14ac:dyDescent="0.25">
      <c r="A153" s="10" t="s">
        <v>127</v>
      </c>
      <c r="B153" s="11">
        <v>947</v>
      </c>
      <c r="C153" s="12" t="s">
        <v>79</v>
      </c>
      <c r="D153" s="11" t="str">
        <f>IF(ISERROR(FIND("Count",$A153)),[1]!GetFile(A153),"")</f>
        <v>Program.cs</v>
      </c>
      <c r="E153" s="15" t="str">
        <f>IF(ISERROR(FIND("Count",$A153)),UPPER(RIGHT([1]!GetExtension(A153),LEN([1]!GetExtension(A153))-1)),"")</f>
        <v>CS</v>
      </c>
      <c r="F153" s="13">
        <f>IF(ISERROR(FIND("Count",$A153)),[1]!dtmFileDateInfo(A153),"")</f>
        <v>41904.603055555555</v>
      </c>
      <c r="G153" s="14">
        <f>IF(ISERROR(FIND("Count",$A153)),[1]!lngFileSize(A153),"")</f>
        <v>130536</v>
      </c>
      <c r="H153" s="11" t="str">
        <f>IF(ISERROR(FIND("Count",$A153)),[1]!GetFolder(A153),"")</f>
        <v>C:\Users\DAVE\Documents\Visual Studio 2013\Projects\WizardWrx_Libs\_Deprecated_Libraries\ApplicationHelpers2\ApplicationHelpers2TestHarness\ApplicationHelpers2TestHarness</v>
      </c>
      <c r="I153" s="16" t="s">
        <v>167</v>
      </c>
    </row>
    <row r="154" spans="1:9" outlineLevel="2" x14ac:dyDescent="0.25">
      <c r="A154" s="10" t="s">
        <v>127</v>
      </c>
      <c r="B154" s="11">
        <v>950</v>
      </c>
      <c r="C154" s="12" t="s">
        <v>79</v>
      </c>
      <c r="D154" s="11" t="str">
        <f>IF(ISERROR(FIND("Count",$A154)),[1]!GetFile(A154),"")</f>
        <v>Program.cs</v>
      </c>
      <c r="E154" s="15" t="str">
        <f>IF(ISERROR(FIND("Count",$A154)),UPPER(RIGHT([1]!GetExtension(A154),LEN([1]!GetExtension(A154))-1)),"")</f>
        <v>CS</v>
      </c>
      <c r="F154" s="13">
        <f>IF(ISERROR(FIND("Count",$A154)),[1]!dtmFileDateInfo(A154),"")</f>
        <v>41904.603055555555</v>
      </c>
      <c r="G154" s="14">
        <f>IF(ISERROR(FIND("Count",$A154)),[1]!lngFileSize(A154),"")</f>
        <v>130536</v>
      </c>
      <c r="H154" s="11" t="str">
        <f>IF(ISERROR(FIND("Count",$A154)),[1]!GetFolder(A154),"")</f>
        <v>C:\Users\DAVE\Documents\Visual Studio 2013\Projects\WizardWrx_Libs\_Deprecated_Libraries\ApplicationHelpers2\ApplicationHelpers2TestHarness\ApplicationHelpers2TestHarness</v>
      </c>
      <c r="I154" s="16" t="s">
        <v>167</v>
      </c>
    </row>
    <row r="155" spans="1:9" outlineLevel="2" x14ac:dyDescent="0.25">
      <c r="A155" s="10" t="s">
        <v>127</v>
      </c>
      <c r="B155" s="11">
        <v>953</v>
      </c>
      <c r="C155" s="12" t="s">
        <v>79</v>
      </c>
      <c r="D155" s="11" t="str">
        <f>IF(ISERROR(FIND("Count",$A155)),[1]!GetFile(A155),"")</f>
        <v>Program.cs</v>
      </c>
      <c r="E155" s="15" t="str">
        <f>IF(ISERROR(FIND("Count",$A155)),UPPER(RIGHT([1]!GetExtension(A155),LEN([1]!GetExtension(A155))-1)),"")</f>
        <v>CS</v>
      </c>
      <c r="F155" s="13">
        <f>IF(ISERROR(FIND("Count",$A155)),[1]!dtmFileDateInfo(A155),"")</f>
        <v>41904.603055555555</v>
      </c>
      <c r="G155" s="14">
        <f>IF(ISERROR(FIND("Count",$A155)),[1]!lngFileSize(A155),"")</f>
        <v>130536</v>
      </c>
      <c r="H155" s="11" t="str">
        <f>IF(ISERROR(FIND("Count",$A155)),[1]!GetFolder(A155),"")</f>
        <v>C:\Users\DAVE\Documents\Visual Studio 2013\Projects\WizardWrx_Libs\_Deprecated_Libraries\ApplicationHelpers2\ApplicationHelpers2TestHarness\ApplicationHelpers2TestHarness</v>
      </c>
      <c r="I155" s="16" t="s">
        <v>167</v>
      </c>
    </row>
    <row r="156" spans="1:9" outlineLevel="2" x14ac:dyDescent="0.25">
      <c r="A156" s="10" t="s">
        <v>127</v>
      </c>
      <c r="B156" s="11">
        <v>2141</v>
      </c>
      <c r="C156" s="12" t="s">
        <v>80</v>
      </c>
      <c r="D156" s="11" t="str">
        <f>IF(ISERROR(FIND("Count",$A156)),[1]!GetFile(A156),"")</f>
        <v>Program.cs</v>
      </c>
      <c r="E156" s="15" t="str">
        <f>IF(ISERROR(FIND("Count",$A156)),UPPER(RIGHT([1]!GetExtension(A156),LEN([1]!GetExtension(A156))-1)),"")</f>
        <v>CS</v>
      </c>
      <c r="F156" s="13">
        <f>IF(ISERROR(FIND("Count",$A156)),[1]!dtmFileDateInfo(A156),"")</f>
        <v>41904.603055555555</v>
      </c>
      <c r="G156" s="14">
        <f>IF(ISERROR(FIND("Count",$A156)),[1]!lngFileSize(A156),"")</f>
        <v>130536</v>
      </c>
      <c r="H156" s="11" t="str">
        <f>IF(ISERROR(FIND("Count",$A156)),[1]!GetFolder(A156),"")</f>
        <v>C:\Users\DAVE\Documents\Visual Studio 2013\Projects\WizardWrx_Libs\_Deprecated_Libraries\ApplicationHelpers2\ApplicationHelpers2TestHarness\ApplicationHelpers2TestHarness</v>
      </c>
      <c r="I156" s="16" t="s">
        <v>167</v>
      </c>
    </row>
    <row r="157" spans="1:9" outlineLevel="2" x14ac:dyDescent="0.25">
      <c r="A157" s="10" t="s">
        <v>127</v>
      </c>
      <c r="B157" s="11">
        <v>2165</v>
      </c>
      <c r="C157" s="12" t="s">
        <v>81</v>
      </c>
      <c r="D157" s="11" t="str">
        <f>IF(ISERROR(FIND("Count",$A157)),[1]!GetFile(A157),"")</f>
        <v>Program.cs</v>
      </c>
      <c r="E157" s="15" t="str">
        <f>IF(ISERROR(FIND("Count",$A157)),UPPER(RIGHT([1]!GetExtension(A157),LEN([1]!GetExtension(A157))-1)),"")</f>
        <v>CS</v>
      </c>
      <c r="F157" s="13">
        <f>IF(ISERROR(FIND("Count",$A157)),[1]!dtmFileDateInfo(A157),"")</f>
        <v>41904.603055555555</v>
      </c>
      <c r="G157" s="14">
        <f>IF(ISERROR(FIND("Count",$A157)),[1]!lngFileSize(A157),"")</f>
        <v>130536</v>
      </c>
      <c r="H157" s="11" t="str">
        <f>IF(ISERROR(FIND("Count",$A157)),[1]!GetFolder(A157),"")</f>
        <v>C:\Users\DAVE\Documents\Visual Studio 2013\Projects\WizardWrx_Libs\_Deprecated_Libraries\ApplicationHelpers2\ApplicationHelpers2TestHarness\ApplicationHelpers2TestHarness</v>
      </c>
      <c r="I157" s="16" t="s">
        <v>167</v>
      </c>
    </row>
    <row r="158" spans="1:9" outlineLevel="2" x14ac:dyDescent="0.25">
      <c r="A158" s="10" t="s">
        <v>127</v>
      </c>
      <c r="B158" s="11">
        <v>2167</v>
      </c>
      <c r="C158" s="12" t="s">
        <v>82</v>
      </c>
      <c r="D158" s="11" t="str">
        <f>IF(ISERROR(FIND("Count",$A158)),[1]!GetFile(A158),"")</f>
        <v>Program.cs</v>
      </c>
      <c r="E158" s="15" t="str">
        <f>IF(ISERROR(FIND("Count",$A158)),UPPER(RIGHT([1]!GetExtension(A158),LEN([1]!GetExtension(A158))-1)),"")</f>
        <v>CS</v>
      </c>
      <c r="F158" s="13">
        <f>IF(ISERROR(FIND("Count",$A158)),[1]!dtmFileDateInfo(A158),"")</f>
        <v>41904.603055555555</v>
      </c>
      <c r="G158" s="14">
        <f>IF(ISERROR(FIND("Count",$A158)),[1]!lngFileSize(A158),"")</f>
        <v>130536</v>
      </c>
      <c r="H158" s="11" t="str">
        <f>IF(ISERROR(FIND("Count",$A158)),[1]!GetFolder(A158),"")</f>
        <v>C:\Users\DAVE\Documents\Visual Studio 2013\Projects\WizardWrx_Libs\_Deprecated_Libraries\ApplicationHelpers2\ApplicationHelpers2TestHarness\ApplicationHelpers2TestHarness</v>
      </c>
      <c r="I158" s="16" t="s">
        <v>167</v>
      </c>
    </row>
    <row r="159" spans="1:9" outlineLevel="2" x14ac:dyDescent="0.25">
      <c r="A159" s="10" t="s">
        <v>127</v>
      </c>
      <c r="B159" s="11">
        <v>2168</v>
      </c>
      <c r="C159" s="12" t="s">
        <v>83</v>
      </c>
      <c r="D159" s="11" t="str">
        <f>IF(ISERROR(FIND("Count",$A159)),[1]!GetFile(A159),"")</f>
        <v>Program.cs</v>
      </c>
      <c r="E159" s="15" t="str">
        <f>IF(ISERROR(FIND("Count",$A159)),UPPER(RIGHT([1]!GetExtension(A159),LEN([1]!GetExtension(A159))-1)),"")</f>
        <v>CS</v>
      </c>
      <c r="F159" s="13">
        <f>IF(ISERROR(FIND("Count",$A159)),[1]!dtmFileDateInfo(A159),"")</f>
        <v>41904.603055555555</v>
      </c>
      <c r="G159" s="14">
        <f>IF(ISERROR(FIND("Count",$A159)),[1]!lngFileSize(A159),"")</f>
        <v>130536</v>
      </c>
      <c r="H159" s="11" t="str">
        <f>IF(ISERROR(FIND("Count",$A159)),[1]!GetFolder(A159),"")</f>
        <v>C:\Users\DAVE\Documents\Visual Studio 2013\Projects\WizardWrx_Libs\_Deprecated_Libraries\ApplicationHelpers2\ApplicationHelpers2TestHarness\ApplicationHelpers2TestHarness</v>
      </c>
      <c r="I159" s="16" t="s">
        <v>167</v>
      </c>
    </row>
    <row r="160" spans="1:9" outlineLevel="2" x14ac:dyDescent="0.25">
      <c r="A160" s="10" t="s">
        <v>127</v>
      </c>
      <c r="B160" s="11">
        <v>2169</v>
      </c>
      <c r="C160" s="12" t="s">
        <v>84</v>
      </c>
      <c r="D160" s="11" t="str">
        <f>IF(ISERROR(FIND("Count",$A160)),[1]!GetFile(A160),"")</f>
        <v>Program.cs</v>
      </c>
      <c r="E160" s="15" t="str">
        <f>IF(ISERROR(FIND("Count",$A160)),UPPER(RIGHT([1]!GetExtension(A160),LEN([1]!GetExtension(A160))-1)),"")</f>
        <v>CS</v>
      </c>
      <c r="F160" s="13">
        <f>IF(ISERROR(FIND("Count",$A160)),[1]!dtmFileDateInfo(A160),"")</f>
        <v>41904.603055555555</v>
      </c>
      <c r="G160" s="14">
        <f>IF(ISERROR(FIND("Count",$A160)),[1]!lngFileSize(A160),"")</f>
        <v>130536</v>
      </c>
      <c r="H160" s="11" t="str">
        <f>IF(ISERROR(FIND("Count",$A160)),[1]!GetFolder(A160),"")</f>
        <v>C:\Users\DAVE\Documents\Visual Studio 2013\Projects\WizardWrx_Libs\_Deprecated_Libraries\ApplicationHelpers2\ApplicationHelpers2TestHarness\ApplicationHelpers2TestHarness</v>
      </c>
      <c r="I160" s="16" t="s">
        <v>167</v>
      </c>
    </row>
    <row r="161" spans="1:9" outlineLevel="2" x14ac:dyDescent="0.25">
      <c r="A161" s="10" t="s">
        <v>127</v>
      </c>
      <c r="B161" s="11">
        <v>2171</v>
      </c>
      <c r="C161" s="12" t="s">
        <v>85</v>
      </c>
      <c r="D161" s="11" t="str">
        <f>IF(ISERROR(FIND("Count",$A161)),[1]!GetFile(A161),"")</f>
        <v>Program.cs</v>
      </c>
      <c r="E161" s="15" t="str">
        <f>IF(ISERROR(FIND("Count",$A161)),UPPER(RIGHT([1]!GetExtension(A161),LEN([1]!GetExtension(A161))-1)),"")</f>
        <v>CS</v>
      </c>
      <c r="F161" s="13">
        <f>IF(ISERROR(FIND("Count",$A161)),[1]!dtmFileDateInfo(A161),"")</f>
        <v>41904.603055555555</v>
      </c>
      <c r="G161" s="14">
        <f>IF(ISERROR(FIND("Count",$A161)),[1]!lngFileSize(A161),"")</f>
        <v>130536</v>
      </c>
      <c r="H161" s="11" t="str">
        <f>IF(ISERROR(FIND("Count",$A161)),[1]!GetFolder(A161),"")</f>
        <v>C:\Users\DAVE\Documents\Visual Studio 2013\Projects\WizardWrx_Libs\_Deprecated_Libraries\ApplicationHelpers2\ApplicationHelpers2TestHarness\ApplicationHelpers2TestHarness</v>
      </c>
      <c r="I161" s="16" t="s">
        <v>167</v>
      </c>
    </row>
    <row r="162" spans="1:9" outlineLevel="2" x14ac:dyDescent="0.25">
      <c r="A162" s="10" t="s">
        <v>127</v>
      </c>
      <c r="B162" s="11">
        <v>2172</v>
      </c>
      <c r="C162" s="12" t="s">
        <v>86</v>
      </c>
      <c r="D162" s="11" t="str">
        <f>IF(ISERROR(FIND("Count",$A162)),[1]!GetFile(A162),"")</f>
        <v>Program.cs</v>
      </c>
      <c r="E162" s="15" t="str">
        <f>IF(ISERROR(FIND("Count",$A162)),UPPER(RIGHT([1]!GetExtension(A162),LEN([1]!GetExtension(A162))-1)),"")</f>
        <v>CS</v>
      </c>
      <c r="F162" s="13">
        <f>IF(ISERROR(FIND("Count",$A162)),[1]!dtmFileDateInfo(A162),"")</f>
        <v>41904.603055555555</v>
      </c>
      <c r="G162" s="14">
        <f>IF(ISERROR(FIND("Count",$A162)),[1]!lngFileSize(A162),"")</f>
        <v>130536</v>
      </c>
      <c r="H162" s="11" t="str">
        <f>IF(ISERROR(FIND("Count",$A162)),[1]!GetFolder(A162),"")</f>
        <v>C:\Users\DAVE\Documents\Visual Studio 2013\Projects\WizardWrx_Libs\_Deprecated_Libraries\ApplicationHelpers2\ApplicationHelpers2TestHarness\ApplicationHelpers2TestHarness</v>
      </c>
      <c r="I162" s="16" t="s">
        <v>167</v>
      </c>
    </row>
    <row r="163" spans="1:9" outlineLevel="2" x14ac:dyDescent="0.25">
      <c r="A163" s="10" t="s">
        <v>127</v>
      </c>
      <c r="B163" s="11">
        <v>2174</v>
      </c>
      <c r="C163" s="12" t="s">
        <v>87</v>
      </c>
      <c r="D163" s="11" t="str">
        <f>IF(ISERROR(FIND("Count",$A163)),[1]!GetFile(A163),"")</f>
        <v>Program.cs</v>
      </c>
      <c r="E163" s="15" t="str">
        <f>IF(ISERROR(FIND("Count",$A163)),UPPER(RIGHT([1]!GetExtension(A163),LEN([1]!GetExtension(A163))-1)),"")</f>
        <v>CS</v>
      </c>
      <c r="F163" s="13">
        <f>IF(ISERROR(FIND("Count",$A163)),[1]!dtmFileDateInfo(A163),"")</f>
        <v>41904.603055555555</v>
      </c>
      <c r="G163" s="14">
        <f>IF(ISERROR(FIND("Count",$A163)),[1]!lngFileSize(A163),"")</f>
        <v>130536</v>
      </c>
      <c r="H163" s="11" t="str">
        <f>IF(ISERROR(FIND("Count",$A163)),[1]!GetFolder(A163),"")</f>
        <v>C:\Users\DAVE\Documents\Visual Studio 2013\Projects\WizardWrx_Libs\_Deprecated_Libraries\ApplicationHelpers2\ApplicationHelpers2TestHarness\ApplicationHelpers2TestHarness</v>
      </c>
      <c r="I163" s="16" t="s">
        <v>167</v>
      </c>
    </row>
    <row r="164" spans="1:9" outlineLevel="2" x14ac:dyDescent="0.25">
      <c r="A164" s="10" t="s">
        <v>127</v>
      </c>
      <c r="B164" s="11">
        <v>2175</v>
      </c>
      <c r="C164" s="12" t="s">
        <v>88</v>
      </c>
      <c r="D164" s="11" t="str">
        <f>IF(ISERROR(FIND("Count",$A164)),[1]!GetFile(A164),"")</f>
        <v>Program.cs</v>
      </c>
      <c r="E164" s="15" t="str">
        <f>IF(ISERROR(FIND("Count",$A164)),UPPER(RIGHT([1]!GetExtension(A164),LEN([1]!GetExtension(A164))-1)),"")</f>
        <v>CS</v>
      </c>
      <c r="F164" s="13">
        <f>IF(ISERROR(FIND("Count",$A164)),[1]!dtmFileDateInfo(A164),"")</f>
        <v>41904.603055555555</v>
      </c>
      <c r="G164" s="14">
        <f>IF(ISERROR(FIND("Count",$A164)),[1]!lngFileSize(A164),"")</f>
        <v>130536</v>
      </c>
      <c r="H164" s="11" t="str">
        <f>IF(ISERROR(FIND("Count",$A164)),[1]!GetFolder(A164),"")</f>
        <v>C:\Users\DAVE\Documents\Visual Studio 2013\Projects\WizardWrx_Libs\_Deprecated_Libraries\ApplicationHelpers2\ApplicationHelpers2TestHarness\ApplicationHelpers2TestHarness</v>
      </c>
      <c r="I164" s="16" t="s">
        <v>167</v>
      </c>
    </row>
    <row r="165" spans="1:9" outlineLevel="2" x14ac:dyDescent="0.25">
      <c r="A165" s="10" t="s">
        <v>127</v>
      </c>
      <c r="B165" s="11">
        <v>2177</v>
      </c>
      <c r="C165" s="12" t="s">
        <v>89</v>
      </c>
      <c r="D165" s="11" t="str">
        <f>IF(ISERROR(FIND("Count",$A165)),[1]!GetFile(A165),"")</f>
        <v>Program.cs</v>
      </c>
      <c r="E165" s="15" t="str">
        <f>IF(ISERROR(FIND("Count",$A165)),UPPER(RIGHT([1]!GetExtension(A165),LEN([1]!GetExtension(A165))-1)),"")</f>
        <v>CS</v>
      </c>
      <c r="F165" s="13">
        <f>IF(ISERROR(FIND("Count",$A165)),[1]!dtmFileDateInfo(A165),"")</f>
        <v>41904.603055555555</v>
      </c>
      <c r="G165" s="14">
        <f>IF(ISERROR(FIND("Count",$A165)),[1]!lngFileSize(A165),"")</f>
        <v>130536</v>
      </c>
      <c r="H165" s="11" t="str">
        <f>IF(ISERROR(FIND("Count",$A165)),[1]!GetFolder(A165),"")</f>
        <v>C:\Users\DAVE\Documents\Visual Studio 2013\Projects\WizardWrx_Libs\_Deprecated_Libraries\ApplicationHelpers2\ApplicationHelpers2TestHarness\ApplicationHelpers2TestHarness</v>
      </c>
      <c r="I165" s="16" t="s">
        <v>167</v>
      </c>
    </row>
    <row r="166" spans="1:9" outlineLevel="2" x14ac:dyDescent="0.25">
      <c r="A166" s="10" t="s">
        <v>127</v>
      </c>
      <c r="B166" s="11">
        <v>2178</v>
      </c>
      <c r="C166" s="12" t="s">
        <v>90</v>
      </c>
      <c r="D166" s="11" t="str">
        <f>IF(ISERROR(FIND("Count",$A166)),[1]!GetFile(A166),"")</f>
        <v>Program.cs</v>
      </c>
      <c r="E166" s="15" t="str">
        <f>IF(ISERROR(FIND("Count",$A166)),UPPER(RIGHT([1]!GetExtension(A166),LEN([1]!GetExtension(A166))-1)),"")</f>
        <v>CS</v>
      </c>
      <c r="F166" s="13">
        <f>IF(ISERROR(FIND("Count",$A166)),[1]!dtmFileDateInfo(A166),"")</f>
        <v>41904.603055555555</v>
      </c>
      <c r="G166" s="14">
        <f>IF(ISERROR(FIND("Count",$A166)),[1]!lngFileSize(A166),"")</f>
        <v>130536</v>
      </c>
      <c r="H166" s="11" t="str">
        <f>IF(ISERROR(FIND("Count",$A166)),[1]!GetFolder(A166),"")</f>
        <v>C:\Users\DAVE\Documents\Visual Studio 2013\Projects\WizardWrx_Libs\_Deprecated_Libraries\ApplicationHelpers2\ApplicationHelpers2TestHarness\ApplicationHelpers2TestHarness</v>
      </c>
      <c r="I166" s="16" t="s">
        <v>167</v>
      </c>
    </row>
    <row r="167" spans="1:9" outlineLevel="2" x14ac:dyDescent="0.25">
      <c r="A167" s="10" t="s">
        <v>127</v>
      </c>
      <c r="B167" s="11">
        <v>2180</v>
      </c>
      <c r="C167" s="12" t="s">
        <v>91</v>
      </c>
      <c r="D167" s="11" t="str">
        <f>IF(ISERROR(FIND("Count",$A167)),[1]!GetFile(A167),"")</f>
        <v>Program.cs</v>
      </c>
      <c r="E167" s="15" t="str">
        <f>IF(ISERROR(FIND("Count",$A167)),UPPER(RIGHT([1]!GetExtension(A167),LEN([1]!GetExtension(A167))-1)),"")</f>
        <v>CS</v>
      </c>
      <c r="F167" s="13">
        <f>IF(ISERROR(FIND("Count",$A167)),[1]!dtmFileDateInfo(A167),"")</f>
        <v>41904.603055555555</v>
      </c>
      <c r="G167" s="14">
        <f>IF(ISERROR(FIND("Count",$A167)),[1]!lngFileSize(A167),"")</f>
        <v>130536</v>
      </c>
      <c r="H167" s="11" t="str">
        <f>IF(ISERROR(FIND("Count",$A167)),[1]!GetFolder(A167),"")</f>
        <v>C:\Users\DAVE\Documents\Visual Studio 2013\Projects\WizardWrx_Libs\_Deprecated_Libraries\ApplicationHelpers2\ApplicationHelpers2TestHarness\ApplicationHelpers2TestHarness</v>
      </c>
      <c r="I167" s="16" t="s">
        <v>167</v>
      </c>
    </row>
    <row r="168" spans="1:9" outlineLevel="2" x14ac:dyDescent="0.25">
      <c r="A168" s="10" t="s">
        <v>127</v>
      </c>
      <c r="B168" s="11">
        <v>2181</v>
      </c>
      <c r="C168" s="12" t="s">
        <v>92</v>
      </c>
      <c r="D168" s="11" t="str">
        <f>IF(ISERROR(FIND("Count",$A168)),[1]!GetFile(A168),"")</f>
        <v>Program.cs</v>
      </c>
      <c r="E168" s="15" t="str">
        <f>IF(ISERROR(FIND("Count",$A168)),UPPER(RIGHT([1]!GetExtension(A168),LEN([1]!GetExtension(A168))-1)),"")</f>
        <v>CS</v>
      </c>
      <c r="F168" s="13">
        <f>IF(ISERROR(FIND("Count",$A168)),[1]!dtmFileDateInfo(A168),"")</f>
        <v>41904.603055555555</v>
      </c>
      <c r="G168" s="14">
        <f>IF(ISERROR(FIND("Count",$A168)),[1]!lngFileSize(A168),"")</f>
        <v>130536</v>
      </c>
      <c r="H168" s="11" t="str">
        <f>IF(ISERROR(FIND("Count",$A168)),[1]!GetFolder(A168),"")</f>
        <v>C:\Users\DAVE\Documents\Visual Studio 2013\Projects\WizardWrx_Libs\_Deprecated_Libraries\ApplicationHelpers2\ApplicationHelpers2TestHarness\ApplicationHelpers2TestHarness</v>
      </c>
      <c r="I168" s="16" t="s">
        <v>167</v>
      </c>
    </row>
    <row r="169" spans="1:9" outlineLevel="2" x14ac:dyDescent="0.25">
      <c r="A169" s="10" t="s">
        <v>127</v>
      </c>
      <c r="B169" s="11">
        <v>2183</v>
      </c>
      <c r="C169" s="12" t="s">
        <v>93</v>
      </c>
      <c r="D169" s="11" t="str">
        <f>IF(ISERROR(FIND("Count",$A169)),[1]!GetFile(A169),"")</f>
        <v>Program.cs</v>
      </c>
      <c r="E169" s="15" t="str">
        <f>IF(ISERROR(FIND("Count",$A169)),UPPER(RIGHT([1]!GetExtension(A169),LEN([1]!GetExtension(A169))-1)),"")</f>
        <v>CS</v>
      </c>
      <c r="F169" s="13">
        <f>IF(ISERROR(FIND("Count",$A169)),[1]!dtmFileDateInfo(A169),"")</f>
        <v>41904.603055555555</v>
      </c>
      <c r="G169" s="14">
        <f>IF(ISERROR(FIND("Count",$A169)),[1]!lngFileSize(A169),"")</f>
        <v>130536</v>
      </c>
      <c r="H169" s="11" t="str">
        <f>IF(ISERROR(FIND("Count",$A169)),[1]!GetFolder(A169),"")</f>
        <v>C:\Users\DAVE\Documents\Visual Studio 2013\Projects\WizardWrx_Libs\_Deprecated_Libraries\ApplicationHelpers2\ApplicationHelpers2TestHarness\ApplicationHelpers2TestHarness</v>
      </c>
      <c r="I169" s="16" t="s">
        <v>167</v>
      </c>
    </row>
    <row r="170" spans="1:9" outlineLevel="2" x14ac:dyDescent="0.25">
      <c r="A170" s="10" t="s">
        <v>127</v>
      </c>
      <c r="B170" s="11">
        <v>2184</v>
      </c>
      <c r="C170" s="12" t="s">
        <v>94</v>
      </c>
      <c r="D170" s="11" t="str">
        <f>IF(ISERROR(FIND("Count",$A170)),[1]!GetFile(A170),"")</f>
        <v>Program.cs</v>
      </c>
      <c r="E170" s="15" t="str">
        <f>IF(ISERROR(FIND("Count",$A170)),UPPER(RIGHT([1]!GetExtension(A170),LEN([1]!GetExtension(A170))-1)),"")</f>
        <v>CS</v>
      </c>
      <c r="F170" s="13">
        <f>IF(ISERROR(FIND("Count",$A170)),[1]!dtmFileDateInfo(A170),"")</f>
        <v>41904.603055555555</v>
      </c>
      <c r="G170" s="14">
        <f>IF(ISERROR(FIND("Count",$A170)),[1]!lngFileSize(A170),"")</f>
        <v>130536</v>
      </c>
      <c r="H170" s="11" t="str">
        <f>IF(ISERROR(FIND("Count",$A170)),[1]!GetFolder(A170),"")</f>
        <v>C:\Users\DAVE\Documents\Visual Studio 2013\Projects\WizardWrx_Libs\_Deprecated_Libraries\ApplicationHelpers2\ApplicationHelpers2TestHarness\ApplicationHelpers2TestHarness</v>
      </c>
      <c r="I170" s="16" t="s">
        <v>167</v>
      </c>
    </row>
    <row r="171" spans="1:9" outlineLevel="2" x14ac:dyDescent="0.25">
      <c r="A171" s="10" t="s">
        <v>127</v>
      </c>
      <c r="B171" s="11">
        <v>2185</v>
      </c>
      <c r="C171" s="12" t="s">
        <v>95</v>
      </c>
      <c r="D171" s="11" t="str">
        <f>IF(ISERROR(FIND("Count",$A171)),[1]!GetFile(A171),"")</f>
        <v>Program.cs</v>
      </c>
      <c r="E171" s="15" t="str">
        <f>IF(ISERROR(FIND("Count",$A171)),UPPER(RIGHT([1]!GetExtension(A171),LEN([1]!GetExtension(A171))-1)),"")</f>
        <v>CS</v>
      </c>
      <c r="F171" s="13">
        <f>IF(ISERROR(FIND("Count",$A171)),[1]!dtmFileDateInfo(A171),"")</f>
        <v>41904.603055555555</v>
      </c>
      <c r="G171" s="14">
        <f>IF(ISERROR(FIND("Count",$A171)),[1]!lngFileSize(A171),"")</f>
        <v>130536</v>
      </c>
      <c r="H171" s="11" t="str">
        <f>IF(ISERROR(FIND("Count",$A171)),[1]!GetFolder(A171),"")</f>
        <v>C:\Users\DAVE\Documents\Visual Studio 2013\Projects\WizardWrx_Libs\_Deprecated_Libraries\ApplicationHelpers2\ApplicationHelpers2TestHarness\ApplicationHelpers2TestHarness</v>
      </c>
      <c r="I171" s="16" t="s">
        <v>167</v>
      </c>
    </row>
    <row r="172" spans="1:9" outlineLevel="2" x14ac:dyDescent="0.25">
      <c r="A172" s="10" t="s">
        <v>127</v>
      </c>
      <c r="B172" s="11">
        <v>2200</v>
      </c>
      <c r="C172" s="12" t="s">
        <v>96</v>
      </c>
      <c r="D172" s="11" t="str">
        <f>IF(ISERROR(FIND("Count",$A172)),[1]!GetFile(A172),"")</f>
        <v>Program.cs</v>
      </c>
      <c r="E172" s="15" t="str">
        <f>IF(ISERROR(FIND("Count",$A172)),UPPER(RIGHT([1]!GetExtension(A172),LEN([1]!GetExtension(A172))-1)),"")</f>
        <v>CS</v>
      </c>
      <c r="F172" s="13">
        <f>IF(ISERROR(FIND("Count",$A172)),[1]!dtmFileDateInfo(A172),"")</f>
        <v>41904.603055555555</v>
      </c>
      <c r="G172" s="14">
        <f>IF(ISERROR(FIND("Count",$A172)),[1]!lngFileSize(A172),"")</f>
        <v>130536</v>
      </c>
      <c r="H172" s="11" t="str">
        <f>IF(ISERROR(FIND("Count",$A172)),[1]!GetFolder(A172),"")</f>
        <v>C:\Users\DAVE\Documents\Visual Studio 2013\Projects\WizardWrx_Libs\_Deprecated_Libraries\ApplicationHelpers2\ApplicationHelpers2TestHarness\ApplicationHelpers2TestHarness</v>
      </c>
      <c r="I172" s="16" t="s">
        <v>167</v>
      </c>
    </row>
    <row r="173" spans="1:9" outlineLevel="2" x14ac:dyDescent="0.25">
      <c r="A173" s="10" t="s">
        <v>127</v>
      </c>
      <c r="B173" s="11">
        <v>2232</v>
      </c>
      <c r="C173" s="12" t="s">
        <v>128</v>
      </c>
      <c r="D173" s="11" t="str">
        <f>IF(ISERROR(FIND("Count",$A173)),[1]!GetFile(A173),"")</f>
        <v>Program.cs</v>
      </c>
      <c r="E173" s="15" t="str">
        <f>IF(ISERROR(FIND("Count",$A173)),UPPER(RIGHT([1]!GetExtension(A173),LEN([1]!GetExtension(A173))-1)),"")</f>
        <v>CS</v>
      </c>
      <c r="F173" s="13">
        <f>IF(ISERROR(FIND("Count",$A173)),[1]!dtmFileDateInfo(A173),"")</f>
        <v>41904.603055555555</v>
      </c>
      <c r="G173" s="14">
        <f>IF(ISERROR(FIND("Count",$A173)),[1]!lngFileSize(A173),"")</f>
        <v>130536</v>
      </c>
      <c r="H173" s="11" t="str">
        <f>IF(ISERROR(FIND("Count",$A173)),[1]!GetFolder(A173),"")</f>
        <v>C:\Users\DAVE\Documents\Visual Studio 2013\Projects\WizardWrx_Libs\_Deprecated_Libraries\ApplicationHelpers2\ApplicationHelpers2TestHarness\ApplicationHelpers2TestHarness</v>
      </c>
      <c r="I173" s="16" t="s">
        <v>167</v>
      </c>
    </row>
    <row r="174" spans="1:9" outlineLevel="2" x14ac:dyDescent="0.25">
      <c r="A174" s="10" t="s">
        <v>127</v>
      </c>
      <c r="B174" s="11">
        <v>2234</v>
      </c>
      <c r="C174" s="12" t="s">
        <v>129</v>
      </c>
      <c r="D174" s="11" t="str">
        <f>IF(ISERROR(FIND("Count",$A174)),[1]!GetFile(A174),"")</f>
        <v>Program.cs</v>
      </c>
      <c r="E174" s="15" t="str">
        <f>IF(ISERROR(FIND("Count",$A174)),UPPER(RIGHT([1]!GetExtension(A174),LEN([1]!GetExtension(A174))-1)),"")</f>
        <v>CS</v>
      </c>
      <c r="F174" s="13">
        <f>IF(ISERROR(FIND("Count",$A174)),[1]!dtmFileDateInfo(A174),"")</f>
        <v>41904.603055555555</v>
      </c>
      <c r="G174" s="14">
        <f>IF(ISERROR(FIND("Count",$A174)),[1]!lngFileSize(A174),"")</f>
        <v>130536</v>
      </c>
      <c r="H174" s="11" t="str">
        <f>IF(ISERROR(FIND("Count",$A174)),[1]!GetFolder(A174),"")</f>
        <v>C:\Users\DAVE\Documents\Visual Studio 2013\Projects\WizardWrx_Libs\_Deprecated_Libraries\ApplicationHelpers2\ApplicationHelpers2TestHarness\ApplicationHelpers2TestHarness</v>
      </c>
      <c r="I174" s="16" t="s">
        <v>167</v>
      </c>
    </row>
    <row r="175" spans="1:9" outlineLevel="2" x14ac:dyDescent="0.25">
      <c r="A175" s="10" t="s">
        <v>127</v>
      </c>
      <c r="B175" s="11">
        <v>2236</v>
      </c>
      <c r="C175" s="12" t="s">
        <v>130</v>
      </c>
      <c r="D175" s="11" t="str">
        <f>IF(ISERROR(FIND("Count",$A175)),[1]!GetFile(A175),"")</f>
        <v>Program.cs</v>
      </c>
      <c r="E175" s="15" t="str">
        <f>IF(ISERROR(FIND("Count",$A175)),UPPER(RIGHT([1]!GetExtension(A175),LEN([1]!GetExtension(A175))-1)),"")</f>
        <v>CS</v>
      </c>
      <c r="F175" s="13">
        <f>IF(ISERROR(FIND("Count",$A175)),[1]!dtmFileDateInfo(A175),"")</f>
        <v>41904.603055555555</v>
      </c>
      <c r="G175" s="14">
        <f>IF(ISERROR(FIND("Count",$A175)),[1]!lngFileSize(A175),"")</f>
        <v>130536</v>
      </c>
      <c r="H175" s="11" t="str">
        <f>IF(ISERROR(FIND("Count",$A175)),[1]!GetFolder(A175),"")</f>
        <v>C:\Users\DAVE\Documents\Visual Studio 2013\Projects\WizardWrx_Libs\_Deprecated_Libraries\ApplicationHelpers2\ApplicationHelpers2TestHarness\ApplicationHelpers2TestHarness</v>
      </c>
      <c r="I175" s="16" t="s">
        <v>167</v>
      </c>
    </row>
    <row r="176" spans="1:9" outlineLevel="1" x14ac:dyDescent="0.25">
      <c r="A176" s="10" t="s">
        <v>162</v>
      </c>
      <c r="B176" s="11">
        <f>SUBTOTAL(3,B151:B175)</f>
        <v>25</v>
      </c>
      <c r="C176" s="12"/>
      <c r="D176" s="11" t="str">
        <f>IF(ISERROR(FIND("Count",$A176)),[1]!GetFile(A176),"")</f>
        <v/>
      </c>
      <c r="E176" s="15" t="str">
        <f>IF(ISERROR(FIND("Count",$A176)),UPPER(RIGHT([1]!GetExtension(A176),LEN([1]!GetExtension(A176))-1)),"")</f>
        <v/>
      </c>
      <c r="F176" s="13" t="str">
        <f>IF(ISERROR(FIND("Count",$A176)),[1]!dtmFileDateInfo(A176),"")</f>
        <v/>
      </c>
      <c r="G176" s="14" t="str">
        <f>IF(ISERROR(FIND("Count",$A176)),[1]!lngFileSize(A176),"")</f>
        <v/>
      </c>
      <c r="H176" s="11" t="str">
        <f>IF(ISERROR(FIND("Count",$A176)),[1]!GetFolder(A176),"")</f>
        <v/>
      </c>
      <c r="I176" s="16"/>
    </row>
    <row r="177" spans="1:9" outlineLevel="2" x14ac:dyDescent="0.25">
      <c r="A177" s="10" t="s">
        <v>131</v>
      </c>
      <c r="B177" s="11">
        <v>214</v>
      </c>
      <c r="C177" s="12" t="s">
        <v>68</v>
      </c>
      <c r="D177" s="11" t="str">
        <f>IF(ISERROR(FIND("Count",$A177)),[1]!GetFile(A177),"")</f>
        <v>DisplayFormats.cs</v>
      </c>
      <c r="E177" s="15" t="str">
        <f>IF(ISERROR(FIND("Count",$A177)),UPPER(RIGHT([1]!GetExtension(A177),LEN([1]!GetExtension(A177))-1)),"")</f>
        <v>CS</v>
      </c>
      <c r="F177" s="13">
        <f>IF(ISERROR(FIND("Count",$A177)),[1]!dtmFileDateInfo(A177),"")</f>
        <v>41896.993217592593</v>
      </c>
      <c r="G177" s="14">
        <f>IF(ISERROR(FIND("Count",$A177)),[1]!lngFileSize(A177),"")</f>
        <v>13956</v>
      </c>
      <c r="H177" s="11" t="str">
        <f>IF(ISERROR(FIND("Count",$A177)),[1]!GetFolder(A177),"")</f>
        <v>C:\Users\DAVE\Documents\Visual Studio 2013\Projects\WizardWrx_Libs\_Deprecated_Libraries\ApplicationHelpers3\ApplicationHelpers3</v>
      </c>
      <c r="I177" s="16" t="s">
        <v>167</v>
      </c>
    </row>
    <row r="178" spans="1:9" outlineLevel="2" x14ac:dyDescent="0.25">
      <c r="A178" s="10" t="s">
        <v>131</v>
      </c>
      <c r="B178" s="11">
        <v>220</v>
      </c>
      <c r="C178" s="12" t="s">
        <v>69</v>
      </c>
      <c r="D178" s="11" t="str">
        <f>IF(ISERROR(FIND("Count",$A178)),[1]!GetFile(A178),"")</f>
        <v>DisplayFormats.cs</v>
      </c>
      <c r="E178" s="15" t="str">
        <f>IF(ISERROR(FIND("Count",$A178)),UPPER(RIGHT([1]!GetExtension(A178),LEN([1]!GetExtension(A178))-1)),"")</f>
        <v>CS</v>
      </c>
      <c r="F178" s="13">
        <f>IF(ISERROR(FIND("Count",$A178)),[1]!dtmFileDateInfo(A178),"")</f>
        <v>41896.993217592593</v>
      </c>
      <c r="G178" s="14">
        <f>IF(ISERROR(FIND("Count",$A178)),[1]!lngFileSize(A178),"")</f>
        <v>13956</v>
      </c>
      <c r="H178" s="11" t="str">
        <f>IF(ISERROR(FIND("Count",$A178)),[1]!GetFolder(A178),"")</f>
        <v>C:\Users\DAVE\Documents\Visual Studio 2013\Projects\WizardWrx_Libs\_Deprecated_Libraries\ApplicationHelpers3\ApplicationHelpers3</v>
      </c>
      <c r="I178" s="16" t="s">
        <v>167</v>
      </c>
    </row>
    <row r="179" spans="1:9" outlineLevel="2" x14ac:dyDescent="0.25">
      <c r="A179" s="10" t="s">
        <v>131</v>
      </c>
      <c r="B179" s="11">
        <v>223</v>
      </c>
      <c r="C179" s="12" t="s">
        <v>70</v>
      </c>
      <c r="D179" s="11" t="str">
        <f>IF(ISERROR(FIND("Count",$A179)),[1]!GetFile(A179),"")</f>
        <v>DisplayFormats.cs</v>
      </c>
      <c r="E179" s="15" t="str">
        <f>IF(ISERROR(FIND("Count",$A179)),UPPER(RIGHT([1]!GetExtension(A179),LEN([1]!GetExtension(A179))-1)),"")</f>
        <v>CS</v>
      </c>
      <c r="F179" s="13">
        <f>IF(ISERROR(FIND("Count",$A179)),[1]!dtmFileDateInfo(A179),"")</f>
        <v>41896.993217592593</v>
      </c>
      <c r="G179" s="14">
        <f>IF(ISERROR(FIND("Count",$A179)),[1]!lngFileSize(A179),"")</f>
        <v>13956</v>
      </c>
      <c r="H179" s="11" t="str">
        <f>IF(ISERROR(FIND("Count",$A179)),[1]!GetFolder(A179),"")</f>
        <v>C:\Users\DAVE\Documents\Visual Studio 2013\Projects\WizardWrx_Libs\_Deprecated_Libraries\ApplicationHelpers3\ApplicationHelpers3</v>
      </c>
      <c r="I179" s="16" t="s">
        <v>167</v>
      </c>
    </row>
    <row r="180" spans="1:9" outlineLevel="2" x14ac:dyDescent="0.25">
      <c r="A180" s="10" t="s">
        <v>131</v>
      </c>
      <c r="B180" s="11">
        <v>227</v>
      </c>
      <c r="C180" s="12" t="s">
        <v>68</v>
      </c>
      <c r="D180" s="11" t="str">
        <f>IF(ISERROR(FIND("Count",$A180)),[1]!GetFile(A180),"")</f>
        <v>DisplayFormats.cs</v>
      </c>
      <c r="E180" s="15" t="str">
        <f>IF(ISERROR(FIND("Count",$A180)),UPPER(RIGHT([1]!GetExtension(A180),LEN([1]!GetExtension(A180))-1)),"")</f>
        <v>CS</v>
      </c>
      <c r="F180" s="13">
        <f>IF(ISERROR(FIND("Count",$A180)),[1]!dtmFileDateInfo(A180),"")</f>
        <v>41896.993217592593</v>
      </c>
      <c r="G180" s="14">
        <f>IF(ISERROR(FIND("Count",$A180)),[1]!lngFileSize(A180),"")</f>
        <v>13956</v>
      </c>
      <c r="H180" s="11" t="str">
        <f>IF(ISERROR(FIND("Count",$A180)),[1]!GetFolder(A180),"")</f>
        <v>C:\Users\DAVE\Documents\Visual Studio 2013\Projects\WizardWrx_Libs\_Deprecated_Libraries\ApplicationHelpers3\ApplicationHelpers3</v>
      </c>
      <c r="I180" s="16" t="s">
        <v>167</v>
      </c>
    </row>
    <row r="181" spans="1:9" outlineLevel="2" x14ac:dyDescent="0.25">
      <c r="A181" s="10" t="s">
        <v>131</v>
      </c>
      <c r="B181" s="11">
        <v>233</v>
      </c>
      <c r="C181" s="12" t="s">
        <v>71</v>
      </c>
      <c r="D181" s="11" t="str">
        <f>IF(ISERROR(FIND("Count",$A181)),[1]!GetFile(A181),"")</f>
        <v>DisplayFormats.cs</v>
      </c>
      <c r="E181" s="15" t="str">
        <f>IF(ISERROR(FIND("Count",$A181)),UPPER(RIGHT([1]!GetExtension(A181),LEN([1]!GetExtension(A181))-1)),"")</f>
        <v>CS</v>
      </c>
      <c r="F181" s="13">
        <f>IF(ISERROR(FIND("Count",$A181)),[1]!dtmFileDateInfo(A181),"")</f>
        <v>41896.993217592593</v>
      </c>
      <c r="G181" s="14">
        <f>IF(ISERROR(FIND("Count",$A181)),[1]!lngFileSize(A181),"")</f>
        <v>13956</v>
      </c>
      <c r="H181" s="11" t="str">
        <f>IF(ISERROR(FIND("Count",$A181)),[1]!GetFolder(A181),"")</f>
        <v>C:\Users\DAVE\Documents\Visual Studio 2013\Projects\WizardWrx_Libs\_Deprecated_Libraries\ApplicationHelpers3\ApplicationHelpers3</v>
      </c>
      <c r="I181" s="16" t="s">
        <v>167</v>
      </c>
    </row>
    <row r="182" spans="1:9" outlineLevel="2" x14ac:dyDescent="0.25">
      <c r="A182" s="10" t="s">
        <v>131</v>
      </c>
      <c r="B182" s="11">
        <v>236</v>
      </c>
      <c r="C182" s="12" t="s">
        <v>72</v>
      </c>
      <c r="D182" s="11" t="str">
        <f>IF(ISERROR(FIND("Count",$A182)),[1]!GetFile(A182),"")</f>
        <v>DisplayFormats.cs</v>
      </c>
      <c r="E182" s="15" t="str">
        <f>IF(ISERROR(FIND("Count",$A182)),UPPER(RIGHT([1]!GetExtension(A182),LEN([1]!GetExtension(A182))-1)),"")</f>
        <v>CS</v>
      </c>
      <c r="F182" s="13">
        <f>IF(ISERROR(FIND("Count",$A182)),[1]!dtmFileDateInfo(A182),"")</f>
        <v>41896.993217592593</v>
      </c>
      <c r="G182" s="14">
        <f>IF(ISERROR(FIND("Count",$A182)),[1]!lngFileSize(A182),"")</f>
        <v>13956</v>
      </c>
      <c r="H182" s="11" t="str">
        <f>IF(ISERROR(FIND("Count",$A182)),[1]!GetFolder(A182),"")</f>
        <v>C:\Users\DAVE\Documents\Visual Studio 2013\Projects\WizardWrx_Libs\_Deprecated_Libraries\ApplicationHelpers3\ApplicationHelpers3</v>
      </c>
      <c r="I182" s="16" t="s">
        <v>167</v>
      </c>
    </row>
    <row r="183" spans="1:9" outlineLevel="2" x14ac:dyDescent="0.25">
      <c r="A183" s="10" t="s">
        <v>131</v>
      </c>
      <c r="B183" s="11">
        <v>240</v>
      </c>
      <c r="C183" s="12" t="s">
        <v>68</v>
      </c>
      <c r="D183" s="11" t="str">
        <f>IF(ISERROR(FIND("Count",$A183)),[1]!GetFile(A183),"")</f>
        <v>DisplayFormats.cs</v>
      </c>
      <c r="E183" s="15" t="str">
        <f>IF(ISERROR(FIND("Count",$A183)),UPPER(RIGHT([1]!GetExtension(A183),LEN([1]!GetExtension(A183))-1)),"")</f>
        <v>CS</v>
      </c>
      <c r="F183" s="13">
        <f>IF(ISERROR(FIND("Count",$A183)),[1]!dtmFileDateInfo(A183),"")</f>
        <v>41896.993217592593</v>
      </c>
      <c r="G183" s="14">
        <f>IF(ISERROR(FIND("Count",$A183)),[1]!lngFileSize(A183),"")</f>
        <v>13956</v>
      </c>
      <c r="H183" s="11" t="str">
        <f>IF(ISERROR(FIND("Count",$A183)),[1]!GetFolder(A183),"")</f>
        <v>C:\Users\DAVE\Documents\Visual Studio 2013\Projects\WizardWrx_Libs\_Deprecated_Libraries\ApplicationHelpers3\ApplicationHelpers3</v>
      </c>
      <c r="I183" s="16" t="s">
        <v>167</v>
      </c>
    </row>
    <row r="184" spans="1:9" outlineLevel="2" x14ac:dyDescent="0.25">
      <c r="A184" s="10" t="s">
        <v>131</v>
      </c>
      <c r="B184" s="11">
        <v>246</v>
      </c>
      <c r="C184" s="12" t="s">
        <v>73</v>
      </c>
      <c r="D184" s="11" t="str">
        <f>IF(ISERROR(FIND("Count",$A184)),[1]!GetFile(A184),"")</f>
        <v>DisplayFormats.cs</v>
      </c>
      <c r="E184" s="15" t="str">
        <f>IF(ISERROR(FIND("Count",$A184)),UPPER(RIGHT([1]!GetExtension(A184),LEN([1]!GetExtension(A184))-1)),"")</f>
        <v>CS</v>
      </c>
      <c r="F184" s="13">
        <f>IF(ISERROR(FIND("Count",$A184)),[1]!dtmFileDateInfo(A184),"")</f>
        <v>41896.993217592593</v>
      </c>
      <c r="G184" s="14">
        <f>IF(ISERROR(FIND("Count",$A184)),[1]!lngFileSize(A184),"")</f>
        <v>13956</v>
      </c>
      <c r="H184" s="11" t="str">
        <f>IF(ISERROR(FIND("Count",$A184)),[1]!GetFolder(A184),"")</f>
        <v>C:\Users\DAVE\Documents\Visual Studio 2013\Projects\WizardWrx_Libs\_Deprecated_Libraries\ApplicationHelpers3\ApplicationHelpers3</v>
      </c>
      <c r="I184" s="16" t="s">
        <v>167</v>
      </c>
    </row>
    <row r="185" spans="1:9" outlineLevel="2" x14ac:dyDescent="0.25">
      <c r="A185" s="10" t="s">
        <v>131</v>
      </c>
      <c r="B185" s="11">
        <v>265</v>
      </c>
      <c r="C185" s="12" t="s">
        <v>74</v>
      </c>
      <c r="D185" s="11" t="str">
        <f>IF(ISERROR(FIND("Count",$A185)),[1]!GetFile(A185),"")</f>
        <v>DisplayFormats.cs</v>
      </c>
      <c r="E185" s="15" t="str">
        <f>IF(ISERROR(FIND("Count",$A185)),UPPER(RIGHT([1]!GetExtension(A185),LEN([1]!GetExtension(A185))-1)),"")</f>
        <v>CS</v>
      </c>
      <c r="F185" s="13">
        <f>IF(ISERROR(FIND("Count",$A185)),[1]!dtmFileDateInfo(A185),"")</f>
        <v>41896.993217592593</v>
      </c>
      <c r="G185" s="14">
        <f>IF(ISERROR(FIND("Count",$A185)),[1]!lngFileSize(A185),"")</f>
        <v>13956</v>
      </c>
      <c r="H185" s="11" t="str">
        <f>IF(ISERROR(FIND("Count",$A185)),[1]!GetFolder(A185),"")</f>
        <v>C:\Users\DAVE\Documents\Visual Studio 2013\Projects\WizardWrx_Libs\_Deprecated_Libraries\ApplicationHelpers3\ApplicationHelpers3</v>
      </c>
      <c r="I185" s="16" t="s">
        <v>167</v>
      </c>
    </row>
    <row r="186" spans="1:9" outlineLevel="2" x14ac:dyDescent="0.25">
      <c r="A186" s="10" t="s">
        <v>131</v>
      </c>
      <c r="B186" s="11">
        <v>285</v>
      </c>
      <c r="C186" s="12" t="s">
        <v>74</v>
      </c>
      <c r="D186" s="11" t="str">
        <f>IF(ISERROR(FIND("Count",$A186)),[1]!GetFile(A186),"")</f>
        <v>DisplayFormats.cs</v>
      </c>
      <c r="E186" s="15" t="str">
        <f>IF(ISERROR(FIND("Count",$A186)),UPPER(RIGHT([1]!GetExtension(A186),LEN([1]!GetExtension(A186))-1)),"")</f>
        <v>CS</v>
      </c>
      <c r="F186" s="13">
        <f>IF(ISERROR(FIND("Count",$A186)),[1]!dtmFileDateInfo(A186),"")</f>
        <v>41896.993217592593</v>
      </c>
      <c r="G186" s="14">
        <f>IF(ISERROR(FIND("Count",$A186)),[1]!lngFileSize(A186),"")</f>
        <v>13956</v>
      </c>
      <c r="H186" s="11" t="str">
        <f>IF(ISERROR(FIND("Count",$A186)),[1]!GetFolder(A186),"")</f>
        <v>C:\Users\DAVE\Documents\Visual Studio 2013\Projects\WizardWrx_Libs\_Deprecated_Libraries\ApplicationHelpers3\ApplicationHelpers3</v>
      </c>
      <c r="I186" s="16" t="s">
        <v>167</v>
      </c>
    </row>
    <row r="187" spans="1:9" outlineLevel="2" x14ac:dyDescent="0.25">
      <c r="A187" s="10" t="s">
        <v>131</v>
      </c>
      <c r="B187" s="11">
        <v>304</v>
      </c>
      <c r="C187" s="12" t="s">
        <v>132</v>
      </c>
      <c r="D187" s="11" t="str">
        <f>IF(ISERROR(FIND("Count",$A187)),[1]!GetFile(A187),"")</f>
        <v>DisplayFormats.cs</v>
      </c>
      <c r="E187" s="15" t="str">
        <f>IF(ISERROR(FIND("Count",$A187)),UPPER(RIGHT([1]!GetExtension(A187),LEN([1]!GetExtension(A187))-1)),"")</f>
        <v>CS</v>
      </c>
      <c r="F187" s="13">
        <f>IF(ISERROR(FIND("Count",$A187)),[1]!dtmFileDateInfo(A187),"")</f>
        <v>41896.993217592593</v>
      </c>
      <c r="G187" s="14">
        <f>IF(ISERROR(FIND("Count",$A187)),[1]!lngFileSize(A187),"")</f>
        <v>13956</v>
      </c>
      <c r="H187" s="11" t="str">
        <f>IF(ISERROR(FIND("Count",$A187)),[1]!GetFolder(A187),"")</f>
        <v>C:\Users\DAVE\Documents\Visual Studio 2013\Projects\WizardWrx_Libs\_Deprecated_Libraries\ApplicationHelpers3\ApplicationHelpers3</v>
      </c>
      <c r="I187" s="16" t="s">
        <v>167</v>
      </c>
    </row>
    <row r="188" spans="1:9" outlineLevel="1" x14ac:dyDescent="0.25">
      <c r="A188" s="10" t="s">
        <v>163</v>
      </c>
      <c r="B188" s="11">
        <f>SUBTOTAL(3,B177:B187)</f>
        <v>11</v>
      </c>
      <c r="C188" s="12"/>
      <c r="D188" s="11" t="str">
        <f>IF(ISERROR(FIND("Count",$A188)),[1]!GetFile(A188),"")</f>
        <v/>
      </c>
      <c r="E188" s="15" t="str">
        <f>IF(ISERROR(FIND("Count",$A188)),UPPER(RIGHT([1]!GetExtension(A188),LEN([1]!GetExtension(A188))-1)),"")</f>
        <v/>
      </c>
      <c r="F188" s="13" t="str">
        <f>IF(ISERROR(FIND("Count",$A188)),[1]!dtmFileDateInfo(A188),"")</f>
        <v/>
      </c>
      <c r="G188" s="14" t="str">
        <f>IF(ISERROR(FIND("Count",$A188)),[1]!lngFileSize(A188),"")</f>
        <v/>
      </c>
      <c r="H188" s="11" t="str">
        <f>IF(ISERROR(FIND("Count",$A188)),[1]!GetFolder(A188),"")</f>
        <v/>
      </c>
      <c r="I188" s="16"/>
    </row>
    <row r="189" spans="1:9" outlineLevel="2" x14ac:dyDescent="0.25">
      <c r="A189" s="10" t="s">
        <v>133</v>
      </c>
      <c r="B189" s="11">
        <v>6</v>
      </c>
      <c r="C189" s="12" t="s">
        <v>54</v>
      </c>
      <c r="D189" s="11" t="str">
        <f>IF(ISERROR(FIND("Count",$A189)),[1]!GetFile(A189),"")</f>
        <v>SysDateFormatters.cs</v>
      </c>
      <c r="E189" s="15" t="str">
        <f>IF(ISERROR(FIND("Count",$A189)),UPPER(RIGHT([1]!GetExtension(A189),LEN([1]!GetExtension(A189))-1)),"")</f>
        <v>CS</v>
      </c>
      <c r="F189" s="13">
        <f>IF(ISERROR(FIND("Count",$A189)),[1]!dtmFileDateInfo(A189),"")</f>
        <v>42162.08011574074</v>
      </c>
      <c r="G189" s="14">
        <f>IF(ISERROR(FIND("Count",$A189)),[1]!lngFileSize(A189),"")</f>
        <v>32541</v>
      </c>
      <c r="H189" s="11" t="str">
        <f>IF(ISERROR(FIND("Count",$A189)),[1]!GetFolder(A189),"")</f>
        <v>C:\Users\DAVE\Documents\Visual Studio 2013\Projects\WizardWrx_Libs\_Deprecated_Libraries\ApplicationHelpers3\ApplicationHelpers3</v>
      </c>
      <c r="I189" s="16" t="s">
        <v>167</v>
      </c>
    </row>
    <row r="190" spans="1:9" outlineLevel="2" x14ac:dyDescent="0.25">
      <c r="A190" s="10" t="s">
        <v>133</v>
      </c>
      <c r="B190" s="11">
        <v>108</v>
      </c>
      <c r="C190" s="12" t="s">
        <v>57</v>
      </c>
      <c r="D190" s="11" t="str">
        <f>IF(ISERROR(FIND("Count",$A190)),[1]!GetFile(A190),"")</f>
        <v>SysDateFormatters.cs</v>
      </c>
      <c r="E190" s="15" t="str">
        <f>IF(ISERROR(FIND("Count",$A190)),UPPER(RIGHT([1]!GetExtension(A190),LEN([1]!GetExtension(A190))-1)),"")</f>
        <v>CS</v>
      </c>
      <c r="F190" s="13">
        <f>IF(ISERROR(FIND("Count",$A190)),[1]!dtmFileDateInfo(A190),"")</f>
        <v>42162.08011574074</v>
      </c>
      <c r="G190" s="14">
        <f>IF(ISERROR(FIND("Count",$A190)),[1]!lngFileSize(A190),"")</f>
        <v>32541</v>
      </c>
      <c r="H190" s="11" t="str">
        <f>IF(ISERROR(FIND("Count",$A190)),[1]!GetFolder(A190),"")</f>
        <v>C:\Users\DAVE\Documents\Visual Studio 2013\Projects\WizardWrx_Libs\_Deprecated_Libraries\ApplicationHelpers3\ApplicationHelpers3</v>
      </c>
      <c r="I190" s="16" t="s">
        <v>167</v>
      </c>
    </row>
    <row r="191" spans="1:9" outlineLevel="2" x14ac:dyDescent="0.25">
      <c r="A191" s="10" t="s">
        <v>133</v>
      </c>
      <c r="B191" s="11">
        <v>479</v>
      </c>
      <c r="C191" s="12" t="s">
        <v>115</v>
      </c>
      <c r="D191" s="11" t="str">
        <f>IF(ISERROR(FIND("Count",$A191)),[1]!GetFile(A191),"")</f>
        <v>SysDateFormatters.cs</v>
      </c>
      <c r="E191" s="15" t="str">
        <f>IF(ISERROR(FIND("Count",$A191)),UPPER(RIGHT([1]!GetExtension(A191),LEN([1]!GetExtension(A191))-1)),"")</f>
        <v>CS</v>
      </c>
      <c r="F191" s="13">
        <f>IF(ISERROR(FIND("Count",$A191)),[1]!dtmFileDateInfo(A191),"")</f>
        <v>42162.08011574074</v>
      </c>
      <c r="G191" s="14">
        <f>IF(ISERROR(FIND("Count",$A191)),[1]!lngFileSize(A191),"")</f>
        <v>32541</v>
      </c>
      <c r="H191" s="11" t="str">
        <f>IF(ISERROR(FIND("Count",$A191)),[1]!GetFolder(A191),"")</f>
        <v>C:\Users\DAVE\Documents\Visual Studio 2013\Projects\WizardWrx_Libs\_Deprecated_Libraries\ApplicationHelpers3\ApplicationHelpers3</v>
      </c>
      <c r="I191" s="16" t="s">
        <v>167</v>
      </c>
    </row>
    <row r="192" spans="1:9" outlineLevel="2" x14ac:dyDescent="0.25">
      <c r="A192" s="10" t="s">
        <v>133</v>
      </c>
      <c r="B192" s="11">
        <v>486</v>
      </c>
      <c r="C192" s="12" t="s">
        <v>59</v>
      </c>
      <c r="D192" s="11" t="str">
        <f>IF(ISERROR(FIND("Count",$A192)),[1]!GetFile(A192),"")</f>
        <v>SysDateFormatters.cs</v>
      </c>
      <c r="E192" s="15" t="str">
        <f>IF(ISERROR(FIND("Count",$A192)),UPPER(RIGHT([1]!GetExtension(A192),LEN([1]!GetExtension(A192))-1)),"")</f>
        <v>CS</v>
      </c>
      <c r="F192" s="13">
        <f>IF(ISERROR(FIND("Count",$A192)),[1]!dtmFileDateInfo(A192),"")</f>
        <v>42162.08011574074</v>
      </c>
      <c r="G192" s="14">
        <f>IF(ISERROR(FIND("Count",$A192)),[1]!lngFileSize(A192),"")</f>
        <v>32541</v>
      </c>
      <c r="H192" s="11" t="str">
        <f>IF(ISERROR(FIND("Count",$A192)),[1]!GetFolder(A192),"")</f>
        <v>C:\Users\DAVE\Documents\Visual Studio 2013\Projects\WizardWrx_Libs\_Deprecated_Libraries\ApplicationHelpers3\ApplicationHelpers3</v>
      </c>
      <c r="I192" s="16" t="s">
        <v>167</v>
      </c>
    </row>
    <row r="193" spans="1:9" outlineLevel="2" x14ac:dyDescent="0.25">
      <c r="A193" s="10" t="s">
        <v>133</v>
      </c>
      <c r="B193" s="11">
        <v>572</v>
      </c>
      <c r="C193" s="12" t="s">
        <v>60</v>
      </c>
      <c r="D193" s="11" t="str">
        <f>IF(ISERROR(FIND("Count",$A193)),[1]!GetFile(A193),"")</f>
        <v>SysDateFormatters.cs</v>
      </c>
      <c r="E193" s="15" t="str">
        <f>IF(ISERROR(FIND("Count",$A193)),UPPER(RIGHT([1]!GetExtension(A193),LEN([1]!GetExtension(A193))-1)),"")</f>
        <v>CS</v>
      </c>
      <c r="F193" s="13">
        <f>IF(ISERROR(FIND("Count",$A193)),[1]!dtmFileDateInfo(A193),"")</f>
        <v>42162.08011574074</v>
      </c>
      <c r="G193" s="14">
        <f>IF(ISERROR(FIND("Count",$A193)),[1]!lngFileSize(A193),"")</f>
        <v>32541</v>
      </c>
      <c r="H193" s="11" t="str">
        <f>IF(ISERROR(FIND("Count",$A193)),[1]!GetFolder(A193),"")</f>
        <v>C:\Users\DAVE\Documents\Visual Studio 2013\Projects\WizardWrx_Libs\_Deprecated_Libraries\ApplicationHelpers3\ApplicationHelpers3</v>
      </c>
      <c r="I193" s="16" t="s">
        <v>167</v>
      </c>
    </row>
    <row r="194" spans="1:9" outlineLevel="2" x14ac:dyDescent="0.25">
      <c r="A194" s="10" t="s">
        <v>133</v>
      </c>
      <c r="B194" s="11">
        <v>700</v>
      </c>
      <c r="C194" s="12" t="s">
        <v>134</v>
      </c>
      <c r="D194" s="11" t="str">
        <f>IF(ISERROR(FIND("Count",$A194)),[1]!GetFile(A194),"")</f>
        <v>SysDateFormatters.cs</v>
      </c>
      <c r="E194" s="15" t="str">
        <f>IF(ISERROR(FIND("Count",$A194)),UPPER(RIGHT([1]!GetExtension(A194),LEN([1]!GetExtension(A194))-1)),"")</f>
        <v>CS</v>
      </c>
      <c r="F194" s="13">
        <f>IF(ISERROR(FIND("Count",$A194)),[1]!dtmFileDateInfo(A194),"")</f>
        <v>42162.08011574074</v>
      </c>
      <c r="G194" s="14">
        <f>IF(ISERROR(FIND("Count",$A194)),[1]!lngFileSize(A194),"")</f>
        <v>32541</v>
      </c>
      <c r="H194" s="11" t="str">
        <f>IF(ISERROR(FIND("Count",$A194)),[1]!GetFolder(A194),"")</f>
        <v>C:\Users\DAVE\Documents\Visual Studio 2013\Projects\WizardWrx_Libs\_Deprecated_Libraries\ApplicationHelpers3\ApplicationHelpers3</v>
      </c>
      <c r="I194" s="16" t="s">
        <v>167</v>
      </c>
    </row>
    <row r="195" spans="1:9" outlineLevel="1" x14ac:dyDescent="0.25">
      <c r="A195" s="10" t="s">
        <v>164</v>
      </c>
      <c r="B195" s="11">
        <f>SUBTOTAL(3,B189:B194)</f>
        <v>6</v>
      </c>
      <c r="C195" s="12"/>
      <c r="D195" s="11" t="str">
        <f>IF(ISERROR(FIND("Count",$A195)),[1]!GetFile(A195),"")</f>
        <v/>
      </c>
      <c r="E195" s="15" t="str">
        <f>IF(ISERROR(FIND("Count",$A195)),UPPER(RIGHT([1]!GetExtension(A195),LEN([1]!GetExtension(A195))-1)),"")</f>
        <v/>
      </c>
      <c r="F195" s="13" t="str">
        <f>IF(ISERROR(FIND("Count",$A195)),[1]!dtmFileDateInfo(A195),"")</f>
        <v/>
      </c>
      <c r="G195" s="14" t="str">
        <f>IF(ISERROR(FIND("Count",$A195)),[1]!lngFileSize(A195),"")</f>
        <v/>
      </c>
      <c r="H195" s="11" t="str">
        <f>IF(ISERROR(FIND("Count",$A195)),[1]!GetFolder(A195),"")</f>
        <v/>
      </c>
      <c r="I195" s="16"/>
    </row>
    <row r="196" spans="1:9" outlineLevel="2" x14ac:dyDescent="0.25">
      <c r="A196" s="10" t="s">
        <v>135</v>
      </c>
      <c r="B196" s="11">
        <v>123</v>
      </c>
      <c r="C196" s="12" t="s">
        <v>64</v>
      </c>
      <c r="D196" s="11" t="str">
        <f>IF(ISERROR(FIND("Count",$A196)),[1]!GetFile(A196),"")</f>
        <v>NewClassTests_20140914.cs</v>
      </c>
      <c r="E196" s="15" t="str">
        <f>IF(ISERROR(FIND("Count",$A196)),UPPER(RIGHT([1]!GetExtension(A196),LEN([1]!GetExtension(A196))-1)),"")</f>
        <v>CS</v>
      </c>
      <c r="F196" s="13">
        <f>IF(ISERROR(FIND("Count",$A196)),[1]!dtmFileDateInfo(A196),"")</f>
        <v>41897.622847222221</v>
      </c>
      <c r="G196" s="14">
        <f>IF(ISERROR(FIND("Count",$A196)),[1]!lngFileSize(A196),"")</f>
        <v>34817</v>
      </c>
      <c r="H196" s="11" t="str">
        <f>IF(ISERROR(FIND("Count",$A196)),[1]!GetFolder(A196),"")</f>
        <v>C:\Users\DAVE\Documents\Visual Studio 2013\Projects\WizardWrx_Libs\_Deprecated_Libraries\ApplicationHelpers3\TestStand</v>
      </c>
      <c r="I196" s="16" t="s">
        <v>167</v>
      </c>
    </row>
    <row r="197" spans="1:9" outlineLevel="2" x14ac:dyDescent="0.25">
      <c r="A197" s="10" t="s">
        <v>135</v>
      </c>
      <c r="B197" s="11">
        <v>124</v>
      </c>
      <c r="C197" s="12" t="s">
        <v>136</v>
      </c>
      <c r="D197" s="11" t="str">
        <f>IF(ISERROR(FIND("Count",$A197)),[1]!GetFile(A197),"")</f>
        <v>NewClassTests_20140914.cs</v>
      </c>
      <c r="E197" s="15" t="str">
        <f>IF(ISERROR(FIND("Count",$A197)),UPPER(RIGHT([1]!GetExtension(A197),LEN([1]!GetExtension(A197))-1)),"")</f>
        <v>CS</v>
      </c>
      <c r="F197" s="13">
        <f>IF(ISERROR(FIND("Count",$A197)),[1]!dtmFileDateInfo(A197),"")</f>
        <v>41897.622847222221</v>
      </c>
      <c r="G197" s="14">
        <f>IF(ISERROR(FIND("Count",$A197)),[1]!lngFileSize(A197),"")</f>
        <v>34817</v>
      </c>
      <c r="H197" s="11" t="str">
        <f>IF(ISERROR(FIND("Count",$A197)),[1]!GetFolder(A197),"")</f>
        <v>C:\Users\DAVE\Documents\Visual Studio 2013\Projects\WizardWrx_Libs\_Deprecated_Libraries\ApplicationHelpers3\TestStand</v>
      </c>
      <c r="I197" s="16" t="s">
        <v>167</v>
      </c>
    </row>
    <row r="198" spans="1:9" outlineLevel="1" x14ac:dyDescent="0.25">
      <c r="A198" s="10" t="s">
        <v>165</v>
      </c>
      <c r="B198" s="11">
        <f>SUBTOTAL(3,B196:B197)</f>
        <v>2</v>
      </c>
      <c r="C198" s="12"/>
      <c r="D198" s="11" t="str">
        <f>IF(ISERROR(FIND("Count",$A198)),[1]!GetFile(A198),"")</f>
        <v/>
      </c>
      <c r="E198" s="15" t="str">
        <f>IF(ISERROR(FIND("Count",$A198)),UPPER(RIGHT([1]!GetExtension(A198),LEN([1]!GetExtension(A198))-1)),"")</f>
        <v/>
      </c>
      <c r="F198" s="13" t="str">
        <f>IF(ISERROR(FIND("Count",$A198)),[1]!dtmFileDateInfo(A198),"")</f>
        <v/>
      </c>
      <c r="G198" s="14" t="str">
        <f>IF(ISERROR(FIND("Count",$A198)),[1]!lngFileSize(A198),"")</f>
        <v/>
      </c>
      <c r="H198" s="11" t="str">
        <f>IF(ISERROR(FIND("Count",$A198)),[1]!GetFolder(A198),"")</f>
        <v/>
      </c>
      <c r="I198" s="16"/>
    </row>
    <row r="199" spans="1:9" outlineLevel="2" x14ac:dyDescent="0.25">
      <c r="A199" s="10" t="s">
        <v>137</v>
      </c>
      <c r="B199" s="11">
        <v>910</v>
      </c>
      <c r="C199" s="12" t="s">
        <v>77</v>
      </c>
      <c r="D199" s="11" t="str">
        <f>IF(ISERROR(FIND("Count",$A199)),[1]!GetFile(A199),"")</f>
        <v>Program.cs</v>
      </c>
      <c r="E199" s="15" t="str">
        <f>IF(ISERROR(FIND("Count",$A199)),UPPER(RIGHT([1]!GetExtension(A199),LEN([1]!GetExtension(A199))-1)),"")</f>
        <v>CS</v>
      </c>
      <c r="F199" s="13">
        <f>IF(ISERROR(FIND("Count",$A199)),[1]!dtmFileDateInfo(A199),"")</f>
        <v>42161.941446759258</v>
      </c>
      <c r="G199" s="14">
        <f>IF(ISERROR(FIND("Count",$A199)),[1]!lngFileSize(A199),"")</f>
        <v>129175</v>
      </c>
      <c r="H199" s="11" t="str">
        <f>IF(ISERROR(FIND("Count",$A199)),[1]!GetFolder(A199),"")</f>
        <v>C:\Users\DAVE\Documents\Visual Studio 2013\Projects\WizardWrx_Libs\_Deprecated_Libraries\ApplicationHelpers3\TestStand</v>
      </c>
      <c r="I199" s="16" t="s">
        <v>167</v>
      </c>
    </row>
    <row r="200" spans="1:9" outlineLevel="2" x14ac:dyDescent="0.25">
      <c r="A200" s="10" t="s">
        <v>137</v>
      </c>
      <c r="B200" s="11">
        <v>925</v>
      </c>
      <c r="C200" s="12" t="s">
        <v>78</v>
      </c>
      <c r="D200" s="11" t="str">
        <f>IF(ISERROR(FIND("Count",$A200)),[1]!GetFile(A200),"")</f>
        <v>Program.cs</v>
      </c>
      <c r="E200" s="15" t="str">
        <f>IF(ISERROR(FIND("Count",$A200)),UPPER(RIGHT([1]!GetExtension(A200),LEN([1]!GetExtension(A200))-1)),"")</f>
        <v>CS</v>
      </c>
      <c r="F200" s="13">
        <f>IF(ISERROR(FIND("Count",$A200)),[1]!dtmFileDateInfo(A200),"")</f>
        <v>42161.941446759258</v>
      </c>
      <c r="G200" s="14">
        <f>IF(ISERROR(FIND("Count",$A200)),[1]!lngFileSize(A200),"")</f>
        <v>129175</v>
      </c>
      <c r="H200" s="11" t="str">
        <f>IF(ISERROR(FIND("Count",$A200)),[1]!GetFolder(A200),"")</f>
        <v>C:\Users\DAVE\Documents\Visual Studio 2013\Projects\WizardWrx_Libs\_Deprecated_Libraries\ApplicationHelpers3\TestStand</v>
      </c>
      <c r="I200" s="16" t="s">
        <v>167</v>
      </c>
    </row>
    <row r="201" spans="1:9" outlineLevel="2" x14ac:dyDescent="0.25">
      <c r="A201" s="10" t="s">
        <v>137</v>
      </c>
      <c r="B201" s="11">
        <v>928</v>
      </c>
      <c r="C201" s="12" t="s">
        <v>79</v>
      </c>
      <c r="D201" s="11" t="str">
        <f>IF(ISERROR(FIND("Count",$A201)),[1]!GetFile(A201),"")</f>
        <v>Program.cs</v>
      </c>
      <c r="E201" s="15" t="str">
        <f>IF(ISERROR(FIND("Count",$A201)),UPPER(RIGHT([1]!GetExtension(A201),LEN([1]!GetExtension(A201))-1)),"")</f>
        <v>CS</v>
      </c>
      <c r="F201" s="13">
        <f>IF(ISERROR(FIND("Count",$A201)),[1]!dtmFileDateInfo(A201),"")</f>
        <v>42161.941446759258</v>
      </c>
      <c r="G201" s="14">
        <f>IF(ISERROR(FIND("Count",$A201)),[1]!lngFileSize(A201),"")</f>
        <v>129175</v>
      </c>
      <c r="H201" s="11" t="str">
        <f>IF(ISERROR(FIND("Count",$A201)),[1]!GetFolder(A201),"")</f>
        <v>C:\Users\DAVE\Documents\Visual Studio 2013\Projects\WizardWrx_Libs\_Deprecated_Libraries\ApplicationHelpers3\TestStand</v>
      </c>
      <c r="I201" s="16" t="s">
        <v>167</v>
      </c>
    </row>
    <row r="202" spans="1:9" outlineLevel="2" x14ac:dyDescent="0.25">
      <c r="A202" s="10" t="s">
        <v>137</v>
      </c>
      <c r="B202" s="11">
        <v>931</v>
      </c>
      <c r="C202" s="12" t="s">
        <v>79</v>
      </c>
      <c r="D202" s="11" t="str">
        <f>IF(ISERROR(FIND("Count",$A202)),[1]!GetFile(A202),"")</f>
        <v>Program.cs</v>
      </c>
      <c r="E202" s="15" t="str">
        <f>IF(ISERROR(FIND("Count",$A202)),UPPER(RIGHT([1]!GetExtension(A202),LEN([1]!GetExtension(A202))-1)),"")</f>
        <v>CS</v>
      </c>
      <c r="F202" s="13">
        <f>IF(ISERROR(FIND("Count",$A202)),[1]!dtmFileDateInfo(A202),"")</f>
        <v>42161.941446759258</v>
      </c>
      <c r="G202" s="14">
        <f>IF(ISERROR(FIND("Count",$A202)),[1]!lngFileSize(A202),"")</f>
        <v>129175</v>
      </c>
      <c r="H202" s="11" t="str">
        <f>IF(ISERROR(FIND("Count",$A202)),[1]!GetFolder(A202),"")</f>
        <v>C:\Users\DAVE\Documents\Visual Studio 2013\Projects\WizardWrx_Libs\_Deprecated_Libraries\ApplicationHelpers3\TestStand</v>
      </c>
      <c r="I202" s="16" t="s">
        <v>167</v>
      </c>
    </row>
    <row r="203" spans="1:9" outlineLevel="2" x14ac:dyDescent="0.25">
      <c r="A203" s="10" t="s">
        <v>137</v>
      </c>
      <c r="B203" s="11">
        <v>934</v>
      </c>
      <c r="C203" s="12" t="s">
        <v>79</v>
      </c>
      <c r="D203" s="11" t="str">
        <f>IF(ISERROR(FIND("Count",$A203)),[1]!GetFile(A203),"")</f>
        <v>Program.cs</v>
      </c>
      <c r="E203" s="15" t="str">
        <f>IF(ISERROR(FIND("Count",$A203)),UPPER(RIGHT([1]!GetExtension(A203),LEN([1]!GetExtension(A203))-1)),"")</f>
        <v>CS</v>
      </c>
      <c r="F203" s="13">
        <f>IF(ISERROR(FIND("Count",$A203)),[1]!dtmFileDateInfo(A203),"")</f>
        <v>42161.941446759258</v>
      </c>
      <c r="G203" s="14">
        <f>IF(ISERROR(FIND("Count",$A203)),[1]!lngFileSize(A203),"")</f>
        <v>129175</v>
      </c>
      <c r="H203" s="11" t="str">
        <f>IF(ISERROR(FIND("Count",$A203)),[1]!GetFolder(A203),"")</f>
        <v>C:\Users\DAVE\Documents\Visual Studio 2013\Projects\WizardWrx_Libs\_Deprecated_Libraries\ApplicationHelpers3\TestStand</v>
      </c>
      <c r="I203" s="16" t="s">
        <v>167</v>
      </c>
    </row>
    <row r="204" spans="1:9" outlineLevel="2" x14ac:dyDescent="0.25">
      <c r="A204" s="10" t="s">
        <v>137</v>
      </c>
      <c r="B204" s="11">
        <v>2115</v>
      </c>
      <c r="C204" s="12" t="s">
        <v>80</v>
      </c>
      <c r="D204" s="11" t="str">
        <f>IF(ISERROR(FIND("Count",$A204)),[1]!GetFile(A204),"")</f>
        <v>Program.cs</v>
      </c>
      <c r="E204" s="15" t="str">
        <f>IF(ISERROR(FIND("Count",$A204)),UPPER(RIGHT([1]!GetExtension(A204),LEN([1]!GetExtension(A204))-1)),"")</f>
        <v>CS</v>
      </c>
      <c r="F204" s="13">
        <f>IF(ISERROR(FIND("Count",$A204)),[1]!dtmFileDateInfo(A204),"")</f>
        <v>42161.941446759258</v>
      </c>
      <c r="G204" s="14">
        <f>IF(ISERROR(FIND("Count",$A204)),[1]!lngFileSize(A204),"")</f>
        <v>129175</v>
      </c>
      <c r="H204" s="11" t="str">
        <f>IF(ISERROR(FIND("Count",$A204)),[1]!GetFolder(A204),"")</f>
        <v>C:\Users\DAVE\Documents\Visual Studio 2013\Projects\WizardWrx_Libs\_Deprecated_Libraries\ApplicationHelpers3\TestStand</v>
      </c>
      <c r="I204" s="16" t="s">
        <v>167</v>
      </c>
    </row>
    <row r="205" spans="1:9" outlineLevel="2" x14ac:dyDescent="0.25">
      <c r="A205" s="10" t="s">
        <v>137</v>
      </c>
      <c r="B205" s="11">
        <v>2139</v>
      </c>
      <c r="C205" s="12" t="s">
        <v>81</v>
      </c>
      <c r="D205" s="11" t="str">
        <f>IF(ISERROR(FIND("Count",$A205)),[1]!GetFile(A205),"")</f>
        <v>Program.cs</v>
      </c>
      <c r="E205" s="15" t="str">
        <f>IF(ISERROR(FIND("Count",$A205)),UPPER(RIGHT([1]!GetExtension(A205),LEN([1]!GetExtension(A205))-1)),"")</f>
        <v>CS</v>
      </c>
      <c r="F205" s="13">
        <f>IF(ISERROR(FIND("Count",$A205)),[1]!dtmFileDateInfo(A205),"")</f>
        <v>42161.941446759258</v>
      </c>
      <c r="G205" s="14">
        <f>IF(ISERROR(FIND("Count",$A205)),[1]!lngFileSize(A205),"")</f>
        <v>129175</v>
      </c>
      <c r="H205" s="11" t="str">
        <f>IF(ISERROR(FIND("Count",$A205)),[1]!GetFolder(A205),"")</f>
        <v>C:\Users\DAVE\Documents\Visual Studio 2013\Projects\WizardWrx_Libs\_Deprecated_Libraries\ApplicationHelpers3\TestStand</v>
      </c>
      <c r="I205" s="16" t="s">
        <v>167</v>
      </c>
    </row>
    <row r="206" spans="1:9" outlineLevel="2" x14ac:dyDescent="0.25">
      <c r="A206" s="10" t="s">
        <v>137</v>
      </c>
      <c r="B206" s="11">
        <v>2141</v>
      </c>
      <c r="C206" s="12" t="s">
        <v>82</v>
      </c>
      <c r="D206" s="11" t="str">
        <f>IF(ISERROR(FIND("Count",$A206)),[1]!GetFile(A206),"")</f>
        <v>Program.cs</v>
      </c>
      <c r="E206" s="15" t="str">
        <f>IF(ISERROR(FIND("Count",$A206)),UPPER(RIGHT([1]!GetExtension(A206),LEN([1]!GetExtension(A206))-1)),"")</f>
        <v>CS</v>
      </c>
      <c r="F206" s="13">
        <f>IF(ISERROR(FIND("Count",$A206)),[1]!dtmFileDateInfo(A206),"")</f>
        <v>42161.941446759258</v>
      </c>
      <c r="G206" s="14">
        <f>IF(ISERROR(FIND("Count",$A206)),[1]!lngFileSize(A206),"")</f>
        <v>129175</v>
      </c>
      <c r="H206" s="11" t="str">
        <f>IF(ISERROR(FIND("Count",$A206)),[1]!GetFolder(A206),"")</f>
        <v>C:\Users\DAVE\Documents\Visual Studio 2013\Projects\WizardWrx_Libs\_Deprecated_Libraries\ApplicationHelpers3\TestStand</v>
      </c>
      <c r="I206" s="16" t="s">
        <v>167</v>
      </c>
    </row>
    <row r="207" spans="1:9" outlineLevel="2" x14ac:dyDescent="0.25">
      <c r="A207" s="10" t="s">
        <v>137</v>
      </c>
      <c r="B207" s="11">
        <v>2142</v>
      </c>
      <c r="C207" s="12" t="s">
        <v>83</v>
      </c>
      <c r="D207" s="11" t="str">
        <f>IF(ISERROR(FIND("Count",$A207)),[1]!GetFile(A207),"")</f>
        <v>Program.cs</v>
      </c>
      <c r="E207" s="15" t="str">
        <f>IF(ISERROR(FIND("Count",$A207)),UPPER(RIGHT([1]!GetExtension(A207),LEN([1]!GetExtension(A207))-1)),"")</f>
        <v>CS</v>
      </c>
      <c r="F207" s="13">
        <f>IF(ISERROR(FIND("Count",$A207)),[1]!dtmFileDateInfo(A207),"")</f>
        <v>42161.941446759258</v>
      </c>
      <c r="G207" s="14">
        <f>IF(ISERROR(FIND("Count",$A207)),[1]!lngFileSize(A207),"")</f>
        <v>129175</v>
      </c>
      <c r="H207" s="11" t="str">
        <f>IF(ISERROR(FIND("Count",$A207)),[1]!GetFolder(A207),"")</f>
        <v>C:\Users\DAVE\Documents\Visual Studio 2013\Projects\WizardWrx_Libs\_Deprecated_Libraries\ApplicationHelpers3\TestStand</v>
      </c>
      <c r="I207" s="16" t="s">
        <v>167</v>
      </c>
    </row>
    <row r="208" spans="1:9" outlineLevel="2" x14ac:dyDescent="0.25">
      <c r="A208" s="10" t="s">
        <v>137</v>
      </c>
      <c r="B208" s="11">
        <v>2143</v>
      </c>
      <c r="C208" s="12" t="s">
        <v>84</v>
      </c>
      <c r="D208" s="11" t="str">
        <f>IF(ISERROR(FIND("Count",$A208)),[1]!GetFile(A208),"")</f>
        <v>Program.cs</v>
      </c>
      <c r="E208" s="15" t="str">
        <f>IF(ISERROR(FIND("Count",$A208)),UPPER(RIGHT([1]!GetExtension(A208),LEN([1]!GetExtension(A208))-1)),"")</f>
        <v>CS</v>
      </c>
      <c r="F208" s="13">
        <f>IF(ISERROR(FIND("Count",$A208)),[1]!dtmFileDateInfo(A208),"")</f>
        <v>42161.941446759258</v>
      </c>
      <c r="G208" s="14">
        <f>IF(ISERROR(FIND("Count",$A208)),[1]!lngFileSize(A208),"")</f>
        <v>129175</v>
      </c>
      <c r="H208" s="11" t="str">
        <f>IF(ISERROR(FIND("Count",$A208)),[1]!GetFolder(A208),"")</f>
        <v>C:\Users\DAVE\Documents\Visual Studio 2013\Projects\WizardWrx_Libs\_Deprecated_Libraries\ApplicationHelpers3\TestStand</v>
      </c>
      <c r="I208" s="16" t="s">
        <v>167</v>
      </c>
    </row>
    <row r="209" spans="1:9" outlineLevel="2" x14ac:dyDescent="0.25">
      <c r="A209" s="10" t="s">
        <v>137</v>
      </c>
      <c r="B209" s="11">
        <v>2145</v>
      </c>
      <c r="C209" s="12" t="s">
        <v>85</v>
      </c>
      <c r="D209" s="11" t="str">
        <f>IF(ISERROR(FIND("Count",$A209)),[1]!GetFile(A209),"")</f>
        <v>Program.cs</v>
      </c>
      <c r="E209" s="15" t="str">
        <f>IF(ISERROR(FIND("Count",$A209)),UPPER(RIGHT([1]!GetExtension(A209),LEN([1]!GetExtension(A209))-1)),"")</f>
        <v>CS</v>
      </c>
      <c r="F209" s="13">
        <f>IF(ISERROR(FIND("Count",$A209)),[1]!dtmFileDateInfo(A209),"")</f>
        <v>42161.941446759258</v>
      </c>
      <c r="G209" s="14">
        <f>IF(ISERROR(FIND("Count",$A209)),[1]!lngFileSize(A209),"")</f>
        <v>129175</v>
      </c>
      <c r="H209" s="11" t="str">
        <f>IF(ISERROR(FIND("Count",$A209)),[1]!GetFolder(A209),"")</f>
        <v>C:\Users\DAVE\Documents\Visual Studio 2013\Projects\WizardWrx_Libs\_Deprecated_Libraries\ApplicationHelpers3\TestStand</v>
      </c>
      <c r="I209" s="16" t="s">
        <v>167</v>
      </c>
    </row>
    <row r="210" spans="1:9" outlineLevel="2" x14ac:dyDescent="0.25">
      <c r="A210" s="10" t="s">
        <v>137</v>
      </c>
      <c r="B210" s="11">
        <v>2146</v>
      </c>
      <c r="C210" s="12" t="s">
        <v>86</v>
      </c>
      <c r="D210" s="11" t="str">
        <f>IF(ISERROR(FIND("Count",$A210)),[1]!GetFile(A210),"")</f>
        <v>Program.cs</v>
      </c>
      <c r="E210" s="15" t="str">
        <f>IF(ISERROR(FIND("Count",$A210)),UPPER(RIGHT([1]!GetExtension(A210),LEN([1]!GetExtension(A210))-1)),"")</f>
        <v>CS</v>
      </c>
      <c r="F210" s="13">
        <f>IF(ISERROR(FIND("Count",$A210)),[1]!dtmFileDateInfo(A210),"")</f>
        <v>42161.941446759258</v>
      </c>
      <c r="G210" s="14">
        <f>IF(ISERROR(FIND("Count",$A210)),[1]!lngFileSize(A210),"")</f>
        <v>129175</v>
      </c>
      <c r="H210" s="11" t="str">
        <f>IF(ISERROR(FIND("Count",$A210)),[1]!GetFolder(A210),"")</f>
        <v>C:\Users\DAVE\Documents\Visual Studio 2013\Projects\WizardWrx_Libs\_Deprecated_Libraries\ApplicationHelpers3\TestStand</v>
      </c>
      <c r="I210" s="16" t="s">
        <v>167</v>
      </c>
    </row>
    <row r="211" spans="1:9" outlineLevel="2" x14ac:dyDescent="0.25">
      <c r="A211" s="10" t="s">
        <v>137</v>
      </c>
      <c r="B211" s="11">
        <v>2148</v>
      </c>
      <c r="C211" s="12" t="s">
        <v>87</v>
      </c>
      <c r="D211" s="11" t="str">
        <f>IF(ISERROR(FIND("Count",$A211)),[1]!GetFile(A211),"")</f>
        <v>Program.cs</v>
      </c>
      <c r="E211" s="15" t="str">
        <f>IF(ISERROR(FIND("Count",$A211)),UPPER(RIGHT([1]!GetExtension(A211),LEN([1]!GetExtension(A211))-1)),"")</f>
        <v>CS</v>
      </c>
      <c r="F211" s="13">
        <f>IF(ISERROR(FIND("Count",$A211)),[1]!dtmFileDateInfo(A211),"")</f>
        <v>42161.941446759258</v>
      </c>
      <c r="G211" s="14">
        <f>IF(ISERROR(FIND("Count",$A211)),[1]!lngFileSize(A211),"")</f>
        <v>129175</v>
      </c>
      <c r="H211" s="11" t="str">
        <f>IF(ISERROR(FIND("Count",$A211)),[1]!GetFolder(A211),"")</f>
        <v>C:\Users\DAVE\Documents\Visual Studio 2013\Projects\WizardWrx_Libs\_Deprecated_Libraries\ApplicationHelpers3\TestStand</v>
      </c>
      <c r="I211" s="16" t="s">
        <v>167</v>
      </c>
    </row>
    <row r="212" spans="1:9" outlineLevel="2" x14ac:dyDescent="0.25">
      <c r="A212" s="10" t="s">
        <v>137</v>
      </c>
      <c r="B212" s="11">
        <v>2149</v>
      </c>
      <c r="C212" s="12" t="s">
        <v>88</v>
      </c>
      <c r="D212" s="11" t="str">
        <f>IF(ISERROR(FIND("Count",$A212)),[1]!GetFile(A212),"")</f>
        <v>Program.cs</v>
      </c>
      <c r="E212" s="15" t="str">
        <f>IF(ISERROR(FIND("Count",$A212)),UPPER(RIGHT([1]!GetExtension(A212),LEN([1]!GetExtension(A212))-1)),"")</f>
        <v>CS</v>
      </c>
      <c r="F212" s="13">
        <f>IF(ISERROR(FIND("Count",$A212)),[1]!dtmFileDateInfo(A212),"")</f>
        <v>42161.941446759258</v>
      </c>
      <c r="G212" s="14">
        <f>IF(ISERROR(FIND("Count",$A212)),[1]!lngFileSize(A212),"")</f>
        <v>129175</v>
      </c>
      <c r="H212" s="11" t="str">
        <f>IF(ISERROR(FIND("Count",$A212)),[1]!GetFolder(A212),"")</f>
        <v>C:\Users\DAVE\Documents\Visual Studio 2013\Projects\WizardWrx_Libs\_Deprecated_Libraries\ApplicationHelpers3\TestStand</v>
      </c>
      <c r="I212" s="16" t="s">
        <v>167</v>
      </c>
    </row>
    <row r="213" spans="1:9" outlineLevel="2" x14ac:dyDescent="0.25">
      <c r="A213" s="10" t="s">
        <v>137</v>
      </c>
      <c r="B213" s="11">
        <v>2151</v>
      </c>
      <c r="C213" s="12" t="s">
        <v>89</v>
      </c>
      <c r="D213" s="11" t="str">
        <f>IF(ISERROR(FIND("Count",$A213)),[1]!GetFile(A213),"")</f>
        <v>Program.cs</v>
      </c>
      <c r="E213" s="15" t="str">
        <f>IF(ISERROR(FIND("Count",$A213)),UPPER(RIGHT([1]!GetExtension(A213),LEN([1]!GetExtension(A213))-1)),"")</f>
        <v>CS</v>
      </c>
      <c r="F213" s="13">
        <f>IF(ISERROR(FIND("Count",$A213)),[1]!dtmFileDateInfo(A213),"")</f>
        <v>42161.941446759258</v>
      </c>
      <c r="G213" s="14">
        <f>IF(ISERROR(FIND("Count",$A213)),[1]!lngFileSize(A213),"")</f>
        <v>129175</v>
      </c>
      <c r="H213" s="11" t="str">
        <f>IF(ISERROR(FIND("Count",$A213)),[1]!GetFolder(A213),"")</f>
        <v>C:\Users\DAVE\Documents\Visual Studio 2013\Projects\WizardWrx_Libs\_Deprecated_Libraries\ApplicationHelpers3\TestStand</v>
      </c>
      <c r="I213" s="16" t="s">
        <v>167</v>
      </c>
    </row>
    <row r="214" spans="1:9" outlineLevel="2" x14ac:dyDescent="0.25">
      <c r="A214" s="10" t="s">
        <v>137</v>
      </c>
      <c r="B214" s="11">
        <v>2152</v>
      </c>
      <c r="C214" s="12" t="s">
        <v>90</v>
      </c>
      <c r="D214" s="11" t="str">
        <f>IF(ISERROR(FIND("Count",$A214)),[1]!GetFile(A214),"")</f>
        <v>Program.cs</v>
      </c>
      <c r="E214" s="15" t="str">
        <f>IF(ISERROR(FIND("Count",$A214)),UPPER(RIGHT([1]!GetExtension(A214),LEN([1]!GetExtension(A214))-1)),"")</f>
        <v>CS</v>
      </c>
      <c r="F214" s="13">
        <f>IF(ISERROR(FIND("Count",$A214)),[1]!dtmFileDateInfo(A214),"")</f>
        <v>42161.941446759258</v>
      </c>
      <c r="G214" s="14">
        <f>IF(ISERROR(FIND("Count",$A214)),[1]!lngFileSize(A214),"")</f>
        <v>129175</v>
      </c>
      <c r="H214" s="11" t="str">
        <f>IF(ISERROR(FIND("Count",$A214)),[1]!GetFolder(A214),"")</f>
        <v>C:\Users\DAVE\Documents\Visual Studio 2013\Projects\WizardWrx_Libs\_Deprecated_Libraries\ApplicationHelpers3\TestStand</v>
      </c>
      <c r="I214" s="16" t="s">
        <v>167</v>
      </c>
    </row>
    <row r="215" spans="1:9" outlineLevel="2" x14ac:dyDescent="0.25">
      <c r="A215" s="10" t="s">
        <v>137</v>
      </c>
      <c r="B215" s="11">
        <v>2154</v>
      </c>
      <c r="C215" s="12" t="s">
        <v>91</v>
      </c>
      <c r="D215" s="11" t="str">
        <f>IF(ISERROR(FIND("Count",$A215)),[1]!GetFile(A215),"")</f>
        <v>Program.cs</v>
      </c>
      <c r="E215" s="15" t="str">
        <f>IF(ISERROR(FIND("Count",$A215)),UPPER(RIGHT([1]!GetExtension(A215),LEN([1]!GetExtension(A215))-1)),"")</f>
        <v>CS</v>
      </c>
      <c r="F215" s="13">
        <f>IF(ISERROR(FIND("Count",$A215)),[1]!dtmFileDateInfo(A215),"")</f>
        <v>42161.941446759258</v>
      </c>
      <c r="G215" s="14">
        <f>IF(ISERROR(FIND("Count",$A215)),[1]!lngFileSize(A215),"")</f>
        <v>129175</v>
      </c>
      <c r="H215" s="11" t="str">
        <f>IF(ISERROR(FIND("Count",$A215)),[1]!GetFolder(A215),"")</f>
        <v>C:\Users\DAVE\Documents\Visual Studio 2013\Projects\WizardWrx_Libs\_Deprecated_Libraries\ApplicationHelpers3\TestStand</v>
      </c>
      <c r="I215" s="16" t="s">
        <v>167</v>
      </c>
    </row>
    <row r="216" spans="1:9" outlineLevel="2" x14ac:dyDescent="0.25">
      <c r="A216" s="10" t="s">
        <v>137</v>
      </c>
      <c r="B216" s="11">
        <v>2155</v>
      </c>
      <c r="C216" s="12" t="s">
        <v>92</v>
      </c>
      <c r="D216" s="11" t="str">
        <f>IF(ISERROR(FIND("Count",$A216)),[1]!GetFile(A216),"")</f>
        <v>Program.cs</v>
      </c>
      <c r="E216" s="15" t="str">
        <f>IF(ISERROR(FIND("Count",$A216)),UPPER(RIGHT([1]!GetExtension(A216),LEN([1]!GetExtension(A216))-1)),"")</f>
        <v>CS</v>
      </c>
      <c r="F216" s="13">
        <f>IF(ISERROR(FIND("Count",$A216)),[1]!dtmFileDateInfo(A216),"")</f>
        <v>42161.941446759258</v>
      </c>
      <c r="G216" s="14">
        <f>IF(ISERROR(FIND("Count",$A216)),[1]!lngFileSize(A216),"")</f>
        <v>129175</v>
      </c>
      <c r="H216" s="11" t="str">
        <f>IF(ISERROR(FIND("Count",$A216)),[1]!GetFolder(A216),"")</f>
        <v>C:\Users\DAVE\Documents\Visual Studio 2013\Projects\WizardWrx_Libs\_Deprecated_Libraries\ApplicationHelpers3\TestStand</v>
      </c>
      <c r="I216" s="16" t="s">
        <v>167</v>
      </c>
    </row>
    <row r="217" spans="1:9" outlineLevel="2" x14ac:dyDescent="0.25">
      <c r="A217" s="10" t="s">
        <v>137</v>
      </c>
      <c r="B217" s="11">
        <v>2157</v>
      </c>
      <c r="C217" s="12" t="s">
        <v>93</v>
      </c>
      <c r="D217" s="11" t="str">
        <f>IF(ISERROR(FIND("Count",$A217)),[1]!GetFile(A217),"")</f>
        <v>Program.cs</v>
      </c>
      <c r="E217" s="15" t="str">
        <f>IF(ISERROR(FIND("Count",$A217)),UPPER(RIGHT([1]!GetExtension(A217),LEN([1]!GetExtension(A217))-1)),"")</f>
        <v>CS</v>
      </c>
      <c r="F217" s="13">
        <f>IF(ISERROR(FIND("Count",$A217)),[1]!dtmFileDateInfo(A217),"")</f>
        <v>42161.941446759258</v>
      </c>
      <c r="G217" s="14">
        <f>IF(ISERROR(FIND("Count",$A217)),[1]!lngFileSize(A217),"")</f>
        <v>129175</v>
      </c>
      <c r="H217" s="11" t="str">
        <f>IF(ISERROR(FIND("Count",$A217)),[1]!GetFolder(A217),"")</f>
        <v>C:\Users\DAVE\Documents\Visual Studio 2013\Projects\WizardWrx_Libs\_Deprecated_Libraries\ApplicationHelpers3\TestStand</v>
      </c>
      <c r="I217" s="16" t="s">
        <v>167</v>
      </c>
    </row>
    <row r="218" spans="1:9" outlineLevel="2" x14ac:dyDescent="0.25">
      <c r="A218" s="10" t="s">
        <v>137</v>
      </c>
      <c r="B218" s="11">
        <v>2158</v>
      </c>
      <c r="C218" s="12" t="s">
        <v>94</v>
      </c>
      <c r="D218" s="11" t="str">
        <f>IF(ISERROR(FIND("Count",$A218)),[1]!GetFile(A218),"")</f>
        <v>Program.cs</v>
      </c>
      <c r="E218" s="15" t="str">
        <f>IF(ISERROR(FIND("Count",$A218)),UPPER(RIGHT([1]!GetExtension(A218),LEN([1]!GetExtension(A218))-1)),"")</f>
        <v>CS</v>
      </c>
      <c r="F218" s="13">
        <f>IF(ISERROR(FIND("Count",$A218)),[1]!dtmFileDateInfo(A218),"")</f>
        <v>42161.941446759258</v>
      </c>
      <c r="G218" s="14">
        <f>IF(ISERROR(FIND("Count",$A218)),[1]!lngFileSize(A218),"")</f>
        <v>129175</v>
      </c>
      <c r="H218" s="11" t="str">
        <f>IF(ISERROR(FIND("Count",$A218)),[1]!GetFolder(A218),"")</f>
        <v>C:\Users\DAVE\Documents\Visual Studio 2013\Projects\WizardWrx_Libs\_Deprecated_Libraries\ApplicationHelpers3\TestStand</v>
      </c>
      <c r="I218" s="16" t="s">
        <v>167</v>
      </c>
    </row>
    <row r="219" spans="1:9" outlineLevel="2" x14ac:dyDescent="0.25">
      <c r="A219" s="10" t="s">
        <v>137</v>
      </c>
      <c r="B219" s="11">
        <v>2159</v>
      </c>
      <c r="C219" s="12" t="s">
        <v>95</v>
      </c>
      <c r="D219" s="11" t="str">
        <f>IF(ISERROR(FIND("Count",$A219)),[1]!GetFile(A219),"")</f>
        <v>Program.cs</v>
      </c>
      <c r="E219" s="15" t="str">
        <f>IF(ISERROR(FIND("Count",$A219)),UPPER(RIGHT([1]!GetExtension(A219),LEN([1]!GetExtension(A219))-1)),"")</f>
        <v>CS</v>
      </c>
      <c r="F219" s="13">
        <f>IF(ISERROR(FIND("Count",$A219)),[1]!dtmFileDateInfo(A219),"")</f>
        <v>42161.941446759258</v>
      </c>
      <c r="G219" s="14">
        <f>IF(ISERROR(FIND("Count",$A219)),[1]!lngFileSize(A219),"")</f>
        <v>129175</v>
      </c>
      <c r="H219" s="11" t="str">
        <f>IF(ISERROR(FIND("Count",$A219)),[1]!GetFolder(A219),"")</f>
        <v>C:\Users\DAVE\Documents\Visual Studio 2013\Projects\WizardWrx_Libs\_Deprecated_Libraries\ApplicationHelpers3\TestStand</v>
      </c>
      <c r="I219" s="16" t="s">
        <v>167</v>
      </c>
    </row>
    <row r="220" spans="1:9" outlineLevel="2" x14ac:dyDescent="0.25">
      <c r="A220" s="10" t="s">
        <v>137</v>
      </c>
      <c r="B220" s="11">
        <v>2174</v>
      </c>
      <c r="C220" s="12" t="s">
        <v>96</v>
      </c>
      <c r="D220" s="11" t="str">
        <f>IF(ISERROR(FIND("Count",$A220)),[1]!GetFile(A220),"")</f>
        <v>Program.cs</v>
      </c>
      <c r="E220" s="15" t="str">
        <f>IF(ISERROR(FIND("Count",$A220)),UPPER(RIGHT([1]!GetExtension(A220),LEN([1]!GetExtension(A220))-1)),"")</f>
        <v>CS</v>
      </c>
      <c r="F220" s="13">
        <f>IF(ISERROR(FIND("Count",$A220)),[1]!dtmFileDateInfo(A220),"")</f>
        <v>42161.941446759258</v>
      </c>
      <c r="G220" s="14">
        <f>IF(ISERROR(FIND("Count",$A220)),[1]!lngFileSize(A220),"")</f>
        <v>129175</v>
      </c>
      <c r="H220" s="11" t="str">
        <f>IF(ISERROR(FIND("Count",$A220)),[1]!GetFolder(A220),"")</f>
        <v>C:\Users\DAVE\Documents\Visual Studio 2013\Projects\WizardWrx_Libs\_Deprecated_Libraries\ApplicationHelpers3\TestStand</v>
      </c>
      <c r="I220" s="16" t="s">
        <v>167</v>
      </c>
    </row>
    <row r="221" spans="1:9" outlineLevel="2" x14ac:dyDescent="0.25">
      <c r="A221" s="10" t="s">
        <v>137</v>
      </c>
      <c r="B221" s="11">
        <v>2206</v>
      </c>
      <c r="C221" s="12" t="s">
        <v>97</v>
      </c>
      <c r="D221" s="11" t="str">
        <f>IF(ISERROR(FIND("Count",$A221)),[1]!GetFile(A221),"")</f>
        <v>Program.cs</v>
      </c>
      <c r="E221" s="15" t="str">
        <f>IF(ISERROR(FIND("Count",$A221)),UPPER(RIGHT([1]!GetExtension(A221),LEN([1]!GetExtension(A221))-1)),"")</f>
        <v>CS</v>
      </c>
      <c r="F221" s="13">
        <f>IF(ISERROR(FIND("Count",$A221)),[1]!dtmFileDateInfo(A221),"")</f>
        <v>42161.941446759258</v>
      </c>
      <c r="G221" s="14">
        <f>IF(ISERROR(FIND("Count",$A221)),[1]!lngFileSize(A221),"")</f>
        <v>129175</v>
      </c>
      <c r="H221" s="11" t="str">
        <f>IF(ISERROR(FIND("Count",$A221)),[1]!GetFolder(A221),"")</f>
        <v>C:\Users\DAVE\Documents\Visual Studio 2013\Projects\WizardWrx_Libs\_Deprecated_Libraries\ApplicationHelpers3\TestStand</v>
      </c>
      <c r="I221" s="16" t="s">
        <v>167</v>
      </c>
    </row>
    <row r="222" spans="1:9" outlineLevel="2" x14ac:dyDescent="0.25">
      <c r="A222" s="10" t="s">
        <v>137</v>
      </c>
      <c r="B222" s="11">
        <v>2208</v>
      </c>
      <c r="C222" s="12" t="s">
        <v>98</v>
      </c>
      <c r="D222" s="11" t="str">
        <f>IF(ISERROR(FIND("Count",$A222)),[1]!GetFile(A222),"")</f>
        <v>Program.cs</v>
      </c>
      <c r="E222" s="15" t="str">
        <f>IF(ISERROR(FIND("Count",$A222)),UPPER(RIGHT([1]!GetExtension(A222),LEN([1]!GetExtension(A222))-1)),"")</f>
        <v>CS</v>
      </c>
      <c r="F222" s="13">
        <f>IF(ISERROR(FIND("Count",$A222)),[1]!dtmFileDateInfo(A222),"")</f>
        <v>42161.941446759258</v>
      </c>
      <c r="G222" s="14">
        <f>IF(ISERROR(FIND("Count",$A222)),[1]!lngFileSize(A222),"")</f>
        <v>129175</v>
      </c>
      <c r="H222" s="11" t="str">
        <f>IF(ISERROR(FIND("Count",$A222)),[1]!GetFolder(A222),"")</f>
        <v>C:\Users\DAVE\Documents\Visual Studio 2013\Projects\WizardWrx_Libs\_Deprecated_Libraries\ApplicationHelpers3\TestStand</v>
      </c>
      <c r="I222" s="16" t="s">
        <v>167</v>
      </c>
    </row>
    <row r="223" spans="1:9" outlineLevel="2" x14ac:dyDescent="0.25">
      <c r="A223" s="10" t="s">
        <v>137</v>
      </c>
      <c r="B223" s="11">
        <v>2210</v>
      </c>
      <c r="C223" s="12" t="s">
        <v>138</v>
      </c>
      <c r="D223" s="11" t="str">
        <f>IF(ISERROR(FIND("Count",$A223)),[1]!GetFile(A223),"")</f>
        <v>Program.cs</v>
      </c>
      <c r="E223" s="15" t="str">
        <f>IF(ISERROR(FIND("Count",$A223)),UPPER(RIGHT([1]!GetExtension(A223),LEN([1]!GetExtension(A223))-1)),"")</f>
        <v>CS</v>
      </c>
      <c r="F223" s="13">
        <f>IF(ISERROR(FIND("Count",$A223)),[1]!dtmFileDateInfo(A223),"")</f>
        <v>42161.941446759258</v>
      </c>
      <c r="G223" s="14">
        <f>IF(ISERROR(FIND("Count",$A223)),[1]!lngFileSize(A223),"")</f>
        <v>129175</v>
      </c>
      <c r="H223" s="11" t="str">
        <f>IF(ISERROR(FIND("Count",$A223)),[1]!GetFolder(A223),"")</f>
        <v>C:\Users\DAVE\Documents\Visual Studio 2013\Projects\WizardWrx_Libs\_Deprecated_Libraries\ApplicationHelpers3\TestStand</v>
      </c>
      <c r="I223" s="16" t="s">
        <v>167</v>
      </c>
    </row>
    <row r="224" spans="1:9" outlineLevel="1" x14ac:dyDescent="0.25">
      <c r="A224" s="10" t="s">
        <v>166</v>
      </c>
      <c r="B224" s="11">
        <f>SUBTOTAL(3,B199:B223)</f>
        <v>25</v>
      </c>
      <c r="C224" s="12"/>
      <c r="D224" s="11" t="str">
        <f>IF(ISERROR(FIND("Count",$A224)),[1]!GetFile(A224),"")</f>
        <v/>
      </c>
      <c r="E224" s="15" t="str">
        <f>IF(ISERROR(FIND("Count",$A224)),UPPER(RIGHT([1]!GetExtension(A224),LEN([1]!GetExtension(A224))-1)),"")</f>
        <v/>
      </c>
      <c r="F224" s="13" t="str">
        <f>IF(ISERROR(FIND("Count",$A224)),[1]!dtmFileDateInfo(A224),"")</f>
        <v/>
      </c>
      <c r="G224" s="14" t="str">
        <f>IF(ISERROR(FIND("Count",$A224)),[1]!lngFileSize(A224),"")</f>
        <v/>
      </c>
      <c r="H224" s="11" t="str">
        <f>IF(ISERROR(FIND("Count",$A224)),[1]!GetFolder(A224),"")</f>
        <v/>
      </c>
      <c r="I224" s="16"/>
    </row>
    <row r="225" spans="1:10" x14ac:dyDescent="0.25">
      <c r="A225" s="10" t="s">
        <v>142</v>
      </c>
      <c r="B225" s="11">
        <f>SUBTOTAL(3,B7:B223)</f>
        <v>193</v>
      </c>
      <c r="C225" s="12"/>
      <c r="D225" s="11" t="str">
        <f>IF(ISERROR(FIND("Count",$A225)),[1]!GetFile(A225),"")</f>
        <v/>
      </c>
      <c r="E225" s="15" t="str">
        <f>IF(ISERROR(FIND("Count",$A225)),UPPER(RIGHT([1]!GetExtension(A225),LEN([1]!GetExtension(A225))-1)),"")</f>
        <v/>
      </c>
      <c r="F225" s="13" t="str">
        <f>IF(ISERROR(FIND("Count",$A225)),[1]!dtmFileDateInfo(A225),"")</f>
        <v/>
      </c>
      <c r="G225" s="14" t="str">
        <f>IF(ISERROR(FIND("Count",$A225)),[1]!lngFileSize(A225),"")</f>
        <v/>
      </c>
      <c r="H225" s="11" t="str">
        <f>IF(ISERROR(FIND("Count",$A225)),[1]!GetFolder(A225),"")</f>
        <v/>
      </c>
      <c r="I225" s="16"/>
    </row>
    <row r="226" spans="1:10" x14ac:dyDescent="0.25">
      <c r="I226" s="17"/>
    </row>
    <row r="227" spans="1:10" x14ac:dyDescent="0.25">
      <c r="I227" s="21">
        <f>COUNTIF(Source_File_Statuses,J227)</f>
        <v>157</v>
      </c>
      <c r="J227" s="21" t="str">
        <f>Source_File_Status_Obsolete_Frozen</f>
        <v>Obsolete (Frozen)</v>
      </c>
    </row>
    <row r="228" spans="1:10" x14ac:dyDescent="0.25">
      <c r="I228" s="19">
        <f>COUNTIF(Source_File_Statuses,J228)</f>
        <v>35</v>
      </c>
      <c r="J228" s="19" t="str">
        <f>Source_File_Status_Will_Break</f>
        <v>Will Break</v>
      </c>
    </row>
    <row r="229" spans="1:10" x14ac:dyDescent="0.25">
      <c r="I229" s="20">
        <f>COUNTIF(Source_File_Statuses,J229)</f>
        <v>0</v>
      </c>
      <c r="J229" s="20" t="str">
        <f>Source_File_Status_Fixed</f>
        <v>Fixed</v>
      </c>
    </row>
    <row r="231" spans="1:10" ht="18" x14ac:dyDescent="0.25">
      <c r="I231" s="9">
        <f>SUM(I226:I230)</f>
        <v>192</v>
      </c>
      <c r="J231" s="9" t="s">
        <v>170</v>
      </c>
    </row>
  </sheetData>
  <conditionalFormatting sqref="A7:H7">
    <cfRule type="expression" dxfId="35" priority="22">
      <formula>FIND("Count",$A7)</formula>
    </cfRule>
  </conditionalFormatting>
  <conditionalFormatting sqref="I7">
    <cfRule type="expression" dxfId="34" priority="20">
      <formula>FIND("Count",$A7)</formula>
    </cfRule>
  </conditionalFormatting>
  <conditionalFormatting sqref="I2">
    <cfRule type="expression" dxfId="33" priority="19">
      <formula>FIND("Count",$A2)</formula>
    </cfRule>
  </conditionalFormatting>
  <conditionalFormatting sqref="I3">
    <cfRule type="expression" dxfId="32" priority="18">
      <formula>FIND("Count",$A3)</formula>
    </cfRule>
  </conditionalFormatting>
  <conditionalFormatting sqref="I4">
    <cfRule type="expression" dxfId="31" priority="17">
      <formula>FIND("Count",$A4)</formula>
    </cfRule>
  </conditionalFormatting>
  <conditionalFormatting sqref="A7:I7">
    <cfRule type="expression" dxfId="30" priority="14">
      <formula>$I7=Source_File_Status_Fixed</formula>
    </cfRule>
    <cfRule type="expression" dxfId="29" priority="15">
      <formula>$I7=Source_File_Status_Will_Break</formula>
    </cfRule>
    <cfRule type="expression" dxfId="28" priority="16">
      <formula>$I7=Source_File_Status_Obsolete_Frozen</formula>
    </cfRule>
  </conditionalFormatting>
  <conditionalFormatting sqref="A8:H225">
    <cfRule type="expression" dxfId="27" priority="13">
      <formula>FIND("Count",$A8)</formula>
    </cfRule>
  </conditionalFormatting>
  <conditionalFormatting sqref="I8:I225">
    <cfRule type="expression" dxfId="26" priority="12">
      <formula>FIND("Count",$A8)</formula>
    </cfRule>
  </conditionalFormatting>
  <conditionalFormatting sqref="A8:I225">
    <cfRule type="expression" dxfId="25" priority="9">
      <formula>$I8=Source_File_Status_Fixed</formula>
    </cfRule>
    <cfRule type="expression" dxfId="24" priority="10">
      <formula>$I8=Source_File_Status_Will_Break</formula>
    </cfRule>
    <cfRule type="expression" dxfId="23" priority="11">
      <formula>$I8=Source_File_Status_Obsolete_Frozen</formula>
    </cfRule>
  </conditionalFormatting>
  <conditionalFormatting sqref="I227">
    <cfRule type="expression" dxfId="22" priority="8">
      <formula>FIND("Count",$A227)</formula>
    </cfRule>
  </conditionalFormatting>
  <conditionalFormatting sqref="I228">
    <cfRule type="expression" dxfId="21" priority="7">
      <formula>FIND("Count",$A228)</formula>
    </cfRule>
  </conditionalFormatting>
  <conditionalFormatting sqref="I229">
    <cfRule type="expression" dxfId="20" priority="6">
      <formula>FIND("Count",$A229)</formula>
    </cfRule>
  </conditionalFormatting>
  <conditionalFormatting sqref="J227">
    <cfRule type="expression" dxfId="19" priority="5">
      <formula>FIND("Count",$A227)</formula>
    </cfRule>
  </conditionalFormatting>
  <conditionalFormatting sqref="J228">
    <cfRule type="expression" dxfId="18" priority="4">
      <formula>FIND("Count",$A228)</formula>
    </cfRule>
  </conditionalFormatting>
  <conditionalFormatting sqref="J229">
    <cfRule type="expression" dxfId="17" priority="3">
      <formula>FIND("Count",$A229)</formula>
    </cfRule>
  </conditionalFormatting>
  <dataValidations count="1">
    <dataValidation type="list" allowBlank="1" showInputMessage="1" showErrorMessage="1" sqref="I7:I225">
      <formula1>Source_Code_Status_Choices</formula1>
    </dataValidation>
  </dataValidations>
  <pageMargins left="0.7" right="0.7" top="0.75" bottom="0.75" header="0.3" footer="0.3"/>
  <pageSetup orientation="portrait" horizontalDpi="0"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6" tint="-0.499984740745262"/>
  </sheetPr>
  <dimension ref="A1:E15"/>
  <sheetViews>
    <sheetView workbookViewId="0">
      <pane xSplit="1" ySplit="1" topLeftCell="B2" activePane="bottomRight" state="frozen"/>
      <selection pane="topRight" activeCell="B1" sqref="B1"/>
      <selection pane="bottomLeft" activeCell="A2" sqref="A2"/>
      <selection pane="bottomRight" activeCell="A2" sqref="A2"/>
    </sheetView>
  </sheetViews>
  <sheetFormatPr defaultRowHeight="15" x14ac:dyDescent="0.25"/>
  <cols>
    <col min="1" max="1" width="125.125" bestFit="1" customWidth="1"/>
    <col min="2" max="2" width="96.5" bestFit="1" customWidth="1"/>
    <col min="4" max="4" width="6.875" bestFit="1" customWidth="1"/>
    <col min="5" max="5" width="20.125" bestFit="1" customWidth="1"/>
  </cols>
  <sheetData>
    <row r="1" spans="1:5" ht="15.75" x14ac:dyDescent="0.25">
      <c r="A1" s="59" t="s">
        <v>420</v>
      </c>
      <c r="B1" s="59" t="s">
        <v>419</v>
      </c>
      <c r="C1" s="59" t="s">
        <v>418</v>
      </c>
      <c r="D1" s="60" t="s">
        <v>13</v>
      </c>
      <c r="E1" s="59" t="s">
        <v>417</v>
      </c>
    </row>
    <row r="2" spans="1:5" x14ac:dyDescent="0.25">
      <c r="A2" s="58" t="s">
        <v>416</v>
      </c>
      <c r="B2" s="58" t="s">
        <v>415</v>
      </c>
      <c r="C2" s="57" t="s">
        <v>388</v>
      </c>
      <c r="D2" s="56">
        <v>11776</v>
      </c>
      <c r="E2" s="55">
        <v>40480.858495370368</v>
      </c>
    </row>
    <row r="3" spans="1:5" x14ac:dyDescent="0.25">
      <c r="A3" s="58" t="s">
        <v>414</v>
      </c>
      <c r="B3" s="58" t="s">
        <v>413</v>
      </c>
      <c r="C3" s="57" t="s">
        <v>388</v>
      </c>
      <c r="D3" s="56">
        <v>11776</v>
      </c>
      <c r="E3" s="55">
        <v>40480.858495370368</v>
      </c>
    </row>
    <row r="4" spans="1:5" x14ac:dyDescent="0.25">
      <c r="A4" s="58" t="s">
        <v>412</v>
      </c>
      <c r="B4" s="58" t="s">
        <v>411</v>
      </c>
      <c r="C4" s="57" t="s">
        <v>388</v>
      </c>
      <c r="D4" s="56">
        <v>11776</v>
      </c>
      <c r="E4" s="55">
        <v>40480.858495370368</v>
      </c>
    </row>
    <row r="5" spans="1:5" x14ac:dyDescent="0.25">
      <c r="A5" s="58" t="s">
        <v>410</v>
      </c>
      <c r="B5" s="58" t="s">
        <v>409</v>
      </c>
      <c r="C5" s="57" t="s">
        <v>388</v>
      </c>
      <c r="D5" s="56">
        <v>11776</v>
      </c>
      <c r="E5" s="55">
        <v>40480.858495370368</v>
      </c>
    </row>
    <row r="6" spans="1:5" x14ac:dyDescent="0.25">
      <c r="A6" s="58" t="s">
        <v>408</v>
      </c>
      <c r="B6" s="58" t="s">
        <v>407</v>
      </c>
      <c r="C6" s="57" t="s">
        <v>388</v>
      </c>
      <c r="D6" s="56">
        <v>11776</v>
      </c>
      <c r="E6" s="55">
        <v>40480.858495370368</v>
      </c>
    </row>
    <row r="7" spans="1:5" x14ac:dyDescent="0.25">
      <c r="A7" s="58" t="s">
        <v>406</v>
      </c>
      <c r="B7" s="58" t="s">
        <v>405</v>
      </c>
      <c r="C7" s="57" t="s">
        <v>388</v>
      </c>
      <c r="D7" s="56">
        <v>11776</v>
      </c>
      <c r="E7" s="55">
        <v>40480.858495370368</v>
      </c>
    </row>
    <row r="8" spans="1:5" x14ac:dyDescent="0.25">
      <c r="A8" s="58" t="s">
        <v>404</v>
      </c>
      <c r="B8" s="58" t="s">
        <v>403</v>
      </c>
      <c r="C8" s="57" t="s">
        <v>388</v>
      </c>
      <c r="D8" s="56">
        <v>11776</v>
      </c>
      <c r="E8" s="55">
        <v>40480.858495370368</v>
      </c>
    </row>
    <row r="9" spans="1:5" x14ac:dyDescent="0.25">
      <c r="A9" s="58" t="s">
        <v>402</v>
      </c>
      <c r="B9" s="58" t="s">
        <v>401</v>
      </c>
      <c r="C9" s="57" t="s">
        <v>388</v>
      </c>
      <c r="D9" s="56">
        <v>11776</v>
      </c>
      <c r="E9" s="55">
        <v>40480.858495370368</v>
      </c>
    </row>
    <row r="10" spans="1:5" x14ac:dyDescent="0.25">
      <c r="A10" s="58" t="s">
        <v>400</v>
      </c>
      <c r="B10" s="58" t="s">
        <v>399</v>
      </c>
      <c r="C10" s="57" t="s">
        <v>388</v>
      </c>
      <c r="D10" s="56">
        <v>11776</v>
      </c>
      <c r="E10" s="55">
        <v>40480.858495370368</v>
      </c>
    </row>
    <row r="11" spans="1:5" x14ac:dyDescent="0.25">
      <c r="A11" s="58" t="s">
        <v>398</v>
      </c>
      <c r="B11" s="58" t="s">
        <v>397</v>
      </c>
      <c r="C11" s="57" t="s">
        <v>388</v>
      </c>
      <c r="D11" s="56">
        <v>11776</v>
      </c>
      <c r="E11" s="55">
        <v>40480.858495370368</v>
      </c>
    </row>
    <row r="12" spans="1:5" x14ac:dyDescent="0.25">
      <c r="A12" s="58" t="s">
        <v>396</v>
      </c>
      <c r="B12" s="58" t="s">
        <v>395</v>
      </c>
      <c r="C12" s="57" t="s">
        <v>388</v>
      </c>
      <c r="D12" s="56">
        <v>11776</v>
      </c>
      <c r="E12" s="55">
        <v>40480.77516203704</v>
      </c>
    </row>
    <row r="13" spans="1:5" x14ac:dyDescent="0.25">
      <c r="A13" s="58" t="s">
        <v>394</v>
      </c>
      <c r="B13" s="58" t="s">
        <v>393</v>
      </c>
      <c r="C13" s="57" t="s">
        <v>388</v>
      </c>
      <c r="D13" s="56">
        <v>11776</v>
      </c>
      <c r="E13" s="55">
        <v>40480.858495370368</v>
      </c>
    </row>
    <row r="14" spans="1:5" x14ac:dyDescent="0.25">
      <c r="A14" s="58" t="s">
        <v>392</v>
      </c>
      <c r="B14" s="58" t="s">
        <v>391</v>
      </c>
      <c r="C14" s="57" t="s">
        <v>388</v>
      </c>
      <c r="D14" s="56">
        <v>11776</v>
      </c>
      <c r="E14" s="55">
        <v>40480.858495370368</v>
      </c>
    </row>
    <row r="15" spans="1:5" x14ac:dyDescent="0.25">
      <c r="A15" s="58" t="s">
        <v>390</v>
      </c>
      <c r="B15" s="58" t="s">
        <v>389</v>
      </c>
      <c r="C15" s="57" t="s">
        <v>388</v>
      </c>
      <c r="D15" s="56">
        <v>11776</v>
      </c>
      <c r="E15" s="55">
        <v>40480.858495370368</v>
      </c>
    </row>
  </sheetData>
  <pageMargins left="0.7" right="0.7" top="0.75" bottom="0.75" header="0.3" footer="0.3"/>
  <pageSetup orientation="portrait" horizontalDpi="0"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workbookViewId="0">
      <pane xSplit="1" ySplit="1" topLeftCell="H2" activePane="bottomRight" state="frozen"/>
      <selection pane="topRight" activeCell="B1" sqref="B1"/>
      <selection pane="bottomLeft" activeCell="A2" sqref="A2"/>
      <selection pane="bottomRight" activeCell="H2" sqref="H2:H10"/>
    </sheetView>
  </sheetViews>
  <sheetFormatPr defaultRowHeight="15" x14ac:dyDescent="0.25"/>
  <cols>
    <col min="1" max="1" width="99.25" bestFit="1" customWidth="1"/>
    <col min="2" max="2" width="77.25" bestFit="1" customWidth="1"/>
    <col min="3" max="3" width="33.625" bestFit="1" customWidth="1"/>
    <col min="5" max="7" width="20.125" bestFit="1" customWidth="1"/>
    <col min="8" max="8" width="170.75" bestFit="1" customWidth="1"/>
  </cols>
  <sheetData>
    <row r="1" spans="1:8" ht="18" x14ac:dyDescent="0.25">
      <c r="A1" s="76" t="s">
        <v>429</v>
      </c>
      <c r="B1" s="76" t="s">
        <v>431</v>
      </c>
      <c r="C1" s="76" t="s">
        <v>468</v>
      </c>
      <c r="D1" s="76" t="s">
        <v>13</v>
      </c>
      <c r="E1" s="76" t="s">
        <v>467</v>
      </c>
      <c r="F1" s="76" t="s">
        <v>417</v>
      </c>
      <c r="G1" s="76" t="s">
        <v>466</v>
      </c>
      <c r="H1" s="76" t="s">
        <v>465</v>
      </c>
    </row>
    <row r="2" spans="1:8" x14ac:dyDescent="0.25">
      <c r="A2" s="75" t="s">
        <v>464</v>
      </c>
      <c r="B2" s="75" t="s">
        <v>463</v>
      </c>
      <c r="C2" s="63" t="s">
        <v>452</v>
      </c>
      <c r="D2" s="74">
        <v>8766</v>
      </c>
      <c r="E2" s="73">
        <v>42789.117523148147</v>
      </c>
      <c r="F2" s="73">
        <v>42787.084189814814</v>
      </c>
      <c r="G2" s="73">
        <v>42788.084236111114</v>
      </c>
      <c r="H2" s="63" t="str">
        <f t="shared" ref="H2:H10" si="0">CONCATENATE("sdelete.exe -a",CHAR(32),CHAR(34),A2,CHAR(34))</f>
        <v>sdelete.exe -a "C:\Users\DAVE\Documents\Visual Studio 2013\Projects\WizardWrx_Libs\DLLServices2\ConfigurationManagement\bin\Debug\WizardWrx.DLLServices2.dll.config"</v>
      </c>
    </row>
    <row r="3" spans="1:8" x14ac:dyDescent="0.25">
      <c r="A3" s="72" t="s">
        <v>462</v>
      </c>
      <c r="B3" s="72" t="s">
        <v>461</v>
      </c>
      <c r="C3" s="69" t="s">
        <v>445</v>
      </c>
      <c r="D3" s="71">
        <v>8468</v>
      </c>
      <c r="E3" s="70">
        <v>42789.117523148147</v>
      </c>
      <c r="F3" s="70">
        <v>42526.806111111109</v>
      </c>
      <c r="G3" s="70">
        <v>42786.016238425924</v>
      </c>
      <c r="H3" s="69" t="str">
        <f t="shared" si="0"/>
        <v>sdelete.exe -a "C:\Users\DAVE\Documents\Visual Studio 2013\Projects\WizardWrx_Libs\DLLServices2\DLLServices2\bin\Debug\WizardWrx.DLLServices2.dll.config"</v>
      </c>
    </row>
    <row r="4" spans="1:8" x14ac:dyDescent="0.25">
      <c r="A4" s="72" t="s">
        <v>460</v>
      </c>
      <c r="B4" s="72" t="s">
        <v>459</v>
      </c>
      <c r="C4" s="69" t="s">
        <v>445</v>
      </c>
      <c r="D4" s="71">
        <v>8468</v>
      </c>
      <c r="E4" s="70">
        <v>42789.117523148147</v>
      </c>
      <c r="F4" s="70">
        <v>42526.806111111109</v>
      </c>
      <c r="G4" s="70">
        <v>41928.572025462963</v>
      </c>
      <c r="H4" s="69" t="str">
        <f t="shared" si="0"/>
        <v>sdelete.exe -a "C:\Users\DAVE\Documents\Visual Studio 2013\Projects\WizardWrx_Libs\DLLServices2\DLLServices2\bin\Release\WizardWrx.DLLServices2.dll.config"</v>
      </c>
    </row>
    <row r="5" spans="1:8" x14ac:dyDescent="0.25">
      <c r="A5" s="72" t="s">
        <v>458</v>
      </c>
      <c r="B5" s="72" t="s">
        <v>457</v>
      </c>
      <c r="C5" s="69" t="s">
        <v>445</v>
      </c>
      <c r="D5" s="71">
        <v>8468</v>
      </c>
      <c r="E5" s="70">
        <v>42789.117523148147</v>
      </c>
      <c r="F5" s="70">
        <v>42526.806111111109</v>
      </c>
      <c r="G5" s="70">
        <v>41928.572025462963</v>
      </c>
      <c r="H5" s="69" t="str">
        <f t="shared" si="0"/>
        <v>sdelete.exe -a "C:\Users\DAVE\Documents\Visual Studio 2013\Projects\WizardWrx_Libs\DLLServices2\DLLServices2\obj\Debug\WizardWrx.DLLServices2.dll.config"</v>
      </c>
    </row>
    <row r="6" spans="1:8" x14ac:dyDescent="0.25">
      <c r="A6" s="72" t="s">
        <v>456</v>
      </c>
      <c r="B6" s="72" t="s">
        <v>455</v>
      </c>
      <c r="C6" s="69" t="s">
        <v>445</v>
      </c>
      <c r="D6" s="71">
        <v>8468</v>
      </c>
      <c r="E6" s="70">
        <v>42789.117523148147</v>
      </c>
      <c r="F6" s="70">
        <v>42526.806111111109</v>
      </c>
      <c r="G6" s="70">
        <v>41928.572025462963</v>
      </c>
      <c r="H6" s="69" t="str">
        <f t="shared" si="0"/>
        <v>sdelete.exe -a "C:\Users\DAVE\Documents\Visual Studio 2013\Projects\WizardWrx_Libs\DLLServices2\DLLServices2\obj\Release\WizardWrx.DLLServices2.dll.config"</v>
      </c>
    </row>
    <row r="7" spans="1:8" x14ac:dyDescent="0.25">
      <c r="A7" s="72" t="s">
        <v>454</v>
      </c>
      <c r="B7" s="72" t="s">
        <v>453</v>
      </c>
      <c r="C7" s="69" t="s">
        <v>452</v>
      </c>
      <c r="D7" s="71">
        <v>8766</v>
      </c>
      <c r="E7" s="70">
        <v>42789.117523148147</v>
      </c>
      <c r="F7" s="70">
        <v>42787.084189814814</v>
      </c>
      <c r="G7" s="70">
        <v>42786.062268518515</v>
      </c>
      <c r="H7" s="69" t="str">
        <f t="shared" si="0"/>
        <v>sdelete.exe -a "C:\Users\DAVE\Documents\Visual Studio 2013\Projects\WizardWrx_Libs\DLLServices2\DLLServices2TestStand\bin\Debug\WizardWrx.DLLServices2.dll.config"</v>
      </c>
    </row>
    <row r="8" spans="1:8" x14ac:dyDescent="0.25">
      <c r="A8" s="72" t="s">
        <v>451</v>
      </c>
      <c r="B8" s="72" t="s">
        <v>450</v>
      </c>
      <c r="C8" s="69" t="s">
        <v>445</v>
      </c>
      <c r="D8" s="71">
        <v>8468</v>
      </c>
      <c r="E8" s="70">
        <v>42789.117523148147</v>
      </c>
      <c r="F8" s="70">
        <v>42526.806111111109</v>
      </c>
      <c r="G8" s="70">
        <v>41928.572025462963</v>
      </c>
      <c r="H8" s="69" t="str">
        <f t="shared" si="0"/>
        <v>sdelete.exe -a "C:\Users\DAVE\Documents\Visual Studio 2013\Projects\WizardWrx_Libs\DLLServices2\DLLServices2TestStand\bin\Release\WizardWrx.DLLServices2.dll.config"</v>
      </c>
    </row>
    <row r="9" spans="1:8" x14ac:dyDescent="0.25">
      <c r="A9" s="72" t="s">
        <v>449</v>
      </c>
      <c r="B9" s="72" t="s">
        <v>448</v>
      </c>
      <c r="C9" s="69" t="s">
        <v>445</v>
      </c>
      <c r="D9" s="71">
        <v>8468</v>
      </c>
      <c r="E9" s="70">
        <v>42789.117523148147</v>
      </c>
      <c r="F9" s="70">
        <v>42526.806111111109</v>
      </c>
      <c r="G9" s="70">
        <v>41928.572025462963</v>
      </c>
      <c r="H9" s="69" t="str">
        <f t="shared" si="0"/>
        <v>sdelete.exe -a "C:\Users\DAVE\Documents\Visual Studio 2013\Projects\WizardWrx_Libs\DLLServices2\RedirectedStreamTester\bin\Debug\WizardWrx.DLLServices2.dll.config"</v>
      </c>
    </row>
    <row r="10" spans="1:8" x14ac:dyDescent="0.25">
      <c r="A10" s="72" t="s">
        <v>447</v>
      </c>
      <c r="B10" s="72" t="s">
        <v>446</v>
      </c>
      <c r="C10" s="69" t="s">
        <v>445</v>
      </c>
      <c r="D10" s="71">
        <v>8468</v>
      </c>
      <c r="E10" s="70">
        <v>42789.117523148147</v>
      </c>
      <c r="F10" s="70">
        <v>42526.806111111109</v>
      </c>
      <c r="G10" s="70">
        <v>41928.572025462963</v>
      </c>
      <c r="H10" s="69" t="str">
        <f t="shared" si="0"/>
        <v>sdelete.exe -a "C:\Users\DAVE\Documents\Visual Studio 2013\Projects\WizardWrx_Libs\DLLServices2\RedirectedStreamTester\bin\Release\WizardWrx.DLLServices2.dll.config"</v>
      </c>
    </row>
  </sheetData>
  <pageMargins left="0.7" right="0.7" top="0.75" bottom="0.75" header="0.3" footer="0.3"/>
  <pageSetup orientation="portrait" horizontalDpi="0"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Views>
    <sheetView topLeftCell="H1" workbookViewId="0">
      <selection activeCell="H1" sqref="H1"/>
    </sheetView>
  </sheetViews>
  <sheetFormatPr defaultRowHeight="15" outlineLevelRow="2" x14ac:dyDescent="0.25"/>
  <cols>
    <col min="2" max="2" width="108.875" bestFit="1" customWidth="1"/>
    <col min="3" max="3" width="55.25" bestFit="1" customWidth="1"/>
    <col min="4" max="4" width="20.125" bestFit="1" customWidth="1"/>
    <col min="7" max="7" width="50.625" customWidth="1"/>
    <col min="8" max="8" width="176.875" bestFit="1" customWidth="1"/>
  </cols>
  <sheetData>
    <row r="1" spans="1:8" ht="18" x14ac:dyDescent="0.25">
      <c r="A1" s="77" t="s">
        <v>429</v>
      </c>
      <c r="B1" s="77" t="s">
        <v>431</v>
      </c>
      <c r="C1" s="77" t="s">
        <v>432</v>
      </c>
      <c r="D1" s="77" t="s">
        <v>566</v>
      </c>
      <c r="E1" s="77" t="s">
        <v>484</v>
      </c>
      <c r="F1" s="77" t="s">
        <v>11</v>
      </c>
      <c r="G1" s="86" t="s">
        <v>10</v>
      </c>
      <c r="H1" s="77" t="s">
        <v>485</v>
      </c>
    </row>
    <row r="2" spans="1:8" outlineLevel="2" x14ac:dyDescent="0.25">
      <c r="A2" s="78" t="s">
        <v>469</v>
      </c>
      <c r="B2" s="78" t="s">
        <v>486</v>
      </c>
      <c r="C2" s="78" t="s">
        <v>491</v>
      </c>
      <c r="D2" s="79">
        <v>42790.615914351853</v>
      </c>
      <c r="E2" s="80">
        <v>2016</v>
      </c>
      <c r="F2" s="84" t="s">
        <v>444</v>
      </c>
      <c r="G2" s="286" t="s">
        <v>504</v>
      </c>
      <c r="H2" s="78" t="s">
        <v>470</v>
      </c>
    </row>
    <row r="3" spans="1:8" outlineLevel="2" x14ac:dyDescent="0.25">
      <c r="A3" s="81" t="s">
        <v>469</v>
      </c>
      <c r="B3" s="81" t="s">
        <v>486</v>
      </c>
      <c r="C3" s="81" t="s">
        <v>491</v>
      </c>
      <c r="D3" s="82">
        <v>42790.615914351853</v>
      </c>
      <c r="E3" s="83">
        <v>2120</v>
      </c>
      <c r="F3" s="85" t="s">
        <v>444</v>
      </c>
      <c r="G3" s="287"/>
      <c r="H3" s="81" t="s">
        <v>471</v>
      </c>
    </row>
    <row r="4" spans="1:8" ht="42.75" outlineLevel="2" x14ac:dyDescent="0.25">
      <c r="A4" s="81" t="s">
        <v>469</v>
      </c>
      <c r="B4" s="81" t="s">
        <v>486</v>
      </c>
      <c r="C4" s="81" t="s">
        <v>491</v>
      </c>
      <c r="D4" s="82">
        <v>42790.615914351853</v>
      </c>
      <c r="E4" s="83">
        <v>2132</v>
      </c>
      <c r="F4" s="85" t="s">
        <v>444</v>
      </c>
      <c r="G4" s="87" t="s">
        <v>505</v>
      </c>
      <c r="H4" s="81" t="s">
        <v>472</v>
      </c>
    </row>
    <row r="5" spans="1:8" ht="42.75" customHeight="1" outlineLevel="2" x14ac:dyDescent="0.25">
      <c r="A5" s="81" t="s">
        <v>469</v>
      </c>
      <c r="B5" s="81" t="s">
        <v>486</v>
      </c>
      <c r="C5" s="81" t="s">
        <v>491</v>
      </c>
      <c r="D5" s="82">
        <v>42790.615914351853</v>
      </c>
      <c r="E5" s="83">
        <v>2136</v>
      </c>
      <c r="F5" s="85" t="s">
        <v>444</v>
      </c>
      <c r="G5" s="288" t="s">
        <v>506</v>
      </c>
      <c r="H5" s="81" t="s">
        <v>471</v>
      </c>
    </row>
    <row r="6" spans="1:8" outlineLevel="2" x14ac:dyDescent="0.25">
      <c r="A6" s="81" t="s">
        <v>469</v>
      </c>
      <c r="B6" s="81" t="s">
        <v>486</v>
      </c>
      <c r="C6" s="81" t="s">
        <v>491</v>
      </c>
      <c r="D6" s="82">
        <v>42790.615914351853</v>
      </c>
      <c r="E6" s="83">
        <v>2139</v>
      </c>
      <c r="F6" s="85" t="s">
        <v>444</v>
      </c>
      <c r="G6" s="287"/>
      <c r="H6" s="81" t="s">
        <v>471</v>
      </c>
    </row>
    <row r="7" spans="1:8" outlineLevel="1" x14ac:dyDescent="0.25">
      <c r="A7" s="81" t="s">
        <v>498</v>
      </c>
      <c r="B7" s="81"/>
      <c r="C7" s="81"/>
      <c r="D7" s="82"/>
      <c r="E7" s="83">
        <f>SUBTOTAL(3,E2:E6)</f>
        <v>5</v>
      </c>
      <c r="F7" s="85"/>
      <c r="G7" s="87"/>
      <c r="H7" s="81"/>
    </row>
    <row r="8" spans="1:8" outlineLevel="2" x14ac:dyDescent="0.25">
      <c r="A8" s="81" t="s">
        <v>473</v>
      </c>
      <c r="B8" s="81" t="s">
        <v>487</v>
      </c>
      <c r="C8" s="81" t="s">
        <v>492</v>
      </c>
      <c r="D8" s="82">
        <v>42787.418449074074</v>
      </c>
      <c r="E8" s="83">
        <v>1220</v>
      </c>
      <c r="F8" s="85" t="s">
        <v>444</v>
      </c>
      <c r="G8" s="87" t="s">
        <v>507</v>
      </c>
      <c r="H8" s="81" t="s">
        <v>474</v>
      </c>
    </row>
    <row r="9" spans="1:8" outlineLevel="2" x14ac:dyDescent="0.25">
      <c r="A9" s="81" t="s">
        <v>473</v>
      </c>
      <c r="B9" s="81" t="s">
        <v>487</v>
      </c>
      <c r="C9" s="81" t="s">
        <v>492</v>
      </c>
      <c r="D9" s="82">
        <v>42787.418449074074</v>
      </c>
      <c r="E9" s="83">
        <v>1224</v>
      </c>
      <c r="F9" s="85" t="s">
        <v>444</v>
      </c>
      <c r="G9" s="87" t="s">
        <v>508</v>
      </c>
      <c r="H9" s="81" t="s">
        <v>475</v>
      </c>
    </row>
    <row r="10" spans="1:8" outlineLevel="1" x14ac:dyDescent="0.25">
      <c r="A10" s="81" t="s">
        <v>499</v>
      </c>
      <c r="B10" s="81"/>
      <c r="C10" s="81"/>
      <c r="D10" s="82"/>
      <c r="E10" s="83">
        <f>SUBTOTAL(3,E8:E9)</f>
        <v>2</v>
      </c>
      <c r="F10" s="85"/>
      <c r="G10" s="87"/>
      <c r="H10" s="81"/>
    </row>
    <row r="11" spans="1:8" outlineLevel="2" x14ac:dyDescent="0.25">
      <c r="A11" s="81" t="s">
        <v>476</v>
      </c>
      <c r="B11" s="81" t="s">
        <v>488</v>
      </c>
      <c r="C11" s="81" t="s">
        <v>493</v>
      </c>
      <c r="D11" s="82">
        <v>42787.428240740737</v>
      </c>
      <c r="E11" s="83">
        <v>125</v>
      </c>
      <c r="F11" s="85"/>
      <c r="G11" s="87"/>
      <c r="H11" s="81" t="s">
        <v>477</v>
      </c>
    </row>
    <row r="12" spans="1:8" outlineLevel="2" x14ac:dyDescent="0.25">
      <c r="A12" s="81" t="s">
        <v>476</v>
      </c>
      <c r="B12" s="81" t="s">
        <v>488</v>
      </c>
      <c r="C12" s="81" t="s">
        <v>493</v>
      </c>
      <c r="D12" s="82">
        <v>42787.428240740737</v>
      </c>
      <c r="E12" s="83">
        <v>126</v>
      </c>
      <c r="F12" s="85"/>
      <c r="G12" s="87"/>
      <c r="H12" s="81" t="s">
        <v>478</v>
      </c>
    </row>
    <row r="13" spans="1:8" outlineLevel="1" x14ac:dyDescent="0.25">
      <c r="A13" s="81" t="s">
        <v>500</v>
      </c>
      <c r="B13" s="81"/>
      <c r="C13" s="81"/>
      <c r="D13" s="82"/>
      <c r="E13" s="83">
        <f>SUBTOTAL(3,E11:E12)</f>
        <v>2</v>
      </c>
      <c r="F13" s="85"/>
      <c r="G13" s="87"/>
      <c r="H13" s="81"/>
    </row>
    <row r="14" spans="1:8" outlineLevel="2" x14ac:dyDescent="0.25">
      <c r="A14" s="81" t="s">
        <v>479</v>
      </c>
      <c r="B14" s="81" t="s">
        <v>488</v>
      </c>
      <c r="C14" s="81" t="s">
        <v>494</v>
      </c>
      <c r="D14" s="82">
        <v>42787.390659722223</v>
      </c>
      <c r="E14" s="83">
        <v>73</v>
      </c>
      <c r="F14" s="85"/>
      <c r="G14" s="87"/>
      <c r="H14" s="81" t="s">
        <v>480</v>
      </c>
    </row>
    <row r="15" spans="1:8" outlineLevel="1" x14ac:dyDescent="0.25">
      <c r="A15" s="81" t="s">
        <v>501</v>
      </c>
      <c r="B15" s="81"/>
      <c r="C15" s="81"/>
      <c r="D15" s="82"/>
      <c r="E15" s="83">
        <f>SUBTOTAL(3,E14:E14)</f>
        <v>1</v>
      </c>
      <c r="F15" s="85"/>
      <c r="G15" s="87"/>
      <c r="H15" s="81"/>
    </row>
    <row r="16" spans="1:8" outlineLevel="2" x14ac:dyDescent="0.25">
      <c r="A16" s="81" t="s">
        <v>481</v>
      </c>
      <c r="B16" s="81" t="s">
        <v>489</v>
      </c>
      <c r="C16" s="81" t="s">
        <v>495</v>
      </c>
      <c r="D16" s="82">
        <v>42679.913495370369</v>
      </c>
      <c r="E16" s="83">
        <v>185</v>
      </c>
      <c r="F16" s="85"/>
      <c r="G16" s="87"/>
      <c r="H16" s="81" t="s">
        <v>477</v>
      </c>
    </row>
    <row r="17" spans="1:8" outlineLevel="2" x14ac:dyDescent="0.25">
      <c r="A17" s="81" t="s">
        <v>481</v>
      </c>
      <c r="B17" s="81" t="s">
        <v>489</v>
      </c>
      <c r="C17" s="81" t="s">
        <v>495</v>
      </c>
      <c r="D17" s="82">
        <v>42679.913495370369</v>
      </c>
      <c r="E17" s="83">
        <v>186</v>
      </c>
      <c r="F17" s="85"/>
      <c r="G17" s="87"/>
      <c r="H17" s="81" t="s">
        <v>478</v>
      </c>
    </row>
    <row r="18" spans="1:8" outlineLevel="1" x14ac:dyDescent="0.25">
      <c r="A18" s="81" t="s">
        <v>502</v>
      </c>
      <c r="B18" s="81"/>
      <c r="C18" s="81"/>
      <c r="D18" s="82"/>
      <c r="E18" s="83">
        <f>SUBTOTAL(3,E16:E17)</f>
        <v>2</v>
      </c>
      <c r="F18" s="85"/>
      <c r="G18" s="87"/>
      <c r="H18" s="81"/>
    </row>
    <row r="19" spans="1:8" outlineLevel="2" x14ac:dyDescent="0.25">
      <c r="A19" s="81" t="s">
        <v>255</v>
      </c>
      <c r="B19" s="81" t="s">
        <v>489</v>
      </c>
      <c r="C19" s="81" t="s">
        <v>494</v>
      </c>
      <c r="D19" s="82">
        <v>42785.943692129629</v>
      </c>
      <c r="E19" s="83">
        <v>325</v>
      </c>
      <c r="F19" s="85"/>
      <c r="G19" s="87"/>
      <c r="H19" s="81" t="s">
        <v>480</v>
      </c>
    </row>
    <row r="20" spans="1:8" outlineLevel="1" x14ac:dyDescent="0.25">
      <c r="A20" s="81" t="s">
        <v>356</v>
      </c>
      <c r="B20" s="81"/>
      <c r="C20" s="81"/>
      <c r="D20" s="82"/>
      <c r="E20" s="83">
        <f>SUBTOTAL(3,E19:E19)</f>
        <v>1</v>
      </c>
      <c r="F20" s="85"/>
      <c r="G20" s="87"/>
      <c r="H20" s="81"/>
    </row>
    <row r="21" spans="1:8" outlineLevel="2" x14ac:dyDescent="0.25">
      <c r="A21" s="81" t="s">
        <v>211</v>
      </c>
      <c r="B21" s="81" t="s">
        <v>435</v>
      </c>
      <c r="C21" s="81" t="s">
        <v>496</v>
      </c>
      <c r="D21" s="82">
        <v>42790.626099537039</v>
      </c>
      <c r="E21" s="83">
        <v>770</v>
      </c>
      <c r="F21" s="85"/>
      <c r="G21" s="87"/>
      <c r="H21" s="81" t="s">
        <v>482</v>
      </c>
    </row>
    <row r="22" spans="1:8" outlineLevel="2" x14ac:dyDescent="0.25">
      <c r="A22" s="81" t="s">
        <v>211</v>
      </c>
      <c r="B22" s="81" t="s">
        <v>435</v>
      </c>
      <c r="C22" s="81" t="s">
        <v>496</v>
      </c>
      <c r="D22" s="82">
        <v>42790.626099537039</v>
      </c>
      <c r="E22" s="83">
        <v>961</v>
      </c>
      <c r="F22" s="85"/>
      <c r="G22" s="87"/>
      <c r="H22" s="81" t="s">
        <v>471</v>
      </c>
    </row>
    <row r="23" spans="1:8" outlineLevel="1" x14ac:dyDescent="0.25">
      <c r="A23" s="81" t="s">
        <v>236</v>
      </c>
      <c r="B23" s="81"/>
      <c r="C23" s="81"/>
      <c r="D23" s="82"/>
      <c r="E23" s="83">
        <f>SUBTOTAL(3,E21:E22)</f>
        <v>2</v>
      </c>
      <c r="F23" s="85"/>
      <c r="G23" s="87"/>
      <c r="H23" s="81"/>
    </row>
    <row r="24" spans="1:8" outlineLevel="2" x14ac:dyDescent="0.25">
      <c r="A24" s="81" t="s">
        <v>483</v>
      </c>
      <c r="B24" s="81" t="s">
        <v>490</v>
      </c>
      <c r="C24" s="81" t="s">
        <v>497</v>
      </c>
      <c r="D24" s="82">
        <v>42787.035682870373</v>
      </c>
      <c r="E24" s="83">
        <v>182</v>
      </c>
      <c r="F24" s="85"/>
      <c r="G24" s="87"/>
      <c r="H24" s="81" t="s">
        <v>477</v>
      </c>
    </row>
    <row r="25" spans="1:8" outlineLevel="2" x14ac:dyDescent="0.25">
      <c r="A25" s="81" t="s">
        <v>483</v>
      </c>
      <c r="B25" s="81" t="s">
        <v>490</v>
      </c>
      <c r="C25" s="81" t="s">
        <v>497</v>
      </c>
      <c r="D25" s="82">
        <v>42787.035682870373</v>
      </c>
      <c r="E25" s="83">
        <v>183</v>
      </c>
      <c r="F25" s="85"/>
      <c r="G25" s="87"/>
      <c r="H25" s="81" t="s">
        <v>478</v>
      </c>
    </row>
    <row r="26" spans="1:8" outlineLevel="1" x14ac:dyDescent="0.25">
      <c r="A26" s="81" t="s">
        <v>503</v>
      </c>
      <c r="B26" s="81"/>
      <c r="C26" s="81"/>
      <c r="D26" s="82"/>
      <c r="E26" s="83">
        <f>SUBTOTAL(3,E24:E25)</f>
        <v>2</v>
      </c>
      <c r="F26" s="85"/>
      <c r="G26" s="87"/>
      <c r="H26" s="81"/>
    </row>
    <row r="27" spans="1:8" x14ac:dyDescent="0.25">
      <c r="A27" s="81" t="s">
        <v>142</v>
      </c>
      <c r="B27" s="81"/>
      <c r="C27" s="81"/>
      <c r="D27" s="82"/>
      <c r="E27" s="83">
        <f>SUBTOTAL(3,E2:E25)</f>
        <v>17</v>
      </c>
      <c r="F27" s="85"/>
      <c r="G27" s="87"/>
      <c r="H27" s="81"/>
    </row>
  </sheetData>
  <mergeCells count="2">
    <mergeCell ref="G2:G3"/>
    <mergeCell ref="G5:G6"/>
  </mergeCells>
  <conditionalFormatting sqref="A2:H2">
    <cfRule type="expression" dxfId="16" priority="3">
      <formula>OR($F2="Done",$F2="Fixed",$F2="OK")</formula>
    </cfRule>
    <cfRule type="expression" dxfId="15" priority="5">
      <formula>FIND("Count",$A2)</formula>
    </cfRule>
  </conditionalFormatting>
  <conditionalFormatting sqref="A4:H5 A3:F3 H3 A7:H27 A6:F6 H6">
    <cfRule type="expression" dxfId="14" priority="4">
      <formula>FIND("Count",$A3)</formula>
    </cfRule>
  </conditionalFormatting>
  <conditionalFormatting sqref="A3:F3 H3">
    <cfRule type="expression" dxfId="13" priority="2">
      <formula>OR($F3="Done",$F3="Fixed",$F3="OK")</formula>
    </cfRule>
  </conditionalFormatting>
  <conditionalFormatting sqref="A4:H5 A7:H27 A6:F6 H6">
    <cfRule type="expression" dxfId="12" priority="1">
      <formula>OR($F4="Done",$F4="Fixed",$F4="OK")</formula>
    </cfRule>
  </conditionalFormatting>
  <pageMargins left="0.7" right="0.7" top="0.75" bottom="0.75" header="0.3" footer="0.3"/>
  <pageSetup orientation="portrait" horizontalDpi="0"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5"/>
  <sheetViews>
    <sheetView workbookViewId="0"/>
  </sheetViews>
  <sheetFormatPr defaultRowHeight="15" x14ac:dyDescent="0.25"/>
  <cols>
    <col min="1" max="1" width="4.875" bestFit="1" customWidth="1"/>
    <col min="2" max="2" width="37.75" bestFit="1" customWidth="1"/>
    <col min="3" max="3" width="6.75" bestFit="1" customWidth="1"/>
    <col min="4" max="4" width="15.875" bestFit="1" customWidth="1"/>
    <col min="5" max="5" width="11.75" bestFit="1" customWidth="1"/>
    <col min="6" max="6" width="9.875" bestFit="1" customWidth="1"/>
    <col min="7" max="7" width="7.875" bestFit="1" customWidth="1"/>
    <col min="8" max="8" width="10.875" bestFit="1" customWidth="1"/>
    <col min="9" max="9" width="11.75" bestFit="1" customWidth="1"/>
    <col min="10" max="10" width="13.75" bestFit="1" customWidth="1"/>
    <col min="11" max="12" width="8.875" bestFit="1" customWidth="1"/>
    <col min="13" max="13" width="10.875" bestFit="1" customWidth="1"/>
    <col min="14" max="14" width="9.875" bestFit="1" customWidth="1"/>
    <col min="15" max="15" width="14.875" bestFit="1" customWidth="1"/>
    <col min="16" max="16" width="11.875" bestFit="1" customWidth="1"/>
    <col min="17" max="17" width="81" bestFit="1" customWidth="1"/>
    <col min="18" max="18" width="32.5" bestFit="1" customWidth="1"/>
    <col min="19" max="19" width="11.75" bestFit="1" customWidth="1"/>
    <col min="20" max="20" width="36.625" bestFit="1" customWidth="1"/>
    <col min="21" max="21" width="68.625" bestFit="1" customWidth="1"/>
  </cols>
  <sheetData>
    <row r="1" spans="1:21" x14ac:dyDescent="0.25">
      <c r="A1" t="s">
        <v>565</v>
      </c>
      <c r="B1" t="s">
        <v>564</v>
      </c>
      <c r="C1" t="s">
        <v>535</v>
      </c>
      <c r="D1" t="s">
        <v>563</v>
      </c>
      <c r="E1" t="s">
        <v>562</v>
      </c>
      <c r="F1" t="s">
        <v>561</v>
      </c>
      <c r="G1" t="s">
        <v>560</v>
      </c>
      <c r="H1" t="s">
        <v>544</v>
      </c>
      <c r="I1" t="s">
        <v>559</v>
      </c>
      <c r="J1" t="s">
        <v>558</v>
      </c>
      <c r="K1" t="s">
        <v>557</v>
      </c>
      <c r="L1" t="s">
        <v>556</v>
      </c>
      <c r="M1" t="s">
        <v>555</v>
      </c>
      <c r="N1" t="s">
        <v>554</v>
      </c>
      <c r="O1" t="s">
        <v>553</v>
      </c>
      <c r="P1" t="s">
        <v>552</v>
      </c>
      <c r="Q1" t="s">
        <v>540</v>
      </c>
      <c r="R1" t="s">
        <v>551</v>
      </c>
      <c r="S1" t="s">
        <v>550</v>
      </c>
      <c r="T1" t="s">
        <v>549</v>
      </c>
      <c r="U1" t="s">
        <v>545</v>
      </c>
    </row>
    <row r="2" spans="1:21" x14ac:dyDescent="0.25">
      <c r="A2" s="7" t="s">
        <v>538</v>
      </c>
      <c r="B2" s="88" t="s">
        <v>539</v>
      </c>
      <c r="C2" s="7" t="s">
        <v>538</v>
      </c>
      <c r="D2" t="b">
        <v>1</v>
      </c>
      <c r="E2" s="7" t="s">
        <v>537</v>
      </c>
      <c r="F2" s="7" t="s">
        <v>548</v>
      </c>
      <c r="G2" s="7" t="s">
        <v>540</v>
      </c>
      <c r="H2" s="7" t="s">
        <v>533</v>
      </c>
      <c r="I2">
        <v>0</v>
      </c>
      <c r="K2" s="7"/>
      <c r="L2" s="7"/>
      <c r="M2" s="7"/>
      <c r="N2" s="7"/>
      <c r="P2" s="7"/>
      <c r="Q2" s="7"/>
      <c r="R2" s="7"/>
      <c r="S2" s="7"/>
      <c r="T2" s="7"/>
      <c r="U2" s="7"/>
    </row>
    <row r="3" spans="1:21" x14ac:dyDescent="0.25">
      <c r="A3" s="7" t="s">
        <v>538</v>
      </c>
      <c r="B3" s="88" t="s">
        <v>539</v>
      </c>
      <c r="C3" s="7" t="s">
        <v>538</v>
      </c>
      <c r="D3" t="b">
        <v>1</v>
      </c>
      <c r="E3" s="7" t="s">
        <v>537</v>
      </c>
      <c r="F3" s="7" t="s">
        <v>548</v>
      </c>
      <c r="G3" s="7"/>
      <c r="H3" s="7"/>
      <c r="K3" s="7" t="s">
        <v>535</v>
      </c>
      <c r="L3" s="7" t="s">
        <v>534</v>
      </c>
      <c r="M3" s="7" t="s">
        <v>533</v>
      </c>
      <c r="N3" s="7"/>
      <c r="P3" s="7"/>
      <c r="Q3" s="7"/>
      <c r="R3" s="7"/>
      <c r="S3" s="7"/>
      <c r="T3" s="7"/>
      <c r="U3" s="7"/>
    </row>
    <row r="4" spans="1:21" x14ac:dyDescent="0.25">
      <c r="A4" s="7" t="s">
        <v>538</v>
      </c>
      <c r="B4" s="88" t="s">
        <v>539</v>
      </c>
      <c r="C4" s="7" t="s">
        <v>538</v>
      </c>
      <c r="D4" t="b">
        <v>1</v>
      </c>
      <c r="E4" s="7" t="s">
        <v>537</v>
      </c>
      <c r="F4" s="7" t="s">
        <v>548</v>
      </c>
      <c r="G4" s="7"/>
      <c r="H4" s="7"/>
      <c r="K4" s="7" t="s">
        <v>544</v>
      </c>
      <c r="L4" s="7"/>
      <c r="M4" s="7" t="s">
        <v>533</v>
      </c>
      <c r="N4" s="7"/>
      <c r="P4" s="7"/>
      <c r="Q4" s="7"/>
      <c r="R4" s="7"/>
      <c r="S4" s="7"/>
      <c r="T4" s="7"/>
      <c r="U4" s="7"/>
    </row>
    <row r="5" spans="1:21" x14ac:dyDescent="0.25">
      <c r="A5" s="7" t="s">
        <v>538</v>
      </c>
      <c r="B5" s="88" t="s">
        <v>539</v>
      </c>
      <c r="C5" s="7" t="s">
        <v>538</v>
      </c>
      <c r="D5" t="b">
        <v>1</v>
      </c>
      <c r="E5" s="7" t="s">
        <v>537</v>
      </c>
      <c r="F5" s="7" t="s">
        <v>548</v>
      </c>
      <c r="G5" s="7"/>
      <c r="H5" s="7"/>
      <c r="K5" s="7" t="s">
        <v>543</v>
      </c>
      <c r="L5" s="7"/>
      <c r="M5" s="7" t="s">
        <v>533</v>
      </c>
      <c r="N5" s="7"/>
      <c r="P5" s="7"/>
      <c r="Q5" s="7"/>
      <c r="R5" s="7"/>
      <c r="S5" s="7"/>
      <c r="T5" s="7"/>
      <c r="U5" s="7"/>
    </row>
    <row r="6" spans="1:21" x14ac:dyDescent="0.25">
      <c r="A6" s="7" t="s">
        <v>538</v>
      </c>
      <c r="B6" s="88" t="s">
        <v>539</v>
      </c>
      <c r="C6" s="7" t="s">
        <v>538</v>
      </c>
      <c r="D6" t="b">
        <v>1</v>
      </c>
      <c r="E6" s="7" t="s">
        <v>537</v>
      </c>
      <c r="F6" s="7" t="s">
        <v>548</v>
      </c>
      <c r="G6" s="7"/>
      <c r="H6" s="7"/>
      <c r="K6" s="7"/>
      <c r="L6" s="7"/>
      <c r="M6" s="7"/>
      <c r="N6" s="7" t="s">
        <v>541</v>
      </c>
      <c r="P6" s="7"/>
      <c r="Q6" s="7"/>
      <c r="R6" s="7"/>
      <c r="S6" s="7"/>
      <c r="T6" s="7"/>
      <c r="U6" s="7"/>
    </row>
    <row r="7" spans="1:21" x14ac:dyDescent="0.25">
      <c r="A7" s="7" t="s">
        <v>538</v>
      </c>
      <c r="B7" s="88" t="s">
        <v>539</v>
      </c>
      <c r="C7" s="7" t="s">
        <v>538</v>
      </c>
      <c r="D7" t="b">
        <v>1</v>
      </c>
      <c r="E7" s="7" t="s">
        <v>537</v>
      </c>
      <c r="F7" s="7" t="s">
        <v>546</v>
      </c>
      <c r="G7" s="7"/>
      <c r="H7" s="7"/>
      <c r="K7" s="7" t="s">
        <v>547</v>
      </c>
      <c r="L7" s="7"/>
      <c r="M7" s="7" t="s">
        <v>533</v>
      </c>
      <c r="N7" s="7"/>
      <c r="P7" s="7"/>
      <c r="Q7" s="7"/>
      <c r="R7" s="7"/>
      <c r="S7" s="7"/>
      <c r="T7" s="7"/>
      <c r="U7" s="7"/>
    </row>
    <row r="8" spans="1:21" x14ac:dyDescent="0.25">
      <c r="A8" s="7" t="s">
        <v>538</v>
      </c>
      <c r="B8" s="88" t="s">
        <v>539</v>
      </c>
      <c r="C8" s="7" t="s">
        <v>538</v>
      </c>
      <c r="D8" t="b">
        <v>1</v>
      </c>
      <c r="E8" s="7" t="s">
        <v>537</v>
      </c>
      <c r="F8" s="7" t="s">
        <v>546</v>
      </c>
      <c r="G8" s="7"/>
      <c r="H8" s="7"/>
      <c r="K8" s="7" t="s">
        <v>535</v>
      </c>
      <c r="L8" s="7"/>
      <c r="M8" s="7" t="s">
        <v>533</v>
      </c>
      <c r="N8" s="7"/>
      <c r="P8" s="7"/>
      <c r="Q8" s="7"/>
      <c r="R8" s="7"/>
      <c r="S8" s="7"/>
      <c r="T8" s="7"/>
      <c r="U8" s="7"/>
    </row>
    <row r="9" spans="1:21" x14ac:dyDescent="0.25">
      <c r="A9" s="7" t="s">
        <v>538</v>
      </c>
      <c r="B9" s="88" t="s">
        <v>539</v>
      </c>
      <c r="C9" s="7" t="s">
        <v>538</v>
      </c>
      <c r="D9" t="b">
        <v>1</v>
      </c>
      <c r="E9" s="7" t="s">
        <v>537</v>
      </c>
      <c r="F9" s="7" t="s">
        <v>542</v>
      </c>
      <c r="G9" s="7" t="s">
        <v>540</v>
      </c>
      <c r="H9" s="7" t="s">
        <v>533</v>
      </c>
      <c r="I9">
        <v>0</v>
      </c>
      <c r="J9">
        <v>1</v>
      </c>
      <c r="K9" s="7"/>
      <c r="L9" s="7"/>
      <c r="M9" s="7"/>
      <c r="N9" s="7"/>
      <c r="P9" s="7"/>
      <c r="Q9" s="7"/>
      <c r="R9" s="7"/>
      <c r="S9" s="7"/>
      <c r="T9" s="7"/>
      <c r="U9" s="7"/>
    </row>
    <row r="10" spans="1:21" x14ac:dyDescent="0.25">
      <c r="A10" s="7" t="s">
        <v>538</v>
      </c>
      <c r="B10" s="88" t="s">
        <v>539</v>
      </c>
      <c r="C10" s="7" t="s">
        <v>538</v>
      </c>
      <c r="D10" t="b">
        <v>1</v>
      </c>
      <c r="E10" s="7" t="s">
        <v>537</v>
      </c>
      <c r="F10" s="7" t="s">
        <v>542</v>
      </c>
      <c r="G10" s="7" t="s">
        <v>545</v>
      </c>
      <c r="H10" s="7" t="s">
        <v>533</v>
      </c>
      <c r="I10">
        <v>0</v>
      </c>
      <c r="J10">
        <v>2</v>
      </c>
      <c r="K10" s="7"/>
      <c r="L10" s="7"/>
      <c r="M10" s="7"/>
      <c r="N10" s="7"/>
      <c r="P10" s="7"/>
      <c r="Q10" s="7"/>
      <c r="R10" s="7"/>
      <c r="S10" s="7"/>
      <c r="T10" s="7"/>
      <c r="U10" s="7"/>
    </row>
    <row r="11" spans="1:21" x14ac:dyDescent="0.25">
      <c r="A11" s="7" t="s">
        <v>538</v>
      </c>
      <c r="B11" s="88" t="s">
        <v>539</v>
      </c>
      <c r="C11" s="7" t="s">
        <v>538</v>
      </c>
      <c r="D11" t="b">
        <v>1</v>
      </c>
      <c r="E11" s="7" t="s">
        <v>537</v>
      </c>
      <c r="F11" s="7" t="s">
        <v>542</v>
      </c>
      <c r="G11" s="7"/>
      <c r="H11" s="7"/>
      <c r="K11" s="7" t="s">
        <v>535</v>
      </c>
      <c r="L11" s="7" t="s">
        <v>534</v>
      </c>
      <c r="M11" s="7" t="s">
        <v>533</v>
      </c>
      <c r="N11" s="7"/>
      <c r="O11">
        <v>1</v>
      </c>
      <c r="P11" s="7"/>
      <c r="Q11" s="7"/>
      <c r="R11" s="7"/>
      <c r="S11" s="7"/>
      <c r="T11" s="7"/>
      <c r="U11" s="7"/>
    </row>
    <row r="12" spans="1:21" x14ac:dyDescent="0.25">
      <c r="A12" s="7" t="s">
        <v>538</v>
      </c>
      <c r="B12" s="88" t="s">
        <v>539</v>
      </c>
      <c r="C12" s="7" t="s">
        <v>538</v>
      </c>
      <c r="D12" t="b">
        <v>1</v>
      </c>
      <c r="E12" s="7" t="s">
        <v>537</v>
      </c>
      <c r="F12" s="7" t="s">
        <v>542</v>
      </c>
      <c r="G12" s="7"/>
      <c r="H12" s="7"/>
      <c r="K12" s="7" t="s">
        <v>544</v>
      </c>
      <c r="L12" s="7"/>
      <c r="M12" s="7" t="s">
        <v>533</v>
      </c>
      <c r="N12" s="7"/>
      <c r="O12">
        <v>3</v>
      </c>
      <c r="P12" s="7"/>
      <c r="Q12" s="7"/>
      <c r="R12" s="7"/>
      <c r="S12" s="7"/>
      <c r="T12" s="7"/>
      <c r="U12" s="7"/>
    </row>
    <row r="13" spans="1:21" x14ac:dyDescent="0.25">
      <c r="A13" s="7" t="s">
        <v>538</v>
      </c>
      <c r="B13" s="88" t="s">
        <v>539</v>
      </c>
      <c r="C13" s="7" t="s">
        <v>538</v>
      </c>
      <c r="D13" t="b">
        <v>1</v>
      </c>
      <c r="E13" s="7" t="s">
        <v>537</v>
      </c>
      <c r="F13" s="7" t="s">
        <v>542</v>
      </c>
      <c r="G13" s="7"/>
      <c r="H13" s="7"/>
      <c r="K13" s="7" t="s">
        <v>543</v>
      </c>
      <c r="L13" s="7"/>
      <c r="M13" s="7" t="s">
        <v>533</v>
      </c>
      <c r="N13" s="7"/>
      <c r="O13">
        <v>4</v>
      </c>
      <c r="P13" s="7"/>
      <c r="Q13" s="7"/>
      <c r="R13" s="7"/>
      <c r="S13" s="7"/>
      <c r="T13" s="7"/>
      <c r="U13" s="7"/>
    </row>
    <row r="14" spans="1:21" x14ac:dyDescent="0.25">
      <c r="A14" s="7" t="s">
        <v>538</v>
      </c>
      <c r="B14" s="88" t="s">
        <v>539</v>
      </c>
      <c r="C14" s="7" t="s">
        <v>538</v>
      </c>
      <c r="D14" t="b">
        <v>1</v>
      </c>
      <c r="E14" s="7" t="s">
        <v>537</v>
      </c>
      <c r="F14" s="7" t="s">
        <v>542</v>
      </c>
      <c r="G14" s="7"/>
      <c r="H14" s="7"/>
      <c r="K14" s="7"/>
      <c r="L14" s="7"/>
      <c r="M14" s="7"/>
      <c r="N14" s="7" t="s">
        <v>541</v>
      </c>
      <c r="P14" s="7"/>
      <c r="Q14" s="7"/>
      <c r="R14" s="7"/>
      <c r="S14" s="7"/>
      <c r="T14" s="7"/>
      <c r="U14" s="7"/>
    </row>
    <row r="15" spans="1:21" x14ac:dyDescent="0.25">
      <c r="A15" s="7" t="s">
        <v>538</v>
      </c>
      <c r="B15" s="88" t="s">
        <v>539</v>
      </c>
      <c r="C15" s="7" t="s">
        <v>538</v>
      </c>
      <c r="D15" t="b">
        <v>1</v>
      </c>
      <c r="E15" s="7" t="s">
        <v>537</v>
      </c>
      <c r="F15" s="7" t="s">
        <v>536</v>
      </c>
      <c r="G15" s="7" t="s">
        <v>540</v>
      </c>
      <c r="H15" s="7" t="s">
        <v>533</v>
      </c>
      <c r="I15">
        <v>0</v>
      </c>
      <c r="J15">
        <v>1</v>
      </c>
      <c r="K15" s="7"/>
      <c r="L15" s="7"/>
      <c r="M15" s="7"/>
      <c r="N15" s="7"/>
      <c r="P15" s="7"/>
      <c r="Q15" s="7"/>
      <c r="R15" s="7"/>
      <c r="S15" s="7"/>
      <c r="T15" s="7"/>
      <c r="U15" s="7"/>
    </row>
    <row r="16" spans="1:21" x14ac:dyDescent="0.25">
      <c r="A16" s="7" t="s">
        <v>538</v>
      </c>
      <c r="B16" s="88" t="s">
        <v>539</v>
      </c>
      <c r="C16" s="7" t="s">
        <v>538</v>
      </c>
      <c r="D16" t="b">
        <v>1</v>
      </c>
      <c r="E16" s="7" t="s">
        <v>537</v>
      </c>
      <c r="F16" s="7" t="s">
        <v>536</v>
      </c>
      <c r="G16" s="7"/>
      <c r="H16" s="7"/>
      <c r="K16" s="7" t="s">
        <v>535</v>
      </c>
      <c r="L16" s="7" t="s">
        <v>534</v>
      </c>
      <c r="M16" s="7" t="s">
        <v>533</v>
      </c>
      <c r="N16" s="7"/>
      <c r="P16" s="7"/>
      <c r="Q16" s="7"/>
      <c r="R16" s="7"/>
      <c r="S16" s="7"/>
      <c r="T16" s="7"/>
      <c r="U16" s="7"/>
    </row>
    <row r="17" spans="1:21" x14ac:dyDescent="0.25">
      <c r="A17" s="7"/>
      <c r="B17" s="7"/>
      <c r="C17" s="7"/>
      <c r="E17" s="7"/>
      <c r="F17" s="7"/>
      <c r="G17" s="7"/>
      <c r="H17" s="7"/>
      <c r="K17" s="7"/>
      <c r="L17" s="7"/>
      <c r="M17" s="7"/>
      <c r="N17" s="7"/>
      <c r="P17" s="7" t="s">
        <v>532</v>
      </c>
      <c r="Q17" s="7" t="s">
        <v>531</v>
      </c>
      <c r="R17" s="7"/>
      <c r="S17" s="7"/>
      <c r="T17" s="7"/>
      <c r="U17" s="7"/>
    </row>
    <row r="18" spans="1:21" x14ac:dyDescent="0.25">
      <c r="A18" s="7"/>
      <c r="B18" s="7"/>
      <c r="C18" s="7"/>
      <c r="E18" s="7"/>
      <c r="F18" s="7"/>
      <c r="G18" s="7"/>
      <c r="H18" s="7"/>
      <c r="K18" s="7"/>
      <c r="L18" s="7"/>
      <c r="M18" s="7"/>
      <c r="N18" s="7"/>
      <c r="P18" s="7" t="s">
        <v>530</v>
      </c>
      <c r="Q18" s="7" t="s">
        <v>529</v>
      </c>
      <c r="R18" s="7"/>
      <c r="S18" s="7"/>
      <c r="T18" s="7"/>
      <c r="U18" s="7"/>
    </row>
    <row r="19" spans="1:21" x14ac:dyDescent="0.25">
      <c r="A19" s="7"/>
      <c r="B19" s="7"/>
      <c r="C19" s="7"/>
      <c r="E19" s="7"/>
      <c r="F19" s="7"/>
      <c r="G19" s="7"/>
      <c r="H19" s="7"/>
      <c r="K19" s="7"/>
      <c r="L19" s="7"/>
      <c r="M19" s="7"/>
      <c r="N19" s="7"/>
      <c r="P19" s="7" t="s">
        <v>528</v>
      </c>
      <c r="Q19" s="7" t="s">
        <v>527</v>
      </c>
      <c r="R19" s="7"/>
      <c r="S19" s="7"/>
      <c r="T19" s="7"/>
      <c r="U19" s="7"/>
    </row>
    <row r="20" spans="1:21" x14ac:dyDescent="0.25">
      <c r="A20" s="7"/>
      <c r="B20" s="7"/>
      <c r="C20" s="7"/>
      <c r="E20" s="7"/>
      <c r="F20" s="7"/>
      <c r="G20" s="7"/>
      <c r="H20" s="7"/>
      <c r="K20" s="7"/>
      <c r="L20" s="7"/>
      <c r="M20" s="7"/>
      <c r="N20" s="7"/>
      <c r="P20" s="7" t="s">
        <v>526</v>
      </c>
      <c r="Q20" s="7" t="s">
        <v>525</v>
      </c>
      <c r="R20" s="7"/>
      <c r="S20" s="7"/>
      <c r="T20" s="7"/>
      <c r="U20" s="7"/>
    </row>
    <row r="21" spans="1:21" x14ac:dyDescent="0.25">
      <c r="A21" s="7"/>
      <c r="B21" s="7"/>
      <c r="C21" s="7"/>
      <c r="E21" s="7"/>
      <c r="F21" s="7"/>
      <c r="G21" s="7"/>
      <c r="H21" s="7"/>
      <c r="K21" s="7"/>
      <c r="L21" s="7"/>
      <c r="M21" s="7"/>
      <c r="N21" s="7"/>
      <c r="P21" s="7"/>
      <c r="Q21" s="7"/>
      <c r="R21" s="7" t="s">
        <v>524</v>
      </c>
      <c r="S21" s="7" t="s">
        <v>511</v>
      </c>
      <c r="T21" s="7" t="s">
        <v>523</v>
      </c>
      <c r="U21" s="7" t="s">
        <v>522</v>
      </c>
    </row>
    <row r="22" spans="1:21" x14ac:dyDescent="0.25">
      <c r="A22" s="7"/>
      <c r="B22" s="7"/>
      <c r="C22" s="7"/>
      <c r="E22" s="7"/>
      <c r="F22" s="7"/>
      <c r="G22" s="7"/>
      <c r="H22" s="7"/>
      <c r="K22" s="7"/>
      <c r="L22" s="7"/>
      <c r="M22" s="7"/>
      <c r="N22" s="7"/>
      <c r="P22" s="7"/>
      <c r="Q22" s="7"/>
      <c r="R22" s="7" t="s">
        <v>521</v>
      </c>
      <c r="S22" s="7" t="s">
        <v>511</v>
      </c>
      <c r="T22" s="7" t="s">
        <v>520</v>
      </c>
      <c r="U22" s="7" t="s">
        <v>519</v>
      </c>
    </row>
    <row r="23" spans="1:21" x14ac:dyDescent="0.25">
      <c r="A23" s="7"/>
      <c r="B23" s="7"/>
      <c r="C23" s="7"/>
      <c r="E23" s="7"/>
      <c r="F23" s="7"/>
      <c r="G23" s="7"/>
      <c r="H23" s="7"/>
      <c r="K23" s="7"/>
      <c r="L23" s="7"/>
      <c r="M23" s="7"/>
      <c r="N23" s="7"/>
      <c r="P23" s="7"/>
      <c r="Q23" s="7"/>
      <c r="R23" s="7" t="s">
        <v>518</v>
      </c>
      <c r="S23" s="7" t="s">
        <v>511</v>
      </c>
      <c r="T23" s="7" t="s">
        <v>517</v>
      </c>
      <c r="U23" s="7" t="s">
        <v>516</v>
      </c>
    </row>
    <row r="24" spans="1:21" x14ac:dyDescent="0.25">
      <c r="A24" s="7"/>
      <c r="B24" s="7"/>
      <c r="C24" s="7"/>
      <c r="E24" s="7"/>
      <c r="F24" s="7"/>
      <c r="G24" s="7"/>
      <c r="H24" s="7"/>
      <c r="K24" s="7"/>
      <c r="L24" s="7"/>
      <c r="M24" s="7"/>
      <c r="N24" s="7"/>
      <c r="P24" s="7"/>
      <c r="Q24" s="7"/>
      <c r="R24" s="7" t="s">
        <v>515</v>
      </c>
      <c r="S24" s="7" t="s">
        <v>511</v>
      </c>
      <c r="T24" s="7" t="s">
        <v>514</v>
      </c>
      <c r="U24" s="7" t="s">
        <v>513</v>
      </c>
    </row>
    <row r="25" spans="1:21" x14ac:dyDescent="0.25">
      <c r="A25" s="7"/>
      <c r="B25" s="7"/>
      <c r="C25" s="7"/>
      <c r="E25" s="7"/>
      <c r="F25" s="7"/>
      <c r="G25" s="7"/>
      <c r="H25" s="7"/>
      <c r="K25" s="7"/>
      <c r="L25" s="7"/>
      <c r="M25" s="7"/>
      <c r="N25" s="7"/>
      <c r="P25" s="7"/>
      <c r="Q25" s="7"/>
      <c r="R25" s="7" t="s">
        <v>512</v>
      </c>
      <c r="S25" s="7" t="s">
        <v>511</v>
      </c>
      <c r="T25" s="7" t="s">
        <v>510</v>
      </c>
      <c r="U25" s="7" t="s">
        <v>509</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s>
  <pageMargins left="0.7" right="0.7" top="0.75" bottom="0.75" header="0.3" footer="0.3"/>
  <tableParts count="1">
    <tablePart r:id="rId16"/>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5"/>
  <sheetViews>
    <sheetView workbookViewId="0">
      <pane xSplit="1" ySplit="1" topLeftCell="G34" activePane="bottomRight" state="frozen"/>
      <selection pane="topRight" activeCell="B1" sqref="B1"/>
      <selection pane="bottomLeft" activeCell="A2" sqref="A2"/>
      <selection pane="bottomRight" activeCell="G82" sqref="G82"/>
    </sheetView>
  </sheetViews>
  <sheetFormatPr defaultRowHeight="15" outlineLevelRow="3" x14ac:dyDescent="0.25"/>
  <cols>
    <col min="1" max="1" width="47.25" bestFit="1" customWidth="1"/>
    <col min="2" max="2" width="119" bestFit="1" customWidth="1"/>
    <col min="3" max="3" width="31.625" bestFit="1" customWidth="1"/>
    <col min="4" max="4" width="37.875" bestFit="1" customWidth="1"/>
    <col min="5" max="5" width="20.125" bestFit="1" customWidth="1"/>
    <col min="6" max="6" width="9.625" customWidth="1"/>
    <col min="7" max="7" width="8.75" customWidth="1"/>
    <col min="8" max="8" width="50.625" customWidth="1"/>
    <col min="9" max="9" width="112" bestFit="1" customWidth="1"/>
  </cols>
  <sheetData>
    <row r="1" spans="1:9" ht="18" x14ac:dyDescent="0.25">
      <c r="A1" s="89" t="s">
        <v>591</v>
      </c>
      <c r="B1" s="89" t="s">
        <v>429</v>
      </c>
      <c r="C1" s="89" t="s">
        <v>431</v>
      </c>
      <c r="D1" s="89" t="s">
        <v>432</v>
      </c>
      <c r="E1" s="89" t="s">
        <v>597</v>
      </c>
      <c r="F1" s="89" t="s">
        <v>484</v>
      </c>
      <c r="G1" s="89" t="s">
        <v>11</v>
      </c>
      <c r="H1" s="109" t="s">
        <v>10</v>
      </c>
      <c r="I1" s="89" t="s">
        <v>485</v>
      </c>
    </row>
    <row r="2" spans="1:9" outlineLevel="3" x14ac:dyDescent="0.25">
      <c r="A2" s="90" t="s">
        <v>524</v>
      </c>
      <c r="B2" s="91" t="s">
        <v>473</v>
      </c>
      <c r="C2" s="92" t="s">
        <v>487</v>
      </c>
      <c r="D2" s="91" t="s">
        <v>492</v>
      </c>
      <c r="E2" s="93">
        <v>42787.418449074074</v>
      </c>
      <c r="F2" s="92">
        <v>359</v>
      </c>
      <c r="G2" s="94" t="s">
        <v>179</v>
      </c>
      <c r="H2" s="110"/>
      <c r="I2" s="92" t="s">
        <v>567</v>
      </c>
    </row>
    <row r="3" spans="1:9" outlineLevel="2" x14ac:dyDescent="0.25">
      <c r="A3" s="95"/>
      <c r="B3" s="96" t="s">
        <v>499</v>
      </c>
      <c r="C3" s="97"/>
      <c r="D3" s="96"/>
      <c r="E3" s="98"/>
      <c r="F3" s="99">
        <f>SUBTOTAL(3,F2:F2)</f>
        <v>1</v>
      </c>
      <c r="G3" s="100"/>
      <c r="H3" s="111"/>
      <c r="I3" s="99"/>
    </row>
    <row r="4" spans="1:9" outlineLevel="3" x14ac:dyDescent="0.25">
      <c r="A4" s="95" t="s">
        <v>524</v>
      </c>
      <c r="B4" s="96" t="s">
        <v>476</v>
      </c>
      <c r="C4" s="97" t="s">
        <v>488</v>
      </c>
      <c r="D4" s="96" t="s">
        <v>493</v>
      </c>
      <c r="E4" s="98">
        <v>42787.428240740737</v>
      </c>
      <c r="F4" s="99">
        <v>120</v>
      </c>
      <c r="G4" s="100" t="s">
        <v>179</v>
      </c>
      <c r="H4" s="111"/>
      <c r="I4" s="99" t="s">
        <v>568</v>
      </c>
    </row>
    <row r="5" spans="1:9" outlineLevel="2" x14ac:dyDescent="0.25">
      <c r="A5" s="95"/>
      <c r="B5" s="102" t="s">
        <v>500</v>
      </c>
      <c r="C5" s="97"/>
      <c r="D5" s="96"/>
      <c r="E5" s="98"/>
      <c r="F5" s="99">
        <f>SUBTOTAL(3,F4:F4)</f>
        <v>1</v>
      </c>
      <c r="G5" s="100"/>
      <c r="H5" s="111"/>
      <c r="I5" s="99"/>
    </row>
    <row r="6" spans="1:9" outlineLevel="3" x14ac:dyDescent="0.25">
      <c r="A6" s="95" t="s">
        <v>524</v>
      </c>
      <c r="B6" s="96" t="s">
        <v>479</v>
      </c>
      <c r="C6" s="97" t="s">
        <v>488</v>
      </c>
      <c r="D6" s="96" t="s">
        <v>494</v>
      </c>
      <c r="E6" s="98">
        <v>42787.390659722223</v>
      </c>
      <c r="F6" s="99">
        <v>66</v>
      </c>
      <c r="G6" s="100" t="s">
        <v>179</v>
      </c>
      <c r="H6" s="111"/>
      <c r="I6" s="99" t="s">
        <v>569</v>
      </c>
    </row>
    <row r="7" spans="1:9" outlineLevel="3" x14ac:dyDescent="0.25">
      <c r="A7" s="95" t="s">
        <v>524</v>
      </c>
      <c r="B7" s="96" t="s">
        <v>479</v>
      </c>
      <c r="C7" s="97" t="s">
        <v>488</v>
      </c>
      <c r="D7" s="96" t="s">
        <v>494</v>
      </c>
      <c r="E7" s="98">
        <v>42787.390659722223</v>
      </c>
      <c r="F7" s="99">
        <v>68</v>
      </c>
      <c r="G7" s="100" t="s">
        <v>179</v>
      </c>
      <c r="H7" s="111"/>
      <c r="I7" s="99" t="s">
        <v>570</v>
      </c>
    </row>
    <row r="8" spans="1:9" outlineLevel="2" x14ac:dyDescent="0.25">
      <c r="A8" s="95"/>
      <c r="B8" s="102" t="s">
        <v>501</v>
      </c>
      <c r="C8" s="97"/>
      <c r="D8" s="96"/>
      <c r="E8" s="98"/>
      <c r="F8" s="99">
        <f>SUBTOTAL(3,F6:F7)</f>
        <v>2</v>
      </c>
      <c r="G8" s="100"/>
      <c r="H8" s="111"/>
      <c r="I8" s="99"/>
    </row>
    <row r="9" spans="1:9" hidden="1" outlineLevel="3" x14ac:dyDescent="0.25">
      <c r="A9" s="113" t="s">
        <v>524</v>
      </c>
      <c r="B9" s="114" t="s">
        <v>481</v>
      </c>
      <c r="C9" s="113" t="s">
        <v>489</v>
      </c>
      <c r="D9" s="114" t="s">
        <v>495</v>
      </c>
      <c r="E9" s="115">
        <v>42679.913495370369</v>
      </c>
      <c r="F9" s="113">
        <v>180</v>
      </c>
      <c r="G9" s="116"/>
      <c r="H9" s="117"/>
      <c r="I9" s="113" t="s">
        <v>568</v>
      </c>
    </row>
    <row r="10" spans="1:9" hidden="1" outlineLevel="2" x14ac:dyDescent="0.25">
      <c r="A10" s="95"/>
      <c r="B10" s="102" t="s">
        <v>502</v>
      </c>
      <c r="C10" s="97"/>
      <c r="D10" s="96"/>
      <c r="E10" s="98"/>
      <c r="F10" s="99">
        <f>SUBTOTAL(3,F9:F9)</f>
        <v>1</v>
      </c>
      <c r="G10" s="100"/>
      <c r="H10" s="111"/>
      <c r="I10" s="99"/>
    </row>
    <row r="11" spans="1:9" hidden="1" outlineLevel="3" x14ac:dyDescent="0.25">
      <c r="A11" s="113" t="s">
        <v>524</v>
      </c>
      <c r="B11" s="114" t="s">
        <v>255</v>
      </c>
      <c r="C11" s="113" t="s">
        <v>489</v>
      </c>
      <c r="D11" s="114" t="s">
        <v>494</v>
      </c>
      <c r="E11" s="115">
        <v>42785.943692129629</v>
      </c>
      <c r="F11" s="113">
        <v>318</v>
      </c>
      <c r="G11" s="116"/>
      <c r="H11" s="117"/>
      <c r="I11" s="113" t="s">
        <v>571</v>
      </c>
    </row>
    <row r="12" spans="1:9" hidden="1" outlineLevel="3" x14ac:dyDescent="0.25">
      <c r="A12" s="113" t="s">
        <v>524</v>
      </c>
      <c r="B12" s="114" t="s">
        <v>255</v>
      </c>
      <c r="C12" s="113" t="s">
        <v>489</v>
      </c>
      <c r="D12" s="114" t="s">
        <v>494</v>
      </c>
      <c r="E12" s="115">
        <v>42785.943692129629</v>
      </c>
      <c r="F12" s="113">
        <v>320</v>
      </c>
      <c r="G12" s="116"/>
      <c r="H12" s="117"/>
      <c r="I12" s="113" t="s">
        <v>570</v>
      </c>
    </row>
    <row r="13" spans="1:9" hidden="1" outlineLevel="2" x14ac:dyDescent="0.25">
      <c r="A13" s="95"/>
      <c r="B13" s="102" t="s">
        <v>356</v>
      </c>
      <c r="C13" s="97"/>
      <c r="D13" s="96"/>
      <c r="E13" s="98"/>
      <c r="F13" s="99">
        <f>SUBTOTAL(3,F11:F12)</f>
        <v>2</v>
      </c>
      <c r="G13" s="100"/>
      <c r="H13" s="111"/>
      <c r="I13" s="99"/>
    </row>
    <row r="14" spans="1:9" hidden="1" outlineLevel="3" x14ac:dyDescent="0.25">
      <c r="A14" s="113" t="s">
        <v>524</v>
      </c>
      <c r="B14" s="114" t="s">
        <v>483</v>
      </c>
      <c r="C14" s="113" t="s">
        <v>490</v>
      </c>
      <c r="D14" s="114" t="s">
        <v>497</v>
      </c>
      <c r="E14" s="115">
        <v>42787.035682870373</v>
      </c>
      <c r="F14" s="113">
        <v>177</v>
      </c>
      <c r="G14" s="116"/>
      <c r="H14" s="117"/>
      <c r="I14" s="113" t="s">
        <v>568</v>
      </c>
    </row>
    <row r="15" spans="1:9" hidden="1" outlineLevel="2" x14ac:dyDescent="0.25">
      <c r="A15" s="95"/>
      <c r="B15" s="102" t="s">
        <v>503</v>
      </c>
      <c r="C15" s="97"/>
      <c r="D15" s="96"/>
      <c r="E15" s="98"/>
      <c r="F15" s="99">
        <f>SUBTOTAL(3,F14:F14)</f>
        <v>1</v>
      </c>
      <c r="G15" s="100"/>
      <c r="H15" s="111"/>
      <c r="I15" s="99"/>
    </row>
    <row r="16" spans="1:9" outlineLevel="1" collapsed="1" x14ac:dyDescent="0.25">
      <c r="A16" s="101" t="s">
        <v>592</v>
      </c>
      <c r="B16" s="96"/>
      <c r="C16" s="97"/>
      <c r="D16" s="96"/>
      <c r="E16" s="98"/>
      <c r="F16" s="99">
        <f>SUBTOTAL(3,F2:F14)</f>
        <v>8</v>
      </c>
      <c r="G16" s="100"/>
      <c r="H16" s="111"/>
      <c r="I16" s="99"/>
    </row>
    <row r="17" spans="1:9" outlineLevel="3" x14ac:dyDescent="0.25">
      <c r="A17" s="95" t="s">
        <v>521</v>
      </c>
      <c r="B17" s="96" t="s">
        <v>473</v>
      </c>
      <c r="C17" s="97" t="s">
        <v>487</v>
      </c>
      <c r="D17" s="96" t="s">
        <v>492</v>
      </c>
      <c r="E17" s="98">
        <v>42787.418449074074</v>
      </c>
      <c r="F17" s="99">
        <v>352</v>
      </c>
      <c r="G17" s="100" t="s">
        <v>179</v>
      </c>
      <c r="H17" s="111"/>
      <c r="I17" s="99" t="s">
        <v>572</v>
      </c>
    </row>
    <row r="18" spans="1:9" outlineLevel="2" x14ac:dyDescent="0.25">
      <c r="A18" s="95"/>
      <c r="B18" s="102" t="s">
        <v>499</v>
      </c>
      <c r="C18" s="97"/>
      <c r="D18" s="96"/>
      <c r="E18" s="98"/>
      <c r="F18" s="99">
        <f>SUBTOTAL(3,F17:F17)</f>
        <v>1</v>
      </c>
      <c r="G18" s="100"/>
      <c r="H18" s="111"/>
      <c r="I18" s="99"/>
    </row>
    <row r="19" spans="1:9" outlineLevel="3" x14ac:dyDescent="0.25">
      <c r="A19" s="95" t="s">
        <v>521</v>
      </c>
      <c r="B19" s="96" t="s">
        <v>476</v>
      </c>
      <c r="C19" s="97" t="s">
        <v>488</v>
      </c>
      <c r="D19" s="96" t="s">
        <v>493</v>
      </c>
      <c r="E19" s="98">
        <v>42787.428240740737</v>
      </c>
      <c r="F19" s="99">
        <v>124</v>
      </c>
      <c r="G19" s="100" t="s">
        <v>179</v>
      </c>
      <c r="H19" s="111"/>
      <c r="I19" s="99" t="s">
        <v>573</v>
      </c>
    </row>
    <row r="20" spans="1:9" outlineLevel="2" x14ac:dyDescent="0.25">
      <c r="A20" s="95"/>
      <c r="B20" s="102" t="s">
        <v>500</v>
      </c>
      <c r="C20" s="97"/>
      <c r="D20" s="96"/>
      <c r="E20" s="98"/>
      <c r="F20" s="99">
        <f>SUBTOTAL(3,F19:F19)</f>
        <v>1</v>
      </c>
      <c r="G20" s="100"/>
      <c r="H20" s="111"/>
      <c r="I20" s="99"/>
    </row>
    <row r="21" spans="1:9" outlineLevel="3" x14ac:dyDescent="0.25">
      <c r="A21" s="95" t="s">
        <v>521</v>
      </c>
      <c r="B21" s="96" t="s">
        <v>479</v>
      </c>
      <c r="C21" s="97" t="s">
        <v>488</v>
      </c>
      <c r="D21" s="96" t="s">
        <v>494</v>
      </c>
      <c r="E21" s="98">
        <v>42787.390659722223</v>
      </c>
      <c r="F21" s="99">
        <v>75</v>
      </c>
      <c r="G21" s="100" t="s">
        <v>179</v>
      </c>
      <c r="H21" s="111"/>
      <c r="I21" s="99" t="s">
        <v>574</v>
      </c>
    </row>
    <row r="22" spans="1:9" outlineLevel="3" x14ac:dyDescent="0.25">
      <c r="A22" s="95" t="s">
        <v>521</v>
      </c>
      <c r="B22" s="96" t="s">
        <v>479</v>
      </c>
      <c r="C22" s="97" t="s">
        <v>488</v>
      </c>
      <c r="D22" s="96" t="s">
        <v>494</v>
      </c>
      <c r="E22" s="98">
        <v>42787.390659722223</v>
      </c>
      <c r="F22" s="99">
        <v>77</v>
      </c>
      <c r="G22" s="100" t="s">
        <v>179</v>
      </c>
      <c r="H22" s="111"/>
      <c r="I22" s="99" t="s">
        <v>575</v>
      </c>
    </row>
    <row r="23" spans="1:9" outlineLevel="2" x14ac:dyDescent="0.25">
      <c r="A23" s="95"/>
      <c r="B23" s="102" t="s">
        <v>501</v>
      </c>
      <c r="C23" s="97"/>
      <c r="D23" s="96"/>
      <c r="E23" s="98"/>
      <c r="F23" s="99">
        <f>SUBTOTAL(3,F21:F22)</f>
        <v>2</v>
      </c>
      <c r="G23" s="100"/>
      <c r="H23" s="111"/>
      <c r="I23" s="99"/>
    </row>
    <row r="24" spans="1:9" hidden="1" outlineLevel="3" x14ac:dyDescent="0.25">
      <c r="A24" s="113" t="s">
        <v>521</v>
      </c>
      <c r="B24" s="114" t="s">
        <v>481</v>
      </c>
      <c r="C24" s="113" t="s">
        <v>489</v>
      </c>
      <c r="D24" s="114" t="s">
        <v>495</v>
      </c>
      <c r="E24" s="115">
        <v>42679.913495370369</v>
      </c>
      <c r="F24" s="113">
        <v>184</v>
      </c>
      <c r="G24" s="116"/>
      <c r="H24" s="117"/>
      <c r="I24" s="113" t="s">
        <v>573</v>
      </c>
    </row>
    <row r="25" spans="1:9" hidden="1" outlineLevel="2" x14ac:dyDescent="0.25">
      <c r="A25" s="95"/>
      <c r="B25" s="102" t="s">
        <v>502</v>
      </c>
      <c r="C25" s="97"/>
      <c r="D25" s="96"/>
      <c r="E25" s="98"/>
      <c r="F25" s="99">
        <f>SUBTOTAL(3,F24:F24)</f>
        <v>1</v>
      </c>
      <c r="G25" s="100"/>
      <c r="H25" s="111"/>
      <c r="I25" s="99"/>
    </row>
    <row r="26" spans="1:9" hidden="1" outlineLevel="3" x14ac:dyDescent="0.25">
      <c r="A26" s="113" t="s">
        <v>521</v>
      </c>
      <c r="B26" s="114" t="s">
        <v>255</v>
      </c>
      <c r="C26" s="113" t="s">
        <v>489</v>
      </c>
      <c r="D26" s="114" t="s">
        <v>494</v>
      </c>
      <c r="E26" s="115">
        <v>42785.943692129629</v>
      </c>
      <c r="F26" s="113">
        <v>327</v>
      </c>
      <c r="G26" s="116"/>
      <c r="H26" s="117"/>
      <c r="I26" s="113" t="s">
        <v>576</v>
      </c>
    </row>
    <row r="27" spans="1:9" hidden="1" outlineLevel="3" x14ac:dyDescent="0.25">
      <c r="A27" s="113" t="s">
        <v>521</v>
      </c>
      <c r="B27" s="114" t="s">
        <v>255</v>
      </c>
      <c r="C27" s="113" t="s">
        <v>489</v>
      </c>
      <c r="D27" s="114" t="s">
        <v>494</v>
      </c>
      <c r="E27" s="115">
        <v>42785.943692129629</v>
      </c>
      <c r="F27" s="113">
        <v>329</v>
      </c>
      <c r="G27" s="116"/>
      <c r="H27" s="117"/>
      <c r="I27" s="113" t="s">
        <v>575</v>
      </c>
    </row>
    <row r="28" spans="1:9" hidden="1" outlineLevel="2" x14ac:dyDescent="0.25">
      <c r="A28" s="95"/>
      <c r="B28" s="102" t="s">
        <v>356</v>
      </c>
      <c r="C28" s="97"/>
      <c r="D28" s="96"/>
      <c r="E28" s="98"/>
      <c r="F28" s="99">
        <f>SUBTOTAL(3,F26:F27)</f>
        <v>2</v>
      </c>
      <c r="G28" s="100"/>
      <c r="H28" s="111"/>
      <c r="I28" s="99"/>
    </row>
    <row r="29" spans="1:9" hidden="1" outlineLevel="3" x14ac:dyDescent="0.25">
      <c r="A29" s="113" t="s">
        <v>521</v>
      </c>
      <c r="B29" s="114" t="s">
        <v>483</v>
      </c>
      <c r="C29" s="113" t="s">
        <v>490</v>
      </c>
      <c r="D29" s="114" t="s">
        <v>497</v>
      </c>
      <c r="E29" s="115">
        <v>42787.035682870373</v>
      </c>
      <c r="F29" s="113">
        <v>181</v>
      </c>
      <c r="G29" s="116"/>
      <c r="H29" s="117"/>
      <c r="I29" s="113" t="s">
        <v>573</v>
      </c>
    </row>
    <row r="30" spans="1:9" hidden="1" outlineLevel="2" collapsed="1" x14ac:dyDescent="0.25">
      <c r="A30" s="95"/>
      <c r="B30" s="102" t="s">
        <v>503</v>
      </c>
      <c r="C30" s="97"/>
      <c r="D30" s="96"/>
      <c r="E30" s="98"/>
      <c r="F30" s="99">
        <f>SUBTOTAL(3,F29:F29)</f>
        <v>1</v>
      </c>
      <c r="G30" s="100"/>
      <c r="H30" s="111"/>
      <c r="I30" s="99"/>
    </row>
    <row r="31" spans="1:9" outlineLevel="1" collapsed="1" x14ac:dyDescent="0.25">
      <c r="A31" s="101" t="s">
        <v>593</v>
      </c>
      <c r="B31" s="96"/>
      <c r="C31" s="97"/>
      <c r="D31" s="96"/>
      <c r="E31" s="98"/>
      <c r="F31" s="99">
        <f>SUBTOTAL(3,F17:F29)</f>
        <v>8</v>
      </c>
      <c r="G31" s="100"/>
      <c r="H31" s="111"/>
      <c r="I31" s="99"/>
    </row>
    <row r="32" spans="1:9" outlineLevel="3" x14ac:dyDescent="0.25">
      <c r="A32" s="95" t="s">
        <v>518</v>
      </c>
      <c r="B32" s="96" t="s">
        <v>476</v>
      </c>
      <c r="C32" s="97" t="s">
        <v>488</v>
      </c>
      <c r="D32" s="96" t="s">
        <v>493</v>
      </c>
      <c r="E32" s="98">
        <v>42787.428240740737</v>
      </c>
      <c r="F32" s="99">
        <v>128</v>
      </c>
      <c r="G32" s="100" t="s">
        <v>179</v>
      </c>
      <c r="H32" s="111"/>
      <c r="I32" s="99" t="s">
        <v>577</v>
      </c>
    </row>
    <row r="33" spans="1:9" outlineLevel="2" x14ac:dyDescent="0.25">
      <c r="A33" s="95"/>
      <c r="B33" s="102" t="s">
        <v>500</v>
      </c>
      <c r="C33" s="97"/>
      <c r="D33" s="96"/>
      <c r="E33" s="98"/>
      <c r="F33" s="99">
        <f>SUBTOTAL(3,F32:F32)</f>
        <v>1</v>
      </c>
      <c r="G33" s="100"/>
      <c r="H33" s="111"/>
      <c r="I33" s="99"/>
    </row>
    <row r="34" spans="1:9" outlineLevel="3" x14ac:dyDescent="0.25">
      <c r="A34" s="95" t="s">
        <v>518</v>
      </c>
      <c r="B34" s="96" t="s">
        <v>479</v>
      </c>
      <c r="C34" s="97" t="s">
        <v>488</v>
      </c>
      <c r="D34" s="96" t="s">
        <v>494</v>
      </c>
      <c r="E34" s="98">
        <v>42787.390659722223</v>
      </c>
      <c r="F34" s="99">
        <v>210</v>
      </c>
      <c r="G34" s="100" t="s">
        <v>179</v>
      </c>
      <c r="H34" s="111"/>
      <c r="I34" s="99" t="s">
        <v>578</v>
      </c>
    </row>
    <row r="35" spans="1:9" outlineLevel="3" x14ac:dyDescent="0.25">
      <c r="A35" s="95" t="s">
        <v>518</v>
      </c>
      <c r="B35" s="96" t="s">
        <v>479</v>
      </c>
      <c r="C35" s="97" t="s">
        <v>488</v>
      </c>
      <c r="D35" s="96" t="s">
        <v>494</v>
      </c>
      <c r="E35" s="98">
        <v>42787.390659722223</v>
      </c>
      <c r="F35" s="99">
        <v>212</v>
      </c>
      <c r="G35" s="100" t="s">
        <v>179</v>
      </c>
      <c r="H35" s="111"/>
      <c r="I35" s="99" t="s">
        <v>579</v>
      </c>
    </row>
    <row r="36" spans="1:9" outlineLevel="2" x14ac:dyDescent="0.25">
      <c r="A36" s="95"/>
      <c r="B36" s="102" t="s">
        <v>501</v>
      </c>
      <c r="C36" s="97"/>
      <c r="D36" s="96"/>
      <c r="E36" s="98"/>
      <c r="F36" s="99">
        <f>SUBTOTAL(3,F34:F35)</f>
        <v>2</v>
      </c>
      <c r="G36" s="100"/>
      <c r="H36" s="111"/>
      <c r="I36" s="99"/>
    </row>
    <row r="37" spans="1:9" hidden="1" outlineLevel="3" x14ac:dyDescent="0.25">
      <c r="A37" s="113" t="s">
        <v>518</v>
      </c>
      <c r="B37" s="114" t="s">
        <v>481</v>
      </c>
      <c r="C37" s="113" t="s">
        <v>489</v>
      </c>
      <c r="D37" s="114" t="s">
        <v>495</v>
      </c>
      <c r="E37" s="115">
        <v>42679.913495370369</v>
      </c>
      <c r="F37" s="113">
        <v>230</v>
      </c>
      <c r="G37" s="116"/>
      <c r="H37" s="117"/>
      <c r="I37" s="113" t="s">
        <v>577</v>
      </c>
    </row>
    <row r="38" spans="1:9" hidden="1" outlineLevel="2" x14ac:dyDescent="0.25">
      <c r="A38" s="95"/>
      <c r="B38" s="102" t="s">
        <v>502</v>
      </c>
      <c r="C38" s="97"/>
      <c r="D38" s="96"/>
      <c r="E38" s="98"/>
      <c r="F38" s="99">
        <f>SUBTOTAL(3,F37:F37)</f>
        <v>1</v>
      </c>
      <c r="G38" s="100"/>
      <c r="H38" s="111"/>
      <c r="I38" s="99"/>
    </row>
    <row r="39" spans="1:9" hidden="1" outlineLevel="3" x14ac:dyDescent="0.25">
      <c r="A39" s="113" t="s">
        <v>518</v>
      </c>
      <c r="B39" s="114" t="s">
        <v>255</v>
      </c>
      <c r="C39" s="113" t="s">
        <v>489</v>
      </c>
      <c r="D39" s="114" t="s">
        <v>494</v>
      </c>
      <c r="E39" s="115">
        <v>42785.943692129629</v>
      </c>
      <c r="F39" s="113">
        <v>660</v>
      </c>
      <c r="G39" s="116"/>
      <c r="H39" s="117"/>
      <c r="I39" s="113" t="s">
        <v>580</v>
      </c>
    </row>
    <row r="40" spans="1:9" hidden="1" outlineLevel="3" x14ac:dyDescent="0.25">
      <c r="A40" s="113" t="s">
        <v>518</v>
      </c>
      <c r="B40" s="114" t="s">
        <v>255</v>
      </c>
      <c r="C40" s="113" t="s">
        <v>489</v>
      </c>
      <c r="D40" s="114" t="s">
        <v>494</v>
      </c>
      <c r="E40" s="115">
        <v>42785.943692129629</v>
      </c>
      <c r="F40" s="113">
        <v>662</v>
      </c>
      <c r="G40" s="116"/>
      <c r="H40" s="117"/>
      <c r="I40" s="113" t="s">
        <v>579</v>
      </c>
    </row>
    <row r="41" spans="1:9" hidden="1" outlineLevel="2" x14ac:dyDescent="0.25">
      <c r="A41" s="95"/>
      <c r="B41" s="102" t="s">
        <v>356</v>
      </c>
      <c r="C41" s="97"/>
      <c r="D41" s="96"/>
      <c r="E41" s="98"/>
      <c r="F41" s="99">
        <f>SUBTOTAL(3,F39:F40)</f>
        <v>2</v>
      </c>
      <c r="G41" s="100"/>
      <c r="H41" s="111"/>
      <c r="I41" s="99"/>
    </row>
    <row r="42" spans="1:9" hidden="1" outlineLevel="3" x14ac:dyDescent="0.25">
      <c r="A42" s="113" t="s">
        <v>518</v>
      </c>
      <c r="B42" s="114" t="s">
        <v>483</v>
      </c>
      <c r="C42" s="113" t="s">
        <v>490</v>
      </c>
      <c r="D42" s="114" t="s">
        <v>497</v>
      </c>
      <c r="E42" s="115">
        <v>42787.035682870373</v>
      </c>
      <c r="F42" s="113">
        <v>227</v>
      </c>
      <c r="G42" s="116"/>
      <c r="H42" s="117"/>
      <c r="I42" s="113" t="s">
        <v>577</v>
      </c>
    </row>
    <row r="43" spans="1:9" hidden="1" outlineLevel="2" x14ac:dyDescent="0.25">
      <c r="A43" s="95"/>
      <c r="B43" s="102" t="s">
        <v>503</v>
      </c>
      <c r="C43" s="97"/>
      <c r="D43" s="96"/>
      <c r="E43" s="98"/>
      <c r="F43" s="99">
        <f>SUBTOTAL(3,F42:F42)</f>
        <v>1</v>
      </c>
      <c r="G43" s="100"/>
      <c r="H43" s="111"/>
      <c r="I43" s="99"/>
    </row>
    <row r="44" spans="1:9" outlineLevel="1" collapsed="1" x14ac:dyDescent="0.25">
      <c r="A44" s="101" t="s">
        <v>594</v>
      </c>
      <c r="B44" s="96"/>
      <c r="C44" s="97"/>
      <c r="D44" s="96"/>
      <c r="E44" s="98"/>
      <c r="F44" s="99">
        <f>SUBTOTAL(3,F32:F42)</f>
        <v>7</v>
      </c>
      <c r="G44" s="100"/>
      <c r="H44" s="111"/>
      <c r="I44" s="99"/>
    </row>
    <row r="45" spans="1:9" outlineLevel="3" x14ac:dyDescent="0.25">
      <c r="A45" s="95" t="s">
        <v>515</v>
      </c>
      <c r="B45" s="96" t="s">
        <v>473</v>
      </c>
      <c r="C45" s="97" t="s">
        <v>487</v>
      </c>
      <c r="D45" s="96" t="s">
        <v>492</v>
      </c>
      <c r="E45" s="98">
        <v>42787.418449074074</v>
      </c>
      <c r="F45" s="99">
        <v>373</v>
      </c>
      <c r="G45" s="100" t="s">
        <v>179</v>
      </c>
      <c r="H45" s="111"/>
      <c r="I45" s="99" t="s">
        <v>581</v>
      </c>
    </row>
    <row r="46" spans="1:9" outlineLevel="2" x14ac:dyDescent="0.25">
      <c r="A46" s="95"/>
      <c r="B46" s="102" t="s">
        <v>499</v>
      </c>
      <c r="C46" s="97"/>
      <c r="D46" s="96"/>
      <c r="E46" s="98"/>
      <c r="F46" s="99">
        <f>SUBTOTAL(3,F45:F45)</f>
        <v>1</v>
      </c>
      <c r="G46" s="100"/>
      <c r="H46" s="111"/>
      <c r="I46" s="99"/>
    </row>
    <row r="47" spans="1:9" outlineLevel="3" x14ac:dyDescent="0.25">
      <c r="A47" s="95" t="s">
        <v>515</v>
      </c>
      <c r="B47" s="96" t="s">
        <v>476</v>
      </c>
      <c r="C47" s="97" t="s">
        <v>488</v>
      </c>
      <c r="D47" s="96" t="s">
        <v>493</v>
      </c>
      <c r="E47" s="98">
        <v>42787.428240740737</v>
      </c>
      <c r="F47" s="99">
        <v>132</v>
      </c>
      <c r="G47" s="100" t="s">
        <v>179</v>
      </c>
      <c r="H47" s="111"/>
      <c r="I47" s="99" t="s">
        <v>582</v>
      </c>
    </row>
    <row r="48" spans="1:9" outlineLevel="2" x14ac:dyDescent="0.25">
      <c r="A48" s="95"/>
      <c r="B48" s="102" t="s">
        <v>500</v>
      </c>
      <c r="C48" s="97"/>
      <c r="D48" s="96"/>
      <c r="E48" s="98"/>
      <c r="F48" s="99">
        <f>SUBTOTAL(3,F47:F47)</f>
        <v>1</v>
      </c>
      <c r="G48" s="100"/>
      <c r="H48" s="111"/>
      <c r="I48" s="99"/>
    </row>
    <row r="49" spans="1:9" outlineLevel="3" x14ac:dyDescent="0.25">
      <c r="A49" s="95" t="s">
        <v>515</v>
      </c>
      <c r="B49" s="96" t="s">
        <v>479</v>
      </c>
      <c r="C49" s="97" t="s">
        <v>488</v>
      </c>
      <c r="D49" s="96" t="s">
        <v>494</v>
      </c>
      <c r="E49" s="98">
        <v>42787.390659722223</v>
      </c>
      <c r="F49" s="99">
        <v>219</v>
      </c>
      <c r="G49" s="100" t="s">
        <v>179</v>
      </c>
      <c r="H49" s="111"/>
      <c r="I49" s="99" t="s">
        <v>583</v>
      </c>
    </row>
    <row r="50" spans="1:9" outlineLevel="3" x14ac:dyDescent="0.25">
      <c r="A50" s="95" t="s">
        <v>515</v>
      </c>
      <c r="B50" s="96" t="s">
        <v>479</v>
      </c>
      <c r="C50" s="97" t="s">
        <v>488</v>
      </c>
      <c r="D50" s="96" t="s">
        <v>494</v>
      </c>
      <c r="E50" s="98">
        <v>42787.390659722223</v>
      </c>
      <c r="F50" s="99">
        <v>221</v>
      </c>
      <c r="G50" s="100" t="s">
        <v>179</v>
      </c>
      <c r="H50" s="111"/>
      <c r="I50" s="99" t="s">
        <v>584</v>
      </c>
    </row>
    <row r="51" spans="1:9" outlineLevel="2" x14ac:dyDescent="0.25">
      <c r="A51" s="95"/>
      <c r="B51" s="102" t="s">
        <v>501</v>
      </c>
      <c r="C51" s="97"/>
      <c r="D51" s="96"/>
      <c r="E51" s="98"/>
      <c r="F51" s="99">
        <f>SUBTOTAL(3,F49:F50)</f>
        <v>2</v>
      </c>
      <c r="G51" s="100"/>
      <c r="H51" s="111"/>
      <c r="I51" s="99"/>
    </row>
    <row r="52" spans="1:9" hidden="1" outlineLevel="3" x14ac:dyDescent="0.25">
      <c r="A52" s="113" t="s">
        <v>515</v>
      </c>
      <c r="B52" s="114" t="s">
        <v>481</v>
      </c>
      <c r="C52" s="113" t="s">
        <v>489</v>
      </c>
      <c r="D52" s="114" t="s">
        <v>495</v>
      </c>
      <c r="E52" s="115">
        <v>42679.913495370369</v>
      </c>
      <c r="F52" s="113">
        <v>234</v>
      </c>
      <c r="G52" s="116"/>
      <c r="H52" s="117"/>
      <c r="I52" s="113" t="s">
        <v>582</v>
      </c>
    </row>
    <row r="53" spans="1:9" hidden="1" outlineLevel="2" x14ac:dyDescent="0.25">
      <c r="A53" s="95"/>
      <c r="B53" s="102" t="s">
        <v>502</v>
      </c>
      <c r="C53" s="97"/>
      <c r="D53" s="96"/>
      <c r="E53" s="98"/>
      <c r="F53" s="99">
        <f>SUBTOTAL(3,F52:F52)</f>
        <v>1</v>
      </c>
      <c r="G53" s="100"/>
      <c r="H53" s="111"/>
      <c r="I53" s="99"/>
    </row>
    <row r="54" spans="1:9" hidden="1" outlineLevel="3" x14ac:dyDescent="0.25">
      <c r="A54" s="113" t="s">
        <v>515</v>
      </c>
      <c r="B54" s="114" t="s">
        <v>255</v>
      </c>
      <c r="C54" s="113" t="s">
        <v>489</v>
      </c>
      <c r="D54" s="114" t="s">
        <v>494</v>
      </c>
      <c r="E54" s="115">
        <v>42785.943692129629</v>
      </c>
      <c r="F54" s="113">
        <v>669</v>
      </c>
      <c r="G54" s="116"/>
      <c r="H54" s="117"/>
      <c r="I54" s="113" t="s">
        <v>585</v>
      </c>
    </row>
    <row r="55" spans="1:9" hidden="1" outlineLevel="3" x14ac:dyDescent="0.25">
      <c r="A55" s="113" t="s">
        <v>515</v>
      </c>
      <c r="B55" s="114" t="s">
        <v>255</v>
      </c>
      <c r="C55" s="113" t="s">
        <v>489</v>
      </c>
      <c r="D55" s="114" t="s">
        <v>494</v>
      </c>
      <c r="E55" s="115">
        <v>42785.943692129629</v>
      </c>
      <c r="F55" s="113">
        <v>671</v>
      </c>
      <c r="G55" s="116"/>
      <c r="H55" s="117"/>
      <c r="I55" s="113" t="s">
        <v>584</v>
      </c>
    </row>
    <row r="56" spans="1:9" hidden="1" outlineLevel="2" x14ac:dyDescent="0.25">
      <c r="A56" s="95"/>
      <c r="B56" s="102" t="s">
        <v>356</v>
      </c>
      <c r="C56" s="97"/>
      <c r="D56" s="96"/>
      <c r="E56" s="98"/>
      <c r="F56" s="99">
        <f>SUBTOTAL(3,F54:F55)</f>
        <v>2</v>
      </c>
      <c r="G56" s="100"/>
      <c r="H56" s="111"/>
      <c r="I56" s="99"/>
    </row>
    <row r="57" spans="1:9" hidden="1" outlineLevel="3" x14ac:dyDescent="0.25">
      <c r="A57" s="113" t="s">
        <v>515</v>
      </c>
      <c r="B57" s="114" t="s">
        <v>483</v>
      </c>
      <c r="C57" s="113" t="s">
        <v>490</v>
      </c>
      <c r="D57" s="114" t="s">
        <v>497</v>
      </c>
      <c r="E57" s="115">
        <v>42787.035682870373</v>
      </c>
      <c r="F57" s="113">
        <v>231</v>
      </c>
      <c r="G57" s="116"/>
      <c r="H57" s="117"/>
      <c r="I57" s="113" t="s">
        <v>582</v>
      </c>
    </row>
    <row r="58" spans="1:9" hidden="1" outlineLevel="2" x14ac:dyDescent="0.25">
      <c r="A58" s="95"/>
      <c r="B58" s="102" t="s">
        <v>503</v>
      </c>
      <c r="C58" s="97"/>
      <c r="D58" s="96"/>
      <c r="E58" s="98"/>
      <c r="F58" s="99">
        <f>SUBTOTAL(3,F57:F57)</f>
        <v>1</v>
      </c>
      <c r="G58" s="100"/>
      <c r="H58" s="111"/>
      <c r="I58" s="99"/>
    </row>
    <row r="59" spans="1:9" outlineLevel="1" collapsed="1" x14ac:dyDescent="0.25">
      <c r="A59" s="101" t="s">
        <v>595</v>
      </c>
      <c r="B59" s="96"/>
      <c r="C59" s="97"/>
      <c r="D59" s="96"/>
      <c r="E59" s="98"/>
      <c r="F59" s="99">
        <f>SUBTOTAL(3,F45:F57)</f>
        <v>8</v>
      </c>
      <c r="G59" s="100"/>
      <c r="H59" s="111"/>
      <c r="I59" s="99"/>
    </row>
    <row r="60" spans="1:9" outlineLevel="3" x14ac:dyDescent="0.25">
      <c r="A60" s="95" t="s">
        <v>512</v>
      </c>
      <c r="B60" s="96" t="s">
        <v>473</v>
      </c>
      <c r="C60" s="97" t="s">
        <v>487</v>
      </c>
      <c r="D60" s="96" t="s">
        <v>492</v>
      </c>
      <c r="E60" s="98">
        <v>42787.418449074074</v>
      </c>
      <c r="F60" s="99">
        <v>366</v>
      </c>
      <c r="G60" s="100" t="s">
        <v>179</v>
      </c>
      <c r="H60" s="111"/>
      <c r="I60" s="99" t="s">
        <v>586</v>
      </c>
    </row>
    <row r="61" spans="1:9" outlineLevel="2" x14ac:dyDescent="0.25">
      <c r="A61" s="95"/>
      <c r="B61" s="102" t="s">
        <v>499</v>
      </c>
      <c r="C61" s="97"/>
      <c r="D61" s="96"/>
      <c r="E61" s="98"/>
      <c r="F61" s="99">
        <f>SUBTOTAL(3,F60:F60)</f>
        <v>1</v>
      </c>
      <c r="G61" s="100"/>
      <c r="H61" s="111"/>
      <c r="I61" s="99"/>
    </row>
    <row r="62" spans="1:9" outlineLevel="3" x14ac:dyDescent="0.25">
      <c r="A62" s="95" t="s">
        <v>512</v>
      </c>
      <c r="B62" s="96" t="s">
        <v>476</v>
      </c>
      <c r="C62" s="97" t="s">
        <v>488</v>
      </c>
      <c r="D62" s="96" t="s">
        <v>493</v>
      </c>
      <c r="E62" s="98">
        <v>42787.428240740737</v>
      </c>
      <c r="F62" s="99">
        <v>136</v>
      </c>
      <c r="G62" s="100" t="s">
        <v>179</v>
      </c>
      <c r="H62" s="111"/>
      <c r="I62" s="99" t="s">
        <v>587</v>
      </c>
    </row>
    <row r="63" spans="1:9" outlineLevel="2" x14ac:dyDescent="0.25">
      <c r="A63" s="95"/>
      <c r="B63" s="102" t="s">
        <v>500</v>
      </c>
      <c r="C63" s="97"/>
      <c r="D63" s="96"/>
      <c r="E63" s="98"/>
      <c r="F63" s="99">
        <f>SUBTOTAL(3,F62:F62)</f>
        <v>1</v>
      </c>
      <c r="G63" s="100"/>
      <c r="H63" s="111"/>
      <c r="I63" s="99"/>
    </row>
    <row r="64" spans="1:9" outlineLevel="3" x14ac:dyDescent="0.25">
      <c r="A64" s="95" t="s">
        <v>512</v>
      </c>
      <c r="B64" s="96" t="s">
        <v>479</v>
      </c>
      <c r="C64" s="97" t="s">
        <v>488</v>
      </c>
      <c r="D64" s="96" t="s">
        <v>494</v>
      </c>
      <c r="E64" s="98">
        <v>42787.390659722223</v>
      </c>
      <c r="F64" s="99">
        <v>228</v>
      </c>
      <c r="G64" s="100" t="s">
        <v>179</v>
      </c>
      <c r="H64" s="111"/>
      <c r="I64" s="99" t="s">
        <v>588</v>
      </c>
    </row>
    <row r="65" spans="1:9" outlineLevel="3" x14ac:dyDescent="0.25">
      <c r="A65" s="95" t="s">
        <v>512</v>
      </c>
      <c r="B65" s="96" t="s">
        <v>479</v>
      </c>
      <c r="C65" s="97" t="s">
        <v>488</v>
      </c>
      <c r="D65" s="96" t="s">
        <v>494</v>
      </c>
      <c r="E65" s="98">
        <v>42787.390659722223</v>
      </c>
      <c r="F65" s="99">
        <v>230</v>
      </c>
      <c r="G65" s="100" t="s">
        <v>179</v>
      </c>
      <c r="H65" s="111"/>
      <c r="I65" s="99" t="s">
        <v>589</v>
      </c>
    </row>
    <row r="66" spans="1:9" outlineLevel="2" x14ac:dyDescent="0.25">
      <c r="A66" s="95"/>
      <c r="B66" s="102" t="s">
        <v>501</v>
      </c>
      <c r="C66" s="97"/>
      <c r="D66" s="96"/>
      <c r="E66" s="98"/>
      <c r="F66" s="99">
        <f>SUBTOTAL(3,F64:F65)</f>
        <v>2</v>
      </c>
      <c r="G66" s="100"/>
      <c r="H66" s="111"/>
      <c r="I66" s="99"/>
    </row>
    <row r="67" spans="1:9" hidden="1" outlineLevel="3" x14ac:dyDescent="0.25">
      <c r="A67" s="113" t="s">
        <v>512</v>
      </c>
      <c r="B67" s="114" t="s">
        <v>481</v>
      </c>
      <c r="C67" s="113" t="s">
        <v>489</v>
      </c>
      <c r="D67" s="114" t="s">
        <v>495</v>
      </c>
      <c r="E67" s="115">
        <v>42679.913495370369</v>
      </c>
      <c r="F67" s="113">
        <v>238</v>
      </c>
      <c r="G67" s="116"/>
      <c r="H67" s="117"/>
      <c r="I67" s="113" t="s">
        <v>587</v>
      </c>
    </row>
    <row r="68" spans="1:9" hidden="1" outlineLevel="2" x14ac:dyDescent="0.25">
      <c r="A68" s="95"/>
      <c r="B68" s="102" t="s">
        <v>502</v>
      </c>
      <c r="C68" s="97"/>
      <c r="D68" s="96"/>
      <c r="E68" s="98"/>
      <c r="F68" s="99">
        <f>SUBTOTAL(3,F67:F67)</f>
        <v>1</v>
      </c>
      <c r="G68" s="100"/>
      <c r="H68" s="111"/>
      <c r="I68" s="99"/>
    </row>
    <row r="69" spans="1:9" hidden="1" outlineLevel="3" x14ac:dyDescent="0.25">
      <c r="A69" s="113" t="s">
        <v>512</v>
      </c>
      <c r="B69" s="114" t="s">
        <v>255</v>
      </c>
      <c r="C69" s="113" t="s">
        <v>489</v>
      </c>
      <c r="D69" s="114" t="s">
        <v>494</v>
      </c>
      <c r="E69" s="115">
        <v>42785.943692129629</v>
      </c>
      <c r="F69" s="113">
        <v>678</v>
      </c>
      <c r="G69" s="116"/>
      <c r="H69" s="117"/>
      <c r="I69" s="113" t="s">
        <v>590</v>
      </c>
    </row>
    <row r="70" spans="1:9" hidden="1" outlineLevel="3" x14ac:dyDescent="0.25">
      <c r="A70" s="113" t="s">
        <v>512</v>
      </c>
      <c r="B70" s="114" t="s">
        <v>255</v>
      </c>
      <c r="C70" s="113" t="s">
        <v>489</v>
      </c>
      <c r="D70" s="114" t="s">
        <v>494</v>
      </c>
      <c r="E70" s="115">
        <v>42785.943692129629</v>
      </c>
      <c r="F70" s="113">
        <v>680</v>
      </c>
      <c r="G70" s="116"/>
      <c r="H70" s="117"/>
      <c r="I70" s="113" t="s">
        <v>589</v>
      </c>
    </row>
    <row r="71" spans="1:9" hidden="1" outlineLevel="2" x14ac:dyDescent="0.25">
      <c r="A71" s="95"/>
      <c r="B71" s="102" t="s">
        <v>356</v>
      </c>
      <c r="C71" s="97"/>
      <c r="D71" s="96"/>
      <c r="E71" s="98"/>
      <c r="F71" s="99">
        <f>SUBTOTAL(3,F69:F70)</f>
        <v>2</v>
      </c>
      <c r="G71" s="100"/>
      <c r="H71" s="111"/>
      <c r="I71" s="99"/>
    </row>
    <row r="72" spans="1:9" hidden="1" outlineLevel="3" x14ac:dyDescent="0.25">
      <c r="A72" s="113" t="s">
        <v>512</v>
      </c>
      <c r="B72" s="114" t="s">
        <v>483</v>
      </c>
      <c r="C72" s="113" t="s">
        <v>490</v>
      </c>
      <c r="D72" s="114" t="s">
        <v>497</v>
      </c>
      <c r="E72" s="115">
        <v>42787.035682870373</v>
      </c>
      <c r="F72" s="113">
        <v>235</v>
      </c>
      <c r="G72" s="116"/>
      <c r="H72" s="117"/>
      <c r="I72" s="113" t="s">
        <v>587</v>
      </c>
    </row>
    <row r="73" spans="1:9" hidden="1" outlineLevel="2" x14ac:dyDescent="0.25">
      <c r="A73" s="107"/>
      <c r="B73" s="108" t="s">
        <v>503</v>
      </c>
      <c r="C73" s="105"/>
      <c r="D73" s="104"/>
      <c r="E73" s="106"/>
      <c r="F73" s="42">
        <f>SUBTOTAL(3,F72:F72)</f>
        <v>1</v>
      </c>
      <c r="G73" s="48"/>
      <c r="H73" s="112"/>
      <c r="I73" s="42"/>
    </row>
    <row r="74" spans="1:9" outlineLevel="1" collapsed="1" x14ac:dyDescent="0.25">
      <c r="A74" s="103" t="s">
        <v>596</v>
      </c>
      <c r="B74" s="104"/>
      <c r="C74" s="105"/>
      <c r="D74" s="104"/>
      <c r="E74" s="106"/>
      <c r="F74" s="42">
        <f>SUBTOTAL(3,F60:F72)</f>
        <v>8</v>
      </c>
      <c r="G74" s="48"/>
      <c r="H74" s="112"/>
      <c r="I74" s="42"/>
    </row>
    <row r="75" spans="1:9" x14ac:dyDescent="0.25">
      <c r="A75" s="103" t="s">
        <v>142</v>
      </c>
      <c r="B75" s="104"/>
      <c r="C75" s="105"/>
      <c r="D75" s="104"/>
      <c r="E75" s="106"/>
      <c r="F75" s="42">
        <f>SUBTOTAL(3,F2:F72)</f>
        <v>39</v>
      </c>
      <c r="G75" s="48"/>
      <c r="H75" s="112"/>
      <c r="I75" s="42"/>
    </row>
  </sheetData>
  <conditionalFormatting sqref="A4:I75">
    <cfRule type="expression" dxfId="11" priority="9">
      <formula>FIND("Count",$A4)</formula>
    </cfRule>
    <cfRule type="expression" dxfId="10" priority="10" stopIfTrue="1">
      <formula>FIND("Count",$B4)</formula>
    </cfRule>
  </conditionalFormatting>
  <conditionalFormatting sqref="A3:I3">
    <cfRule type="expression" dxfId="9" priority="1">
      <formula>FIND("Count",$A3)</formula>
    </cfRule>
    <cfRule type="expression" dxfId="8" priority="2" stopIfTrue="1">
      <formula>FIND("Count",$B3)</formula>
    </cfRule>
  </conditionalFormatting>
  <pageMargins left="0.7" right="0.7" top="0.75" bottom="0.75" header="0.3" footer="0.3"/>
  <pageSetup orientation="portrait" horizontalDpi="0"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sheetPr>
  <dimension ref="A1:B5"/>
  <sheetViews>
    <sheetView workbookViewId="0">
      <selection activeCell="B5" sqref="B5"/>
    </sheetView>
  </sheetViews>
  <sheetFormatPr defaultRowHeight="15" x14ac:dyDescent="0.25"/>
  <cols>
    <col min="1" max="1" width="45.625" bestFit="1" customWidth="1"/>
    <col min="2" max="2" width="135" bestFit="1" customWidth="1"/>
  </cols>
  <sheetData>
    <row r="1" spans="1:2" ht="18" x14ac:dyDescent="0.25">
      <c r="A1" s="140" t="s">
        <v>967</v>
      </c>
      <c r="B1" s="142" t="s">
        <v>968</v>
      </c>
    </row>
    <row r="2" spans="1:2" x14ac:dyDescent="0.25">
      <c r="A2" s="155" t="s">
        <v>961</v>
      </c>
      <c r="B2" s="156" t="s">
        <v>962</v>
      </c>
    </row>
    <row r="3" spans="1:2" x14ac:dyDescent="0.25">
      <c r="A3" s="157" t="s">
        <v>963</v>
      </c>
      <c r="B3" s="158" t="s">
        <v>964</v>
      </c>
    </row>
    <row r="4" spans="1:2" x14ac:dyDescent="0.25">
      <c r="A4" s="153" t="s">
        <v>965</v>
      </c>
      <c r="B4" s="154" t="s">
        <v>966</v>
      </c>
    </row>
    <row r="5" spans="1:2" ht="25.5" x14ac:dyDescent="0.25">
      <c r="A5" s="159" t="s">
        <v>969</v>
      </c>
      <c r="B5" s="158" t="s">
        <v>970</v>
      </c>
    </row>
  </sheetData>
  <hyperlinks>
    <hyperlink ref="B2" r:id="rId1"/>
    <hyperlink ref="B3" r:id="rId2"/>
    <hyperlink ref="B4" r:id="rId3"/>
    <hyperlink ref="B5" r:id="rId4"/>
  </hyperlinks>
  <pageMargins left="0.7" right="0.7" top="0.75" bottom="0.75" header="0.3" footer="0.3"/>
  <pageSetup orientation="portrait" horizontalDpi="0" verticalDpi="0" r:id="rId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1:N70"/>
  <sheetViews>
    <sheetView workbookViewId="0">
      <pane xSplit="1" ySplit="2" topLeftCell="K57" activePane="bottomRight" state="frozen"/>
      <selection pane="topRight" activeCell="B1" sqref="B1"/>
      <selection pane="bottomLeft" activeCell="A2" sqref="A2"/>
      <selection pane="bottomRight" activeCell="A77" sqref="A77"/>
    </sheetView>
  </sheetViews>
  <sheetFormatPr defaultRowHeight="15" x14ac:dyDescent="0.25"/>
  <cols>
    <col min="1" max="1" width="109.875" bestFit="1" customWidth="1"/>
    <col min="2" max="2" width="8.375" bestFit="1" customWidth="1"/>
    <col min="3" max="3" width="2.875" bestFit="1" customWidth="1"/>
    <col min="4" max="4" width="3.125" bestFit="1" customWidth="1"/>
    <col min="5" max="5" width="3.125" customWidth="1"/>
    <col min="6" max="6" width="2.875" bestFit="1" customWidth="1"/>
    <col min="7" max="7" width="9.375" bestFit="1" customWidth="1"/>
    <col min="8" max="8" width="6.875" bestFit="1" customWidth="1"/>
    <col min="9" max="9" width="24.25" bestFit="1" customWidth="1"/>
    <col min="10" max="10" width="5.75" bestFit="1" customWidth="1"/>
    <col min="11" max="11" width="6.25" bestFit="1" customWidth="1"/>
    <col min="12" max="12" width="8.875" customWidth="1"/>
    <col min="13" max="13" width="66.625" bestFit="1" customWidth="1"/>
    <col min="14" max="14" width="15.625" customWidth="1"/>
  </cols>
  <sheetData>
    <row r="1" spans="1:14" ht="18" x14ac:dyDescent="0.25">
      <c r="A1" s="290" t="s">
        <v>695</v>
      </c>
      <c r="B1" s="289" t="s">
        <v>701</v>
      </c>
      <c r="C1" s="289"/>
      <c r="D1" s="289"/>
      <c r="E1" s="289"/>
      <c r="F1" s="289"/>
      <c r="G1" s="124"/>
      <c r="H1" s="289" t="s">
        <v>700</v>
      </c>
      <c r="I1" s="289"/>
      <c r="J1" s="289" t="s">
        <v>178</v>
      </c>
      <c r="K1" s="289"/>
      <c r="L1" s="289"/>
      <c r="M1" s="289" t="s">
        <v>702</v>
      </c>
      <c r="N1" s="289"/>
    </row>
    <row r="2" spans="1:14" ht="18" x14ac:dyDescent="0.25">
      <c r="A2" s="291"/>
      <c r="B2" s="76" t="str">
        <f>"const "</f>
        <v xml:space="preserve">const </v>
      </c>
      <c r="C2" s="76" t="str">
        <f>CHAR(32)</f>
        <v xml:space="preserve"> </v>
      </c>
      <c r="D2" s="76" t="str">
        <f>"="</f>
        <v>=</v>
      </c>
      <c r="E2" s="76" t="s">
        <v>714</v>
      </c>
      <c r="F2" s="76" t="s">
        <v>696</v>
      </c>
      <c r="G2" s="76" t="s">
        <v>715</v>
      </c>
      <c r="H2" s="76" t="s">
        <v>6</v>
      </c>
      <c r="I2" s="76" t="s">
        <v>7</v>
      </c>
      <c r="J2" s="76" t="s">
        <v>697</v>
      </c>
      <c r="K2" s="76" t="s">
        <v>698</v>
      </c>
      <c r="L2" s="76" t="s">
        <v>699</v>
      </c>
      <c r="M2" s="76" t="s">
        <v>703</v>
      </c>
      <c r="N2" s="76" t="s">
        <v>704</v>
      </c>
    </row>
    <row r="3" spans="1:14" x14ac:dyDescent="0.25">
      <c r="A3" s="125" t="s">
        <v>666</v>
      </c>
      <c r="B3" s="125" t="str">
        <f t="shared" ref="B3:B22" si="0">IFERROR(FIND(B$2,$A3),"")</f>
        <v/>
      </c>
      <c r="C3" s="125" t="str">
        <f t="shared" ref="C3:C66" si="1">IFERROR(FIND(C$2,$A3,B3+1+LEN(B$2)),"")</f>
        <v/>
      </c>
      <c r="D3" s="125" t="str">
        <f t="shared" ref="D3:F19" si="2">IFERROR(FIND(D$2,$A3),"")</f>
        <v/>
      </c>
      <c r="E3" s="125" t="str">
        <f t="shared" si="2"/>
        <v/>
      </c>
      <c r="F3" s="125" t="str">
        <f t="shared" si="2"/>
        <v/>
      </c>
      <c r="G3" s="125">
        <f>IF(ISBLANK(A3),"",LEN(A3))</f>
        <v>50</v>
      </c>
      <c r="H3" s="125" t="str">
        <f>IFERROR(MID($A3,B3+LEN(B$2),C3-(B3+LEN(B$2))),"")</f>
        <v/>
      </c>
      <c r="I3" s="125" t="str">
        <f>IFERROR(TRIM(IF(AND(LEN(D3)&gt;0,LEN(E3)&gt;0),LEFT(A3,D3-1),MID(A3,C3,D3-C3))),"")</f>
        <v/>
      </c>
      <c r="J3" s="125" t="str">
        <f>IFERROR(TRIM(IF(AND(LEN(D3)&gt;0,LEN(E3)&gt;0),MID(A3,D3+1,E3-1-D3),MID(A3,D3+1,F3-1-D3))),"")</f>
        <v/>
      </c>
      <c r="K3" s="125" t="str">
        <f>IFERROR(IF(HEX2DEC(RIGHT(J4,LEN(J4)-2))=0,-1,HEX2DEC(RIGHT(J3,LEN(J3)-2))),"")</f>
        <v/>
      </c>
      <c r="L3" s="125" t="str">
        <f>IFERROR(HEX2BIN(RIGHT(J3,LEN(J3)-2),8),"")</f>
        <v/>
      </c>
      <c r="M3" s="125"/>
      <c r="N3" s="125"/>
    </row>
    <row r="4" spans="1:14" x14ac:dyDescent="0.25">
      <c r="A4" s="126" t="s">
        <v>667</v>
      </c>
      <c r="B4" s="126" t="str">
        <f t="shared" si="0"/>
        <v/>
      </c>
      <c r="C4" s="125" t="str">
        <f t="shared" si="1"/>
        <v/>
      </c>
      <c r="D4" s="125" t="str">
        <f t="shared" si="2"/>
        <v/>
      </c>
      <c r="E4" s="125" t="str">
        <f t="shared" si="2"/>
        <v/>
      </c>
      <c r="F4" s="125" t="str">
        <f t="shared" si="2"/>
        <v/>
      </c>
      <c r="G4" s="125">
        <f t="shared" ref="G4:G67" si="3">IF(ISBLANK(A4),"",LEN(A4))</f>
        <v>22</v>
      </c>
      <c r="H4" s="126" t="str">
        <f t="shared" ref="H4:H55" si="4">IFERROR(MID($A4,B4+LEN(B$2),C4-(B4+LEN(B$2))),"")</f>
        <v/>
      </c>
      <c r="I4" s="125" t="str">
        <f t="shared" ref="I4:I62" si="5">IFERROR(TRIM(IF(AND(LEN(D4)&gt;0,LEN(E4)&gt;0),LEFT(A4,D4-1),MID(A4,C4,D4-C4))),"")</f>
        <v/>
      </c>
      <c r="J4" s="125" t="str">
        <f t="shared" ref="J4:J67" si="6">IFERROR(TRIM(IF(AND(LEN(D4)&gt;0,LEN(E4)&gt;0),MID(A4,D4+1,E4-1-D4),MID(A4,D4+1,F4-1-D4))),"")</f>
        <v/>
      </c>
      <c r="K4" s="125" t="str">
        <f t="shared" ref="K4:K67" si="7">IFERROR(HEX2DEC(RIGHT(J4,LEN(J4)-2)),"")</f>
        <v/>
      </c>
      <c r="L4" s="125" t="str">
        <f t="shared" ref="L4:L67" si="8">IFERROR(HEX2BIN(RIGHT(J4,LEN(J4)-2),8),"")</f>
        <v/>
      </c>
      <c r="M4" s="126"/>
      <c r="N4" s="126"/>
    </row>
    <row r="5" spans="1:14" x14ac:dyDescent="0.25">
      <c r="A5" s="126" t="s">
        <v>668</v>
      </c>
      <c r="B5" s="126" t="str">
        <f t="shared" si="0"/>
        <v/>
      </c>
      <c r="C5" s="125" t="str">
        <f t="shared" si="1"/>
        <v/>
      </c>
      <c r="D5" s="125" t="str">
        <f t="shared" si="2"/>
        <v/>
      </c>
      <c r="E5" s="125" t="str">
        <f t="shared" si="2"/>
        <v/>
      </c>
      <c r="F5" s="125" t="str">
        <f t="shared" si="2"/>
        <v/>
      </c>
      <c r="G5" s="125">
        <f t="shared" si="3"/>
        <v>9</v>
      </c>
      <c r="H5" s="126" t="str">
        <f t="shared" si="4"/>
        <v/>
      </c>
      <c r="I5" s="125" t="str">
        <f t="shared" si="5"/>
        <v/>
      </c>
      <c r="J5" s="125" t="str">
        <f t="shared" si="6"/>
        <v/>
      </c>
      <c r="K5" s="125" t="str">
        <f t="shared" si="7"/>
        <v/>
      </c>
      <c r="L5" s="125" t="str">
        <f t="shared" si="8"/>
        <v/>
      </c>
      <c r="M5" s="126" t="str">
        <f>CONCATENATE("static readonly ",RIGHT(TRIM(A$4),LEN(TRIM(A$4))-FIND(CHAR(32),TRIM(A$4)))," [] s_aenm",RIGHT(TRIM(A$4),LEN(TRIM(A$4))-FIND(CHAR(32),TRIM(A$4))),"={")</f>
        <v>static readonly BOMStatus [] s_aenmBOMStatus={</v>
      </c>
      <c r="N5" s="126" t="str">
        <f>K5</f>
        <v/>
      </c>
    </row>
    <row r="6" spans="1:14" x14ac:dyDescent="0.25">
      <c r="A6" s="126" t="s">
        <v>716</v>
      </c>
      <c r="B6" s="126" t="str">
        <f t="shared" si="0"/>
        <v/>
      </c>
      <c r="C6" s="125" t="str">
        <f t="shared" si="1"/>
        <v/>
      </c>
      <c r="D6" s="125">
        <f t="shared" si="2"/>
        <v>18</v>
      </c>
      <c r="E6" s="125">
        <f t="shared" si="2"/>
        <v>25</v>
      </c>
      <c r="F6" s="125" t="str">
        <f t="shared" si="2"/>
        <v/>
      </c>
      <c r="G6" s="125">
        <f t="shared" si="3"/>
        <v>25</v>
      </c>
      <c r="H6" s="126" t="str">
        <f t="shared" si="4"/>
        <v/>
      </c>
      <c r="I6" s="125" t="str">
        <f t="shared" si="5"/>
        <v>None</v>
      </c>
      <c r="J6" s="125" t="str">
        <f t="shared" si="6"/>
        <v>0x00</v>
      </c>
      <c r="K6" s="125">
        <f t="shared" si="7"/>
        <v>0</v>
      </c>
      <c r="L6" s="125" t="str">
        <f t="shared" si="8"/>
        <v>00000000</v>
      </c>
      <c r="M6" s="126" t="str">
        <f>IF(LEN(I6)&gt;0,IF(OR(ROW(K$6)=ROW(K6),ISNA(VLOOKUP(K6,K5:K$6,1,FALSE))),CONCATENATE(RIGHT(TRIM(A$4),LEN(TRIM(A$4))-FIND(CHAR(32),TRIM(A$4))),".", I6,IF(LEN(I7)&gt;0,",","")),""),"};")</f>
        <v>BOMStatus.None,</v>
      </c>
      <c r="N6" s="126">
        <f>K6</f>
        <v>0</v>
      </c>
    </row>
    <row r="7" spans="1:14" x14ac:dyDescent="0.25">
      <c r="A7" s="126" t="s">
        <v>717</v>
      </c>
      <c r="B7" s="126" t="str">
        <f t="shared" si="0"/>
        <v/>
      </c>
      <c r="C7" s="125" t="str">
        <f t="shared" si="1"/>
        <v/>
      </c>
      <c r="D7" s="125">
        <f t="shared" si="2"/>
        <v>18</v>
      </c>
      <c r="E7" s="125">
        <f t="shared" si="2"/>
        <v>25</v>
      </c>
      <c r="F7" s="125" t="str">
        <f t="shared" si="2"/>
        <v/>
      </c>
      <c r="G7" s="125">
        <f t="shared" si="3"/>
        <v>25</v>
      </c>
      <c r="H7" s="126" t="str">
        <f t="shared" si="4"/>
        <v/>
      </c>
      <c r="I7" s="125" t="str">
        <f t="shared" si="5"/>
        <v>UTF8</v>
      </c>
      <c r="J7" s="125" t="str">
        <f t="shared" si="6"/>
        <v>0x01</v>
      </c>
      <c r="K7" s="125">
        <f t="shared" si="7"/>
        <v>1</v>
      </c>
      <c r="L7" s="125" t="str">
        <f t="shared" si="8"/>
        <v>00000001</v>
      </c>
      <c r="M7" s="126" t="str">
        <f>IF(LEN(I7)&gt;0,IF(OR(ROW(K$6)=ROW(K7),ISNA(VLOOKUP(K7,K6:K$6,1,FALSE))),CONCATENATE(RIGHT(TRIM(A$4),LEN(TRIM(A$4))-FIND(CHAR(32),TRIM(A$4))),".", I7,IF(LEN(I8)&gt;0,",","")),""),"};")</f>
        <v>BOMStatus.UTF8,</v>
      </c>
      <c r="N7" s="126"/>
    </row>
    <row r="8" spans="1:14" x14ac:dyDescent="0.25">
      <c r="A8" s="126" t="s">
        <v>718</v>
      </c>
      <c r="B8" s="126" t="str">
        <f t="shared" si="0"/>
        <v/>
      </c>
      <c r="C8" s="125" t="str">
        <f t="shared" si="1"/>
        <v/>
      </c>
      <c r="D8" s="125">
        <f t="shared" si="2"/>
        <v>33</v>
      </c>
      <c r="E8" s="125">
        <f t="shared" si="2"/>
        <v>40</v>
      </c>
      <c r="F8" s="125" t="str">
        <f t="shared" si="2"/>
        <v/>
      </c>
      <c r="G8" s="125">
        <f t="shared" si="3"/>
        <v>40</v>
      </c>
      <c r="H8" s="126" t="str">
        <f t="shared" si="4"/>
        <v/>
      </c>
      <c r="I8" s="125" t="str">
        <f t="shared" si="5"/>
        <v>UnicodeLittleEndian</v>
      </c>
      <c r="J8" s="125" t="str">
        <f t="shared" si="6"/>
        <v>0x02</v>
      </c>
      <c r="K8" s="125">
        <f t="shared" si="7"/>
        <v>2</v>
      </c>
      <c r="L8" s="125" t="str">
        <f t="shared" si="8"/>
        <v>00000010</v>
      </c>
      <c r="M8" s="126" t="str">
        <f>IF(LEN(I8)&gt;0,IF(OR(ROW(K$6)=ROW(K8),ISNA(VLOOKUP(K8,K$6:K7,1,FALSE))),CONCATENATE(RIGHT(TRIM(A$4),LEN(TRIM(A$4))-FIND(CHAR(32),TRIM(A$4))),".", I8,IF(LEN(I9)&gt;0,",","")),""),"};")</f>
        <v>BOMStatus.UnicodeLittleEndian,</v>
      </c>
      <c r="N8" s="126"/>
    </row>
    <row r="9" spans="1:14" x14ac:dyDescent="0.25">
      <c r="A9" s="126" t="s">
        <v>719</v>
      </c>
      <c r="B9" s="126" t="str">
        <f t="shared" si="0"/>
        <v/>
      </c>
      <c r="C9" s="125" t="str">
        <f t="shared" si="1"/>
        <v/>
      </c>
      <c r="D9" s="125">
        <f t="shared" si="2"/>
        <v>30</v>
      </c>
      <c r="E9" s="125">
        <f t="shared" si="2"/>
        <v>37</v>
      </c>
      <c r="F9" s="125" t="str">
        <f t="shared" si="2"/>
        <v/>
      </c>
      <c r="G9" s="125">
        <f t="shared" si="3"/>
        <v>37</v>
      </c>
      <c r="H9" s="126" t="str">
        <f t="shared" si="4"/>
        <v/>
      </c>
      <c r="I9" s="125" t="str">
        <f t="shared" si="5"/>
        <v>UnicodeBigEndian</v>
      </c>
      <c r="J9" s="125" t="str">
        <f t="shared" si="6"/>
        <v>0x03</v>
      </c>
      <c r="K9" s="125">
        <f t="shared" si="7"/>
        <v>3</v>
      </c>
      <c r="L9" s="125" t="str">
        <f t="shared" si="8"/>
        <v>00000011</v>
      </c>
      <c r="M9" s="126" t="str">
        <f>IF(LEN(I9)&gt;0,IF(OR(ROW(K$6)=ROW(K9),ISNA(VLOOKUP(K9,K$6:K8,1,FALSE))),CONCATENATE(RIGHT(TRIM(A$4),LEN(TRIM(A$4))-FIND(CHAR(32),TRIM(A$4))),".", I9,IF(LEN(I10)&gt;0,",","")),""),"};")</f>
        <v>BOMStatus.UnicodeBigEndian,</v>
      </c>
      <c r="N9" s="126"/>
    </row>
    <row r="10" spans="1:14" x14ac:dyDescent="0.25">
      <c r="A10" s="126" t="s">
        <v>720</v>
      </c>
      <c r="B10" s="126" t="str">
        <f t="shared" si="0"/>
        <v/>
      </c>
      <c r="C10" s="125" t="str">
        <f t="shared" si="1"/>
        <v/>
      </c>
      <c r="D10" s="125">
        <f t="shared" si="2"/>
        <v>21</v>
      </c>
      <c r="E10" s="125">
        <f t="shared" si="2"/>
        <v>28</v>
      </c>
      <c r="F10" s="125" t="str">
        <f t="shared" si="2"/>
        <v/>
      </c>
      <c r="G10" s="125">
        <f t="shared" si="3"/>
        <v>28</v>
      </c>
      <c r="H10" s="126"/>
      <c r="I10" s="125" t="str">
        <f t="shared" si="5"/>
        <v>UTF16LE</v>
      </c>
      <c r="J10" s="125" t="str">
        <f t="shared" si="6"/>
        <v>0x02</v>
      </c>
      <c r="K10" s="125">
        <f t="shared" si="7"/>
        <v>2</v>
      </c>
      <c r="L10" s="125" t="str">
        <f t="shared" si="8"/>
        <v>00000010</v>
      </c>
      <c r="M10" s="126" t="str">
        <f>IF(LEN(I10)&gt;0,IF(OR(ROW(K$6)=ROW(K10),ISNA(VLOOKUP(K10,K$6:K9,1,FALSE))),CONCATENATE(RIGHT(TRIM(A$4),LEN(TRIM(A$4))-FIND(CHAR(32),TRIM(A$4))),".", I10,IF(LEN(I11)&gt;0,",","")),""),"};")</f>
        <v/>
      </c>
      <c r="N10" s="126"/>
    </row>
    <row r="11" spans="1:14" x14ac:dyDescent="0.25">
      <c r="A11" s="126" t="s">
        <v>721</v>
      </c>
      <c r="B11" s="126" t="str">
        <f t="shared" si="0"/>
        <v/>
      </c>
      <c r="C11" s="125" t="str">
        <f t="shared" si="1"/>
        <v/>
      </c>
      <c r="D11" s="125">
        <f t="shared" si="2"/>
        <v>21</v>
      </c>
      <c r="E11" s="125">
        <f t="shared" si="2"/>
        <v>28</v>
      </c>
      <c r="F11" s="125" t="str">
        <f t="shared" si="2"/>
        <v/>
      </c>
      <c r="G11" s="125">
        <f t="shared" si="3"/>
        <v>28</v>
      </c>
      <c r="H11" s="126"/>
      <c r="I11" s="125" t="str">
        <f t="shared" si="5"/>
        <v>UTF16BE</v>
      </c>
      <c r="J11" s="125" t="str">
        <f t="shared" si="6"/>
        <v>0x03</v>
      </c>
      <c r="K11" s="125">
        <f t="shared" si="7"/>
        <v>3</v>
      </c>
      <c r="L11" s="125" t="str">
        <f t="shared" si="8"/>
        <v>00000011</v>
      </c>
      <c r="M11" s="126" t="str">
        <f>IF(LEN(I11)&gt;0,IF(OR(ROW(K$6)=ROW(K11),ISNA(VLOOKUP(K11,K$6:K10,1,FALSE))),CONCATENATE(RIGHT(TRIM(A$4),LEN(TRIM(A$4))-FIND(CHAR(32),TRIM(A$4))),".", I11,IF(LEN(I12)&gt;0,",","")),""),"};")</f>
        <v/>
      </c>
      <c r="N11" s="126"/>
    </row>
    <row r="12" spans="1:14" x14ac:dyDescent="0.25">
      <c r="A12" s="126" t="s">
        <v>722</v>
      </c>
      <c r="B12" s="126" t="str">
        <f t="shared" si="0"/>
        <v/>
      </c>
      <c r="C12" s="125" t="str">
        <f t="shared" si="1"/>
        <v/>
      </c>
      <c r="D12" s="125">
        <f t="shared" si="2"/>
        <v>21</v>
      </c>
      <c r="E12" s="125">
        <f t="shared" si="2"/>
        <v>28</v>
      </c>
      <c r="F12" s="125" t="str">
        <f t="shared" si="2"/>
        <v/>
      </c>
      <c r="G12" s="125">
        <f t="shared" si="3"/>
        <v>28</v>
      </c>
      <c r="H12" s="126"/>
      <c r="I12" s="125" t="str">
        <f t="shared" si="5"/>
        <v>UTF32LE</v>
      </c>
      <c r="J12" s="125" t="str">
        <f t="shared" si="6"/>
        <v>0x04</v>
      </c>
      <c r="K12" s="125">
        <f t="shared" si="7"/>
        <v>4</v>
      </c>
      <c r="L12" s="125" t="str">
        <f t="shared" si="8"/>
        <v>00000100</v>
      </c>
      <c r="M12" s="126" t="str">
        <f>IF(LEN(I12)&gt;0,IF(OR(ROW(K$6)=ROW(K12),ISNA(VLOOKUP(K12,K$6:K11,1,FALSE))),CONCATENATE(RIGHT(TRIM(A$4),LEN(TRIM(A$4))-FIND(CHAR(32),TRIM(A$4))),".", I12,IF(LEN(I13)&gt;0,",","")),""),"};")</f>
        <v>BOMStatus.UTF32LE,</v>
      </c>
      <c r="N12" s="126"/>
    </row>
    <row r="13" spans="1:14" x14ac:dyDescent="0.25">
      <c r="A13" s="126" t="s">
        <v>723</v>
      </c>
      <c r="B13" s="126" t="str">
        <f t="shared" si="0"/>
        <v/>
      </c>
      <c r="C13" s="125" t="str">
        <f t="shared" si="1"/>
        <v/>
      </c>
      <c r="D13" s="125">
        <f t="shared" si="2"/>
        <v>21</v>
      </c>
      <c r="E13" s="125">
        <f t="shared" si="2"/>
        <v>28</v>
      </c>
      <c r="F13" s="125" t="str">
        <f t="shared" si="2"/>
        <v/>
      </c>
      <c r="G13" s="125">
        <f t="shared" si="3"/>
        <v>28</v>
      </c>
      <c r="H13" s="126"/>
      <c r="I13" s="125" t="str">
        <f t="shared" si="5"/>
        <v>UTF32BE</v>
      </c>
      <c r="J13" s="125" t="str">
        <f t="shared" si="6"/>
        <v>0x05</v>
      </c>
      <c r="K13" s="125">
        <f t="shared" si="7"/>
        <v>5</v>
      </c>
      <c r="L13" s="125" t="str">
        <f t="shared" si="8"/>
        <v>00000101</v>
      </c>
      <c r="M13" s="126" t="str">
        <f>IF(LEN(I13)&gt;0,IF(OR(ROW(K$6)=ROW(K13),ISNA(VLOOKUP(K13,K$6:K12,1,FALSE))),CONCATENATE(RIGHT(TRIM(A$4),LEN(TRIM(A$4))-FIND(CHAR(32),TRIM(A$4))),".", I13,IF(LEN(I14)&gt;0,",","")),""),"};")</f>
        <v>BOMStatus.UTF32BE</v>
      </c>
      <c r="N13" s="126"/>
    </row>
    <row r="14" spans="1:14" x14ac:dyDescent="0.25">
      <c r="A14" s="126" t="s">
        <v>669</v>
      </c>
      <c r="B14" s="126" t="str">
        <f t="shared" si="0"/>
        <v/>
      </c>
      <c r="C14" s="125" t="str">
        <f t="shared" si="1"/>
        <v/>
      </c>
      <c r="D14" s="125" t="str">
        <f t="shared" si="2"/>
        <v/>
      </c>
      <c r="E14" s="125" t="str">
        <f t="shared" si="2"/>
        <v/>
      </c>
      <c r="F14" s="125" t="str">
        <f t="shared" si="2"/>
        <v/>
      </c>
      <c r="G14" s="125">
        <f t="shared" si="3"/>
        <v>24</v>
      </c>
      <c r="H14" s="126" t="str">
        <f t="shared" si="4"/>
        <v/>
      </c>
      <c r="I14" s="125" t="str">
        <f t="shared" si="5"/>
        <v/>
      </c>
      <c r="J14" s="125" t="str">
        <f t="shared" si="6"/>
        <v/>
      </c>
      <c r="K14" s="125" t="str">
        <f t="shared" si="7"/>
        <v/>
      </c>
      <c r="L14" s="125" t="str">
        <f t="shared" si="8"/>
        <v/>
      </c>
      <c r="M14" s="126" t="str">
        <f>IF(LEN(I14)&gt;0,IF(OR(ROW(K$6)=ROW(K14),ISNA(VLOOKUP(K14,K$6:K13,1,FALSE))),CONCATENATE(RIGHT(TRIM(A$4),LEN(TRIM(A$4))-FIND(CHAR(32),TRIM(A$4))),".", I14,IF(LEN(I15)&gt;0,",","")),""),"};")</f>
        <v>};</v>
      </c>
      <c r="N14" s="126"/>
    </row>
    <row r="15" spans="1:14" x14ac:dyDescent="0.25">
      <c r="A15" s="126"/>
      <c r="B15" s="126" t="str">
        <f t="shared" si="0"/>
        <v/>
      </c>
      <c r="C15" s="125" t="str">
        <f t="shared" si="1"/>
        <v/>
      </c>
      <c r="D15" s="125" t="str">
        <f t="shared" si="2"/>
        <v/>
      </c>
      <c r="E15" s="125" t="str">
        <f t="shared" si="2"/>
        <v/>
      </c>
      <c r="F15" s="125" t="str">
        <f t="shared" si="2"/>
        <v/>
      </c>
      <c r="G15" s="125" t="str">
        <f t="shared" si="3"/>
        <v/>
      </c>
      <c r="H15" s="126" t="str">
        <f t="shared" si="4"/>
        <v/>
      </c>
      <c r="I15" s="125" t="str">
        <f t="shared" si="5"/>
        <v/>
      </c>
      <c r="J15" s="125" t="str">
        <f t="shared" si="6"/>
        <v/>
      </c>
      <c r="K15" s="125" t="str">
        <f t="shared" si="7"/>
        <v/>
      </c>
      <c r="L15" s="125" t="str">
        <f t="shared" si="8"/>
        <v/>
      </c>
      <c r="M15" s="126"/>
      <c r="N15" s="126"/>
    </row>
    <row r="16" spans="1:14" x14ac:dyDescent="0.25">
      <c r="A16" s="126" t="s">
        <v>670</v>
      </c>
      <c r="B16" s="126" t="str">
        <f t="shared" si="0"/>
        <v/>
      </c>
      <c r="C16" s="125" t="str">
        <f t="shared" si="1"/>
        <v/>
      </c>
      <c r="D16" s="125" t="str">
        <f t="shared" si="2"/>
        <v/>
      </c>
      <c r="E16" s="125">
        <f t="shared" si="2"/>
        <v>41</v>
      </c>
      <c r="F16" s="125" t="str">
        <f t="shared" si="2"/>
        <v/>
      </c>
      <c r="G16" s="125">
        <f t="shared" si="3"/>
        <v>72</v>
      </c>
      <c r="H16" s="126" t="str">
        <f t="shared" si="4"/>
        <v/>
      </c>
      <c r="I16" s="125" t="str">
        <f t="shared" si="5"/>
        <v/>
      </c>
      <c r="J16" s="125" t="str">
        <f t="shared" si="6"/>
        <v/>
      </c>
      <c r="K16" s="125" t="str">
        <f t="shared" si="7"/>
        <v/>
      </c>
      <c r="L16" s="125" t="str">
        <f t="shared" si="8"/>
        <v/>
      </c>
      <c r="M16" s="126"/>
      <c r="N16" s="126"/>
    </row>
    <row r="17" spans="1:14" x14ac:dyDescent="0.25">
      <c r="A17" s="126" t="s">
        <v>671</v>
      </c>
      <c r="B17" s="126" t="str">
        <f t="shared" si="0"/>
        <v/>
      </c>
      <c r="C17" s="125" t="str">
        <f t="shared" si="1"/>
        <v/>
      </c>
      <c r="D17" s="125" t="str">
        <f t="shared" si="2"/>
        <v/>
      </c>
      <c r="E17" s="125" t="str">
        <f t="shared" si="2"/>
        <v/>
      </c>
      <c r="F17" s="125" t="str">
        <f t="shared" si="2"/>
        <v/>
      </c>
      <c r="G17" s="125">
        <f t="shared" si="3"/>
        <v>69</v>
      </c>
      <c r="H17" s="126" t="str">
        <f t="shared" si="4"/>
        <v/>
      </c>
      <c r="I17" s="125" t="str">
        <f t="shared" si="5"/>
        <v/>
      </c>
      <c r="J17" s="125" t="str">
        <f t="shared" si="6"/>
        <v/>
      </c>
      <c r="K17" s="125" t="str">
        <f t="shared" si="7"/>
        <v/>
      </c>
      <c r="L17" s="125" t="str">
        <f t="shared" si="8"/>
        <v/>
      </c>
      <c r="M17" s="126"/>
      <c r="N17" s="126"/>
    </row>
    <row r="18" spans="1:14" x14ac:dyDescent="0.25">
      <c r="A18" s="126" t="s">
        <v>672</v>
      </c>
      <c r="B18" s="126" t="str">
        <f t="shared" si="0"/>
        <v/>
      </c>
      <c r="C18" s="125" t="str">
        <f t="shared" si="1"/>
        <v/>
      </c>
      <c r="D18" s="125" t="str">
        <f t="shared" si="2"/>
        <v/>
      </c>
      <c r="E18" s="125" t="str">
        <f t="shared" si="2"/>
        <v/>
      </c>
      <c r="F18" s="125" t="str">
        <f t="shared" si="2"/>
        <v/>
      </c>
      <c r="G18" s="125">
        <f t="shared" si="3"/>
        <v>10</v>
      </c>
      <c r="H18" s="126" t="str">
        <f t="shared" si="4"/>
        <v/>
      </c>
      <c r="I18" s="125" t="str">
        <f t="shared" si="5"/>
        <v/>
      </c>
      <c r="J18" s="125" t="str">
        <f t="shared" si="6"/>
        <v/>
      </c>
      <c r="K18" s="125" t="str">
        <f t="shared" si="7"/>
        <v/>
      </c>
      <c r="L18" s="125" t="str">
        <f t="shared" si="8"/>
        <v/>
      </c>
      <c r="M18" s="126"/>
      <c r="N18" s="126"/>
    </row>
    <row r="19" spans="1:14" x14ac:dyDescent="0.25">
      <c r="A19" s="126" t="s">
        <v>673</v>
      </c>
      <c r="B19" s="126" t="str">
        <f t="shared" si="0"/>
        <v/>
      </c>
      <c r="C19" s="125" t="str">
        <f t="shared" si="1"/>
        <v/>
      </c>
      <c r="D19" s="125" t="str">
        <f t="shared" si="2"/>
        <v/>
      </c>
      <c r="E19" s="125">
        <f t="shared" si="2"/>
        <v>31</v>
      </c>
      <c r="F19" s="125" t="str">
        <f t="shared" si="2"/>
        <v/>
      </c>
      <c r="G19" s="125">
        <f t="shared" si="3"/>
        <v>106</v>
      </c>
      <c r="H19" s="126" t="str">
        <f t="shared" si="4"/>
        <v/>
      </c>
      <c r="I19" s="125" t="str">
        <f t="shared" si="5"/>
        <v/>
      </c>
      <c r="J19" s="125" t="str">
        <f t="shared" si="6"/>
        <v/>
      </c>
      <c r="K19" s="125" t="str">
        <f t="shared" si="7"/>
        <v/>
      </c>
      <c r="L19" s="125" t="str">
        <f t="shared" si="8"/>
        <v/>
      </c>
      <c r="M19" s="126"/>
      <c r="N19" s="126"/>
    </row>
    <row r="20" spans="1:14" x14ac:dyDescent="0.25">
      <c r="A20" s="126" t="s">
        <v>674</v>
      </c>
      <c r="B20" s="126" t="str">
        <f t="shared" si="0"/>
        <v/>
      </c>
      <c r="C20" s="125" t="str">
        <f t="shared" si="1"/>
        <v/>
      </c>
      <c r="D20" s="125" t="str">
        <f t="shared" ref="D20:F70" si="9">IFERROR(FIND(D$2,$A20),"")</f>
        <v/>
      </c>
      <c r="E20" s="125" t="str">
        <f t="shared" si="9"/>
        <v/>
      </c>
      <c r="F20" s="125" t="str">
        <f t="shared" si="9"/>
        <v/>
      </c>
      <c r="G20" s="125">
        <f t="shared" si="3"/>
        <v>59</v>
      </c>
      <c r="H20" s="126"/>
      <c r="I20" s="125" t="str">
        <f t="shared" si="5"/>
        <v/>
      </c>
      <c r="J20" s="125" t="str">
        <f t="shared" si="6"/>
        <v/>
      </c>
      <c r="K20" s="125" t="str">
        <f t="shared" si="7"/>
        <v/>
      </c>
      <c r="L20" s="125" t="str">
        <f t="shared" si="8"/>
        <v/>
      </c>
      <c r="M20" s="126"/>
      <c r="N20" s="126"/>
    </row>
    <row r="21" spans="1:14" x14ac:dyDescent="0.25">
      <c r="A21" s="126"/>
      <c r="B21" s="126" t="str">
        <f t="shared" si="0"/>
        <v/>
      </c>
      <c r="C21" s="125" t="str">
        <f t="shared" si="1"/>
        <v/>
      </c>
      <c r="D21" s="125" t="str">
        <f t="shared" si="9"/>
        <v/>
      </c>
      <c r="E21" s="125" t="str">
        <f t="shared" si="9"/>
        <v/>
      </c>
      <c r="F21" s="125" t="str">
        <f t="shared" si="9"/>
        <v/>
      </c>
      <c r="G21" s="125" t="str">
        <f t="shared" si="3"/>
        <v/>
      </c>
      <c r="H21" s="126"/>
      <c r="I21" s="125" t="str">
        <f t="shared" si="5"/>
        <v/>
      </c>
      <c r="J21" s="125" t="str">
        <f t="shared" si="6"/>
        <v/>
      </c>
      <c r="K21" s="125" t="str">
        <f t="shared" si="7"/>
        <v/>
      </c>
      <c r="L21" s="125" t="str">
        <f t="shared" si="8"/>
        <v/>
      </c>
      <c r="M21" s="126"/>
      <c r="N21" s="126"/>
    </row>
    <row r="22" spans="1:14" x14ac:dyDescent="0.25">
      <c r="A22" s="126" t="str">
        <f>CONCATENATE("s_achr",IF(RIGHT(LEFT(I23,FIND("_",I23)-1),1)="8",LEFT(I23,FIND("_",I23)-1),LEFT(I23,8)))</f>
        <v>s_achrUTF8</v>
      </c>
      <c r="B22" s="126" t="str">
        <f t="shared" si="0"/>
        <v/>
      </c>
      <c r="C22" s="125" t="str">
        <f t="shared" si="1"/>
        <v/>
      </c>
      <c r="D22" s="125" t="str">
        <f t="shared" si="9"/>
        <v/>
      </c>
      <c r="E22" s="125" t="str">
        <f t="shared" si="9"/>
        <v/>
      </c>
      <c r="F22" s="125" t="str">
        <f t="shared" si="9"/>
        <v/>
      </c>
      <c r="G22" s="125">
        <f t="shared" si="3"/>
        <v>10</v>
      </c>
      <c r="H22" s="126" t="str">
        <f t="shared" si="4"/>
        <v/>
      </c>
      <c r="I22" s="125" t="str">
        <f t="shared" si="5"/>
        <v/>
      </c>
      <c r="J22" s="125" t="str">
        <f t="shared" si="6"/>
        <v/>
      </c>
      <c r="K22" s="125" t="str">
        <f t="shared" si="7"/>
        <v/>
      </c>
      <c r="L22" s="125" t="str">
        <f t="shared" si="8"/>
        <v/>
      </c>
      <c r="M22" s="126" t="str">
        <f>CONCATENATE("static readonly byte [] ",A22,"={")</f>
        <v>static readonly byte [] s_achrUTF8={</v>
      </c>
      <c r="N22" s="126"/>
    </row>
    <row r="23" spans="1:14" x14ac:dyDescent="0.25">
      <c r="A23" s="126" t="s">
        <v>675</v>
      </c>
      <c r="B23" s="126">
        <f t="shared" ref="B23:B36" si="10">IFERROR(FIND(B$2,$A23),"")</f>
        <v>9</v>
      </c>
      <c r="C23" s="125">
        <f t="shared" si="1"/>
        <v>19</v>
      </c>
      <c r="D23" s="125">
        <f t="shared" si="9"/>
        <v>37</v>
      </c>
      <c r="E23" s="125" t="str">
        <f t="shared" si="9"/>
        <v/>
      </c>
      <c r="F23" s="125">
        <f t="shared" si="9"/>
        <v>43</v>
      </c>
      <c r="G23" s="125">
        <f t="shared" si="3"/>
        <v>43</v>
      </c>
      <c r="H23" s="126" t="str">
        <f t="shared" si="4"/>
        <v>byte</v>
      </c>
      <c r="I23" s="125" t="str">
        <f t="shared" si="5"/>
        <v>UTF8_BYTE_1_OF_3</v>
      </c>
      <c r="J23" s="125" t="str">
        <f t="shared" si="6"/>
        <v>0xEF</v>
      </c>
      <c r="K23" s="125">
        <f t="shared" si="7"/>
        <v>239</v>
      </c>
      <c r="L23" s="125" t="str">
        <f t="shared" si="8"/>
        <v>11101111</v>
      </c>
      <c r="M23" s="126" t="str">
        <f>IF(LEN(I23)&gt;0,CONCATENATE(I23,IF(LEN(I24)&gt;0,",","")),"};")</f>
        <v>UTF8_BYTE_1_OF_3,</v>
      </c>
      <c r="N23" s="126" t="b">
        <f>E23&gt;0</f>
        <v>1</v>
      </c>
    </row>
    <row r="24" spans="1:14" x14ac:dyDescent="0.25">
      <c r="A24" s="126" t="s">
        <v>676</v>
      </c>
      <c r="B24" s="126">
        <f t="shared" si="10"/>
        <v>9</v>
      </c>
      <c r="C24" s="125">
        <f t="shared" si="1"/>
        <v>19</v>
      </c>
      <c r="D24" s="125">
        <f t="shared" si="9"/>
        <v>37</v>
      </c>
      <c r="E24" s="125" t="str">
        <f t="shared" si="9"/>
        <v/>
      </c>
      <c r="F24" s="125">
        <f t="shared" si="9"/>
        <v>43</v>
      </c>
      <c r="G24" s="125">
        <f t="shared" si="3"/>
        <v>43</v>
      </c>
      <c r="H24" s="126" t="str">
        <f t="shared" si="4"/>
        <v>byte</v>
      </c>
      <c r="I24" s="125" t="str">
        <f t="shared" si="5"/>
        <v>UTF8_BYTE_2_OF_3</v>
      </c>
      <c r="J24" s="125" t="str">
        <f t="shared" si="6"/>
        <v>0xBB</v>
      </c>
      <c r="K24" s="125">
        <f t="shared" si="7"/>
        <v>187</v>
      </c>
      <c r="L24" s="125" t="str">
        <f t="shared" si="8"/>
        <v>10111011</v>
      </c>
      <c r="M24" s="126" t="str">
        <f t="shared" ref="M24:M26" si="11">IF(LEN(I24)&gt;0,CONCATENATE(I24,IF(LEN(I25)&gt;0,",","")),"};")</f>
        <v>UTF8_BYTE_2_OF_3,</v>
      </c>
      <c r="N24" s="126"/>
    </row>
    <row r="25" spans="1:14" x14ac:dyDescent="0.25">
      <c r="A25" s="126" t="s">
        <v>677</v>
      </c>
      <c r="B25" s="126">
        <f t="shared" si="10"/>
        <v>9</v>
      </c>
      <c r="C25" s="125">
        <f t="shared" si="1"/>
        <v>19</v>
      </c>
      <c r="D25" s="125">
        <f t="shared" si="9"/>
        <v>37</v>
      </c>
      <c r="E25" s="125" t="str">
        <f t="shared" si="9"/>
        <v/>
      </c>
      <c r="F25" s="125">
        <f t="shared" si="9"/>
        <v>43</v>
      </c>
      <c r="G25" s="125">
        <f t="shared" si="3"/>
        <v>43</v>
      </c>
      <c r="H25" s="126" t="str">
        <f t="shared" si="4"/>
        <v>byte</v>
      </c>
      <c r="I25" s="125" t="str">
        <f t="shared" si="5"/>
        <v>UTF8_BYTE_3_OF_3</v>
      </c>
      <c r="J25" s="125" t="str">
        <f t="shared" si="6"/>
        <v>0xBF</v>
      </c>
      <c r="K25" s="125">
        <f t="shared" si="7"/>
        <v>191</v>
      </c>
      <c r="L25" s="125" t="str">
        <f t="shared" si="8"/>
        <v>10111111</v>
      </c>
      <c r="M25" s="126" t="str">
        <f t="shared" si="11"/>
        <v>UTF8_BYTE_3_OF_3</v>
      </c>
      <c r="N25" s="126"/>
    </row>
    <row r="26" spans="1:14" x14ac:dyDescent="0.25">
      <c r="A26" s="126"/>
      <c r="B26" s="126" t="str">
        <f t="shared" si="10"/>
        <v/>
      </c>
      <c r="C26" s="125" t="str">
        <f t="shared" si="1"/>
        <v/>
      </c>
      <c r="D26" s="125" t="str">
        <f t="shared" si="9"/>
        <v/>
      </c>
      <c r="E26" s="125" t="str">
        <f t="shared" si="9"/>
        <v/>
      </c>
      <c r="F26" s="125" t="str">
        <f t="shared" si="9"/>
        <v/>
      </c>
      <c r="G26" s="125" t="str">
        <f t="shared" si="3"/>
        <v/>
      </c>
      <c r="H26" s="126" t="str">
        <f t="shared" si="4"/>
        <v/>
      </c>
      <c r="I26" s="125" t="str">
        <f t="shared" si="5"/>
        <v/>
      </c>
      <c r="J26" s="125" t="str">
        <f t="shared" si="6"/>
        <v/>
      </c>
      <c r="K26" s="125" t="str">
        <f t="shared" si="7"/>
        <v/>
      </c>
      <c r="L26" s="125" t="str">
        <f t="shared" si="8"/>
        <v/>
      </c>
      <c r="M26" s="126" t="str">
        <f t="shared" si="11"/>
        <v>};</v>
      </c>
      <c r="N26" s="126"/>
    </row>
    <row r="27" spans="1:14" x14ac:dyDescent="0.25">
      <c r="A27" s="126" t="s">
        <v>678</v>
      </c>
      <c r="B27" s="126" t="str">
        <f t="shared" si="10"/>
        <v/>
      </c>
      <c r="C27" s="125" t="str">
        <f t="shared" si="1"/>
        <v/>
      </c>
      <c r="D27" s="125" t="str">
        <f t="shared" si="9"/>
        <v/>
      </c>
      <c r="E27" s="125" t="str">
        <f t="shared" si="9"/>
        <v/>
      </c>
      <c r="F27" s="125" t="str">
        <f t="shared" si="9"/>
        <v/>
      </c>
      <c r="G27" s="125">
        <f t="shared" si="3"/>
        <v>80</v>
      </c>
      <c r="H27" s="126" t="str">
        <f t="shared" si="4"/>
        <v/>
      </c>
      <c r="I27" s="125" t="str">
        <f t="shared" si="5"/>
        <v/>
      </c>
      <c r="J27" s="125" t="str">
        <f t="shared" si="6"/>
        <v/>
      </c>
      <c r="K27" s="125" t="str">
        <f t="shared" si="7"/>
        <v/>
      </c>
      <c r="L27" s="125" t="str">
        <f t="shared" si="8"/>
        <v/>
      </c>
      <c r="M27" s="126"/>
      <c r="N27" s="126"/>
    </row>
    <row r="28" spans="1:14" x14ac:dyDescent="0.25">
      <c r="A28" s="126" t="s">
        <v>679</v>
      </c>
      <c r="B28" s="126" t="str">
        <f t="shared" si="10"/>
        <v/>
      </c>
      <c r="C28" s="125" t="str">
        <f t="shared" si="1"/>
        <v/>
      </c>
      <c r="D28" s="125" t="str">
        <f t="shared" si="9"/>
        <v/>
      </c>
      <c r="E28" s="125">
        <f t="shared" si="9"/>
        <v>78</v>
      </c>
      <c r="F28" s="125" t="str">
        <f t="shared" si="9"/>
        <v/>
      </c>
      <c r="G28" s="125">
        <f t="shared" si="3"/>
        <v>78</v>
      </c>
      <c r="H28" s="126" t="str">
        <f t="shared" si="4"/>
        <v/>
      </c>
      <c r="I28" s="125" t="str">
        <f t="shared" si="5"/>
        <v/>
      </c>
      <c r="J28" s="125" t="str">
        <f t="shared" si="6"/>
        <v/>
      </c>
      <c r="K28" s="125" t="str">
        <f t="shared" si="7"/>
        <v/>
      </c>
      <c r="L28" s="125" t="str">
        <f t="shared" si="8"/>
        <v/>
      </c>
      <c r="M28" s="126"/>
      <c r="N28" s="126"/>
    </row>
    <row r="29" spans="1:14" x14ac:dyDescent="0.25">
      <c r="A29" s="126" t="s">
        <v>680</v>
      </c>
      <c r="B29" s="126" t="str">
        <f t="shared" si="10"/>
        <v/>
      </c>
      <c r="C29" s="125" t="str">
        <f t="shared" si="1"/>
        <v/>
      </c>
      <c r="D29" s="125" t="str">
        <f t="shared" si="9"/>
        <v/>
      </c>
      <c r="E29" s="125" t="str">
        <f t="shared" si="9"/>
        <v/>
      </c>
      <c r="F29" s="125" t="str">
        <f t="shared" si="9"/>
        <v/>
      </c>
      <c r="G29" s="125">
        <f t="shared" si="3"/>
        <v>54</v>
      </c>
      <c r="H29" s="126" t="str">
        <f t="shared" si="4"/>
        <v/>
      </c>
      <c r="I29" s="125" t="str">
        <f t="shared" si="5"/>
        <v/>
      </c>
      <c r="J29" s="125" t="str">
        <f t="shared" si="6"/>
        <v/>
      </c>
      <c r="K29" s="125" t="str">
        <f t="shared" si="7"/>
        <v/>
      </c>
      <c r="L29" s="125" t="str">
        <f t="shared" si="8"/>
        <v/>
      </c>
      <c r="M29" s="126"/>
      <c r="N29" s="126"/>
    </row>
    <row r="30" spans="1:14" x14ac:dyDescent="0.25">
      <c r="A30" s="126" t="s">
        <v>678</v>
      </c>
      <c r="B30" s="126" t="str">
        <f t="shared" si="10"/>
        <v/>
      </c>
      <c r="C30" s="125" t="str">
        <f t="shared" si="1"/>
        <v/>
      </c>
      <c r="D30" s="125" t="str">
        <f t="shared" si="9"/>
        <v/>
      </c>
      <c r="E30" s="125" t="str">
        <f t="shared" si="9"/>
        <v/>
      </c>
      <c r="F30" s="125" t="str">
        <f t="shared" si="9"/>
        <v/>
      </c>
      <c r="G30" s="125">
        <f t="shared" si="3"/>
        <v>80</v>
      </c>
      <c r="H30" s="126" t="str">
        <f t="shared" si="4"/>
        <v/>
      </c>
      <c r="I30" s="125" t="str">
        <f t="shared" si="5"/>
        <v/>
      </c>
      <c r="J30" s="125" t="str">
        <f t="shared" si="6"/>
        <v/>
      </c>
      <c r="K30" s="125" t="str">
        <f t="shared" si="7"/>
        <v/>
      </c>
      <c r="L30" s="125" t="str">
        <f t="shared" si="8"/>
        <v/>
      </c>
      <c r="M30" s="126"/>
      <c r="N30" s="126"/>
    </row>
    <row r="31" spans="1:14" x14ac:dyDescent="0.25">
      <c r="A31" s="126" t="str">
        <f>CONCATENATE("s_achr",IF(RIGHT(LEFT(I32,FIND("_",I32)-1),1)="8",LEFT(I32,FIND("_",I32)-1),LEFT(I32,8)))</f>
        <v>s_achrUTF16_LE</v>
      </c>
      <c r="B31" s="126" t="str">
        <f t="shared" si="10"/>
        <v/>
      </c>
      <c r="C31" s="125" t="str">
        <f t="shared" si="1"/>
        <v/>
      </c>
      <c r="D31" s="125" t="str">
        <f t="shared" si="9"/>
        <v/>
      </c>
      <c r="E31" s="125" t="str">
        <f t="shared" si="9"/>
        <v/>
      </c>
      <c r="F31" s="125" t="str">
        <f t="shared" si="9"/>
        <v/>
      </c>
      <c r="G31" s="125">
        <f t="shared" si="3"/>
        <v>14</v>
      </c>
      <c r="H31" s="126" t="str">
        <f t="shared" si="4"/>
        <v/>
      </c>
      <c r="I31" s="125" t="str">
        <f t="shared" si="5"/>
        <v/>
      </c>
      <c r="J31" s="125" t="str">
        <f t="shared" si="6"/>
        <v/>
      </c>
      <c r="K31" s="125" t="str">
        <f t="shared" si="7"/>
        <v/>
      </c>
      <c r="L31" s="125" t="str">
        <f t="shared" si="8"/>
        <v/>
      </c>
      <c r="M31" s="126" t="str">
        <f>CONCATENATE("static readonly byte [] ",A31,"={")</f>
        <v>static readonly byte [] s_achrUTF16_LE={</v>
      </c>
      <c r="N31" s="126"/>
    </row>
    <row r="32" spans="1:14" x14ac:dyDescent="0.25">
      <c r="A32" s="126" t="s">
        <v>681</v>
      </c>
      <c r="B32" s="126">
        <f t="shared" si="10"/>
        <v>9</v>
      </c>
      <c r="C32" s="125">
        <f t="shared" si="1"/>
        <v>19</v>
      </c>
      <c r="D32" s="125">
        <f t="shared" si="9"/>
        <v>41</v>
      </c>
      <c r="E32" s="125" t="str">
        <f t="shared" si="9"/>
        <v/>
      </c>
      <c r="F32" s="125">
        <f t="shared" si="9"/>
        <v>47</v>
      </c>
      <c r="G32" s="125">
        <f t="shared" si="3"/>
        <v>47</v>
      </c>
      <c r="H32" s="126" t="str">
        <f t="shared" si="4"/>
        <v>byte</v>
      </c>
      <c r="I32" s="125" t="str">
        <f t="shared" si="5"/>
        <v>UTF16_LE_BYTE_1_OF_2</v>
      </c>
      <c r="J32" s="125" t="str">
        <f t="shared" si="6"/>
        <v>0xFF</v>
      </c>
      <c r="K32" s="125">
        <f t="shared" si="7"/>
        <v>255</v>
      </c>
      <c r="L32" s="125" t="str">
        <f t="shared" si="8"/>
        <v>11111111</v>
      </c>
      <c r="M32" s="126" t="str">
        <f>IF(LEN(I32)&gt;0,CONCATENATE(I32,IF(LEN(I33)&gt;0,",","")),"};")</f>
        <v>UTF16_LE_BYTE_1_OF_2,</v>
      </c>
      <c r="N32" s="126"/>
    </row>
    <row r="33" spans="1:14" x14ac:dyDescent="0.25">
      <c r="A33" s="126" t="s">
        <v>682</v>
      </c>
      <c r="B33" s="126">
        <f t="shared" si="10"/>
        <v>9</v>
      </c>
      <c r="C33" s="125">
        <f t="shared" si="1"/>
        <v>19</v>
      </c>
      <c r="D33" s="125">
        <f t="shared" si="9"/>
        <v>41</v>
      </c>
      <c r="E33" s="125" t="str">
        <f t="shared" si="9"/>
        <v/>
      </c>
      <c r="F33" s="125">
        <f t="shared" si="9"/>
        <v>47</v>
      </c>
      <c r="G33" s="125">
        <f t="shared" si="3"/>
        <v>47</v>
      </c>
      <c r="H33" s="126" t="str">
        <f t="shared" si="4"/>
        <v>byte</v>
      </c>
      <c r="I33" s="125" t="str">
        <f t="shared" si="5"/>
        <v>UTF16_LE_BYTE_2_OF_2</v>
      </c>
      <c r="J33" s="125" t="str">
        <f t="shared" si="6"/>
        <v>0xFE</v>
      </c>
      <c r="K33" s="125">
        <f t="shared" si="7"/>
        <v>254</v>
      </c>
      <c r="L33" s="125" t="str">
        <f t="shared" si="8"/>
        <v>11111110</v>
      </c>
      <c r="M33" s="126" t="str">
        <f t="shared" ref="M33" si="12">IF(LEN(I33)&gt;0,CONCATENATE(I33,IF(LEN(I34)&gt;0,",","")),"};")</f>
        <v>UTF16_LE_BYTE_2_OF_2</v>
      </c>
      <c r="N33" s="126"/>
    </row>
    <row r="34" spans="1:14" x14ac:dyDescent="0.25">
      <c r="A34" s="126"/>
      <c r="B34" s="126" t="str">
        <f t="shared" si="10"/>
        <v/>
      </c>
      <c r="C34" s="125" t="str">
        <f t="shared" si="1"/>
        <v/>
      </c>
      <c r="D34" s="125" t="str">
        <f t="shared" si="9"/>
        <v/>
      </c>
      <c r="E34" s="125" t="str">
        <f t="shared" si="9"/>
        <v/>
      </c>
      <c r="F34" s="125" t="str">
        <f t="shared" si="9"/>
        <v/>
      </c>
      <c r="G34" s="125" t="str">
        <f t="shared" si="3"/>
        <v/>
      </c>
      <c r="H34" s="126"/>
      <c r="I34" s="125" t="str">
        <f t="shared" si="5"/>
        <v/>
      </c>
      <c r="J34" s="125" t="str">
        <f t="shared" si="6"/>
        <v/>
      </c>
      <c r="K34" s="125" t="str">
        <f t="shared" si="7"/>
        <v/>
      </c>
      <c r="L34" s="125" t="str">
        <f t="shared" si="8"/>
        <v/>
      </c>
      <c r="M34" s="126" t="str">
        <f>IF(LEN(I34)&gt;0,CONCATENATE(I34,IF(LEN(I36)&gt;0,",","")),"};")</f>
        <v>};</v>
      </c>
      <c r="N34" s="126"/>
    </row>
    <row r="35" spans="1:14" x14ac:dyDescent="0.25">
      <c r="A35" s="126"/>
      <c r="B35" s="126" t="str">
        <f t="shared" si="10"/>
        <v/>
      </c>
      <c r="C35" s="125" t="str">
        <f t="shared" si="1"/>
        <v/>
      </c>
      <c r="D35" s="125" t="str">
        <f t="shared" si="9"/>
        <v/>
      </c>
      <c r="E35" s="125" t="str">
        <f t="shared" si="9"/>
        <v/>
      </c>
      <c r="F35" s="125" t="str">
        <f t="shared" si="9"/>
        <v/>
      </c>
      <c r="G35" s="125" t="str">
        <f t="shared" si="3"/>
        <v/>
      </c>
      <c r="H35" s="126"/>
      <c r="I35" s="125" t="str">
        <f t="shared" si="5"/>
        <v/>
      </c>
      <c r="J35" s="125" t="str">
        <f t="shared" si="6"/>
        <v/>
      </c>
      <c r="K35" s="125" t="str">
        <f t="shared" si="7"/>
        <v/>
      </c>
      <c r="L35" s="125" t="str">
        <f t="shared" si="8"/>
        <v/>
      </c>
      <c r="M35" s="126"/>
      <c r="N35" s="126"/>
    </row>
    <row r="36" spans="1:14" x14ac:dyDescent="0.25">
      <c r="A36" s="126" t="str">
        <f>CONCATENATE("s_achr",IF(RIGHT(LEFT(I37,FIND("_",I37)-1),1)="8",LEFT(I37,FIND("_",I37)-1),LEFT(I37,8)))</f>
        <v>s_achrUTF16_BE</v>
      </c>
      <c r="B36" s="126" t="str">
        <f t="shared" si="10"/>
        <v/>
      </c>
      <c r="C36" s="125" t="str">
        <f t="shared" si="1"/>
        <v/>
      </c>
      <c r="D36" s="125" t="str">
        <f t="shared" si="9"/>
        <v/>
      </c>
      <c r="E36" s="125" t="str">
        <f t="shared" si="9"/>
        <v/>
      </c>
      <c r="F36" s="125" t="str">
        <f t="shared" si="9"/>
        <v/>
      </c>
      <c r="G36" s="125">
        <f t="shared" si="3"/>
        <v>14</v>
      </c>
      <c r="H36" s="126" t="str">
        <f t="shared" si="4"/>
        <v/>
      </c>
      <c r="I36" s="125" t="str">
        <f t="shared" si="5"/>
        <v/>
      </c>
      <c r="J36" s="125" t="str">
        <f t="shared" si="6"/>
        <v/>
      </c>
      <c r="K36" s="125" t="str">
        <f t="shared" si="7"/>
        <v/>
      </c>
      <c r="L36" s="125" t="str">
        <f t="shared" si="8"/>
        <v/>
      </c>
      <c r="M36" s="126" t="str">
        <f>CONCATENATE("static readonly byte [] ",A36,"={")</f>
        <v>static readonly byte [] s_achrUTF16_BE={</v>
      </c>
      <c r="N36" s="126"/>
    </row>
    <row r="37" spans="1:14" x14ac:dyDescent="0.25">
      <c r="A37" s="126" t="s">
        <v>683</v>
      </c>
      <c r="B37" s="126">
        <f t="shared" ref="B37:B44" si="13">IFERROR(FIND(B$2,$A37),"")</f>
        <v>9</v>
      </c>
      <c r="C37" s="125">
        <f t="shared" si="1"/>
        <v>19</v>
      </c>
      <c r="D37" s="125">
        <f t="shared" si="9"/>
        <v>41</v>
      </c>
      <c r="E37" s="125" t="str">
        <f t="shared" si="9"/>
        <v/>
      </c>
      <c r="F37" s="125">
        <f t="shared" si="9"/>
        <v>47</v>
      </c>
      <c r="G37" s="125">
        <f t="shared" si="3"/>
        <v>47</v>
      </c>
      <c r="H37" s="126" t="str">
        <f t="shared" si="4"/>
        <v>byte</v>
      </c>
      <c r="I37" s="125" t="str">
        <f t="shared" si="5"/>
        <v>UTF16_BE_BYTE_1_OF_2</v>
      </c>
      <c r="J37" s="125" t="str">
        <f t="shared" si="6"/>
        <v>0xFE</v>
      </c>
      <c r="K37" s="125">
        <f t="shared" si="7"/>
        <v>254</v>
      </c>
      <c r="L37" s="125" t="str">
        <f t="shared" si="8"/>
        <v>11111110</v>
      </c>
      <c r="M37" s="126" t="str">
        <f>IF(LEN(I37)&gt;0,CONCATENATE(I37,IF(LEN(I38)&gt;0,",","")),"};")</f>
        <v>UTF16_BE_BYTE_1_OF_2,</v>
      </c>
      <c r="N37" s="126"/>
    </row>
    <row r="38" spans="1:14" x14ac:dyDescent="0.25">
      <c r="A38" s="126" t="s">
        <v>684</v>
      </c>
      <c r="B38" s="126">
        <f t="shared" si="13"/>
        <v>9</v>
      </c>
      <c r="C38" s="125">
        <f t="shared" si="1"/>
        <v>19</v>
      </c>
      <c r="D38" s="125">
        <f t="shared" si="9"/>
        <v>41</v>
      </c>
      <c r="E38" s="125" t="str">
        <f t="shared" si="9"/>
        <v/>
      </c>
      <c r="F38" s="125">
        <f t="shared" si="9"/>
        <v>47</v>
      </c>
      <c r="G38" s="125">
        <f t="shared" si="3"/>
        <v>47</v>
      </c>
      <c r="H38" s="126" t="str">
        <f t="shared" si="4"/>
        <v>byte</v>
      </c>
      <c r="I38" s="125" t="str">
        <f t="shared" si="5"/>
        <v>UTF16_BE_BYTE_2_OF_2</v>
      </c>
      <c r="J38" s="125" t="str">
        <f t="shared" si="6"/>
        <v>0xFF</v>
      </c>
      <c r="K38" s="125">
        <f t="shared" si="7"/>
        <v>255</v>
      </c>
      <c r="L38" s="125" t="str">
        <f t="shared" si="8"/>
        <v>11111111</v>
      </c>
      <c r="M38" s="126" t="str">
        <f t="shared" ref="M38" si="14">IF(LEN(I38)&gt;0,CONCATENATE(I38,IF(LEN(I39)&gt;0,",","")),"};")</f>
        <v>UTF16_BE_BYTE_2_OF_2</v>
      </c>
      <c r="N38" s="126"/>
    </row>
    <row r="39" spans="1:14" x14ac:dyDescent="0.25">
      <c r="A39" s="126"/>
      <c r="B39" s="126" t="str">
        <f t="shared" si="13"/>
        <v/>
      </c>
      <c r="C39" s="125" t="str">
        <f t="shared" si="1"/>
        <v/>
      </c>
      <c r="D39" s="125" t="str">
        <f t="shared" si="9"/>
        <v/>
      </c>
      <c r="E39" s="125" t="str">
        <f t="shared" si="9"/>
        <v/>
      </c>
      <c r="F39" s="125" t="str">
        <f t="shared" si="9"/>
        <v/>
      </c>
      <c r="G39" s="125" t="str">
        <f t="shared" si="3"/>
        <v/>
      </c>
      <c r="H39" s="126" t="str">
        <f t="shared" si="4"/>
        <v/>
      </c>
      <c r="I39" s="125" t="str">
        <f t="shared" si="5"/>
        <v/>
      </c>
      <c r="J39" s="125" t="str">
        <f t="shared" si="6"/>
        <v/>
      </c>
      <c r="K39" s="125" t="str">
        <f t="shared" si="7"/>
        <v/>
      </c>
      <c r="L39" s="125" t="str">
        <f t="shared" si="8"/>
        <v/>
      </c>
      <c r="M39" s="126" t="str">
        <f>IF(LEN(I39)&gt;0,CONCATENATE(I39,IF(LEN(I41)&gt;0,",","")),"};")</f>
        <v>};</v>
      </c>
      <c r="N39" s="126"/>
    </row>
    <row r="40" spans="1:14" x14ac:dyDescent="0.25">
      <c r="A40" s="126" t="s">
        <v>678</v>
      </c>
      <c r="B40" s="126" t="str">
        <f t="shared" si="13"/>
        <v/>
      </c>
      <c r="C40" s="125" t="str">
        <f t="shared" si="1"/>
        <v/>
      </c>
      <c r="D40" s="125" t="str">
        <f t="shared" si="9"/>
        <v/>
      </c>
      <c r="E40" s="125" t="str">
        <f t="shared" si="9"/>
        <v/>
      </c>
      <c r="F40" s="125" t="str">
        <f t="shared" si="9"/>
        <v/>
      </c>
      <c r="G40" s="125">
        <f t="shared" si="3"/>
        <v>80</v>
      </c>
      <c r="H40" s="126" t="str">
        <f t="shared" si="4"/>
        <v/>
      </c>
      <c r="I40" s="125" t="str">
        <f t="shared" si="5"/>
        <v/>
      </c>
      <c r="J40" s="125" t="str">
        <f t="shared" si="6"/>
        <v/>
      </c>
      <c r="K40" s="125" t="str">
        <f t="shared" si="7"/>
        <v/>
      </c>
      <c r="L40" s="125" t="str">
        <f t="shared" si="8"/>
        <v/>
      </c>
      <c r="M40" s="126"/>
      <c r="N40" s="126"/>
    </row>
    <row r="41" spans="1:14" x14ac:dyDescent="0.25">
      <c r="A41" s="126" t="s">
        <v>685</v>
      </c>
      <c r="B41" s="126" t="str">
        <f t="shared" si="13"/>
        <v/>
      </c>
      <c r="C41" s="125" t="str">
        <f t="shared" si="1"/>
        <v/>
      </c>
      <c r="D41" s="125" t="str">
        <f t="shared" si="9"/>
        <v/>
      </c>
      <c r="E41" s="125">
        <f t="shared" si="9"/>
        <v>27</v>
      </c>
      <c r="F41" s="125" t="str">
        <f t="shared" si="9"/>
        <v/>
      </c>
      <c r="G41" s="125">
        <f t="shared" si="3"/>
        <v>80</v>
      </c>
      <c r="H41" s="126" t="str">
        <f t="shared" si="4"/>
        <v/>
      </c>
      <c r="I41" s="125" t="str">
        <f t="shared" si="5"/>
        <v/>
      </c>
      <c r="J41" s="125" t="str">
        <f t="shared" si="6"/>
        <v/>
      </c>
      <c r="K41" s="125" t="str">
        <f t="shared" si="7"/>
        <v/>
      </c>
      <c r="L41" s="125" t="str">
        <f t="shared" si="8"/>
        <v/>
      </c>
      <c r="M41" s="126"/>
      <c r="N41" s="126"/>
    </row>
    <row r="42" spans="1:14" x14ac:dyDescent="0.25">
      <c r="A42" s="126" t="s">
        <v>678</v>
      </c>
      <c r="B42" s="126" t="str">
        <f t="shared" si="13"/>
        <v/>
      </c>
      <c r="C42" s="125" t="str">
        <f t="shared" si="1"/>
        <v/>
      </c>
      <c r="D42" s="125" t="str">
        <f t="shared" si="9"/>
        <v/>
      </c>
      <c r="E42" s="125" t="str">
        <f t="shared" si="9"/>
        <v/>
      </c>
      <c r="F42" s="125" t="str">
        <f t="shared" si="9"/>
        <v/>
      </c>
      <c r="G42" s="125">
        <f t="shared" si="3"/>
        <v>80</v>
      </c>
      <c r="H42" s="126" t="str">
        <f t="shared" si="4"/>
        <v/>
      </c>
      <c r="I42" s="125" t="str">
        <f t="shared" si="5"/>
        <v/>
      </c>
      <c r="J42" s="125" t="str">
        <f t="shared" si="6"/>
        <v/>
      </c>
      <c r="K42" s="125" t="str">
        <f t="shared" si="7"/>
        <v/>
      </c>
      <c r="L42" s="125" t="str">
        <f t="shared" si="8"/>
        <v/>
      </c>
      <c r="M42" s="126"/>
      <c r="N42" s="126"/>
    </row>
    <row r="43" spans="1:14" x14ac:dyDescent="0.25">
      <c r="A43" s="126"/>
      <c r="B43" s="126" t="str">
        <f t="shared" si="13"/>
        <v/>
      </c>
      <c r="C43" s="125" t="str">
        <f t="shared" si="1"/>
        <v/>
      </c>
      <c r="D43" s="125" t="str">
        <f t="shared" si="9"/>
        <v/>
      </c>
      <c r="E43" s="125" t="str">
        <f t="shared" si="9"/>
        <v/>
      </c>
      <c r="F43" s="125" t="str">
        <f t="shared" si="9"/>
        <v/>
      </c>
      <c r="G43" s="125" t="str">
        <f t="shared" si="3"/>
        <v/>
      </c>
      <c r="H43" s="126"/>
      <c r="I43" s="125" t="str">
        <f t="shared" si="5"/>
        <v/>
      </c>
      <c r="J43" s="125" t="str">
        <f t="shared" si="6"/>
        <v/>
      </c>
      <c r="K43" s="125" t="str">
        <f t="shared" si="7"/>
        <v/>
      </c>
      <c r="L43" s="125" t="str">
        <f t="shared" si="8"/>
        <v/>
      </c>
      <c r="M43" s="126"/>
      <c r="N43" s="126"/>
    </row>
    <row r="44" spans="1:14" x14ac:dyDescent="0.25">
      <c r="A44" s="126" t="str">
        <f>CONCATENATE("s_achr",IF(RIGHT(LEFT(I45,FIND("_",I45)-1),1)="8",LEFT(I45,FIND("_",I45)-1),LEFT(I45,8)))</f>
        <v>s_achrUTF32_LE</v>
      </c>
      <c r="B44" s="126" t="str">
        <f t="shared" si="13"/>
        <v/>
      </c>
      <c r="C44" s="125" t="str">
        <f t="shared" si="1"/>
        <v/>
      </c>
      <c r="D44" s="125" t="str">
        <f t="shared" si="9"/>
        <v/>
      </c>
      <c r="E44" s="125" t="str">
        <f t="shared" si="9"/>
        <v/>
      </c>
      <c r="F44" s="125" t="str">
        <f t="shared" si="9"/>
        <v/>
      </c>
      <c r="G44" s="125">
        <f t="shared" si="3"/>
        <v>14</v>
      </c>
      <c r="H44" s="126" t="str">
        <f t="shared" si="4"/>
        <v/>
      </c>
      <c r="I44" s="125" t="str">
        <f t="shared" si="5"/>
        <v/>
      </c>
      <c r="J44" s="125" t="str">
        <f t="shared" si="6"/>
        <v/>
      </c>
      <c r="K44" s="125" t="str">
        <f t="shared" si="7"/>
        <v/>
      </c>
      <c r="L44" s="125" t="str">
        <f t="shared" si="8"/>
        <v/>
      </c>
      <c r="M44" s="126" t="str">
        <f>CONCATENATE("static readonly byte [] ",A44,"={")</f>
        <v>static readonly byte [] s_achrUTF32_LE={</v>
      </c>
      <c r="N44" s="126"/>
    </row>
    <row r="45" spans="1:14" x14ac:dyDescent="0.25">
      <c r="A45" s="126" t="s">
        <v>686</v>
      </c>
      <c r="B45" s="126">
        <f>IFERROR(FIND(B$2,$A45),"")</f>
        <v>9</v>
      </c>
      <c r="C45" s="125">
        <f t="shared" si="1"/>
        <v>19</v>
      </c>
      <c r="D45" s="125">
        <f t="shared" si="9"/>
        <v>41</v>
      </c>
      <c r="E45" s="125" t="str">
        <f t="shared" si="9"/>
        <v/>
      </c>
      <c r="F45" s="125">
        <f t="shared" si="9"/>
        <v>47</v>
      </c>
      <c r="G45" s="125">
        <f t="shared" si="3"/>
        <v>47</v>
      </c>
      <c r="H45" s="126" t="str">
        <f t="shared" si="4"/>
        <v>byte</v>
      </c>
      <c r="I45" s="125" t="str">
        <f t="shared" si="5"/>
        <v>UTF32_LE_BYTE_1_OF_4</v>
      </c>
      <c r="J45" s="125" t="str">
        <f t="shared" si="6"/>
        <v>0xFF</v>
      </c>
      <c r="K45" s="125">
        <f t="shared" si="7"/>
        <v>255</v>
      </c>
      <c r="L45" s="125" t="str">
        <f t="shared" si="8"/>
        <v>11111111</v>
      </c>
      <c r="M45" s="126" t="str">
        <f>IF(LEN(I45)&gt;0,CONCATENATE(I45,IF(LEN(I46)&gt;0,",","")),"};")</f>
        <v>UTF32_LE_BYTE_1_OF_4,</v>
      </c>
      <c r="N45" s="126"/>
    </row>
    <row r="46" spans="1:14" x14ac:dyDescent="0.25">
      <c r="A46" s="126" t="s">
        <v>687</v>
      </c>
      <c r="B46" s="126">
        <f>IFERROR(FIND(B$2,$A46),"")</f>
        <v>9</v>
      </c>
      <c r="C46" s="125">
        <f t="shared" si="1"/>
        <v>19</v>
      </c>
      <c r="D46" s="125">
        <f t="shared" si="9"/>
        <v>41</v>
      </c>
      <c r="E46" s="125" t="str">
        <f t="shared" si="9"/>
        <v/>
      </c>
      <c r="F46" s="125">
        <f t="shared" si="9"/>
        <v>47</v>
      </c>
      <c r="G46" s="125">
        <f t="shared" si="3"/>
        <v>47</v>
      </c>
      <c r="H46" s="126" t="str">
        <f t="shared" si="4"/>
        <v>byte</v>
      </c>
      <c r="I46" s="125" t="str">
        <f t="shared" si="5"/>
        <v>UTF32_LE_BYTE_2_OF_4</v>
      </c>
      <c r="J46" s="125" t="str">
        <f t="shared" si="6"/>
        <v>0xFE</v>
      </c>
      <c r="K46" s="125">
        <f t="shared" si="7"/>
        <v>254</v>
      </c>
      <c r="L46" s="125" t="str">
        <f t="shared" si="8"/>
        <v>11111110</v>
      </c>
      <c r="M46" s="126" t="str">
        <f t="shared" ref="M46:M48" si="15">IF(LEN(I46)&gt;0,CONCATENATE(I46,IF(LEN(I47)&gt;0,",","")),"};")</f>
        <v>UTF32_LE_BYTE_2_OF_4,</v>
      </c>
      <c r="N46" s="126"/>
    </row>
    <row r="47" spans="1:14" x14ac:dyDescent="0.25">
      <c r="A47" s="126" t="s">
        <v>688</v>
      </c>
      <c r="B47" s="126">
        <f>IFERROR(FIND(B$2,$A47),"")</f>
        <v>9</v>
      </c>
      <c r="C47" s="125">
        <f t="shared" si="1"/>
        <v>19</v>
      </c>
      <c r="D47" s="125">
        <f t="shared" si="9"/>
        <v>41</v>
      </c>
      <c r="E47" s="125" t="str">
        <f t="shared" si="9"/>
        <v/>
      </c>
      <c r="F47" s="125">
        <f t="shared" si="9"/>
        <v>47</v>
      </c>
      <c r="G47" s="125">
        <f t="shared" si="3"/>
        <v>47</v>
      </c>
      <c r="H47" s="126" t="str">
        <f t="shared" si="4"/>
        <v>byte</v>
      </c>
      <c r="I47" s="125" t="str">
        <f t="shared" si="5"/>
        <v>UTF32_LE_BYTE_3_OF_4</v>
      </c>
      <c r="J47" s="125" t="str">
        <f t="shared" si="6"/>
        <v>0x00</v>
      </c>
      <c r="K47" s="125">
        <f t="shared" si="7"/>
        <v>0</v>
      </c>
      <c r="L47" s="125" t="str">
        <f t="shared" si="8"/>
        <v>00000000</v>
      </c>
      <c r="M47" s="126" t="str">
        <f t="shared" si="15"/>
        <v>UTF32_LE_BYTE_3_OF_4,</v>
      </c>
      <c r="N47" s="126"/>
    </row>
    <row r="48" spans="1:14" x14ac:dyDescent="0.25">
      <c r="A48" s="126" t="s">
        <v>689</v>
      </c>
      <c r="B48" s="126">
        <f>IFERROR(FIND(B$2,$A48),"")</f>
        <v>9</v>
      </c>
      <c r="C48" s="125">
        <f t="shared" si="1"/>
        <v>19</v>
      </c>
      <c r="D48" s="125">
        <f t="shared" si="9"/>
        <v>41</v>
      </c>
      <c r="E48" s="125" t="str">
        <f t="shared" si="9"/>
        <v/>
      </c>
      <c r="F48" s="125">
        <f t="shared" si="9"/>
        <v>47</v>
      </c>
      <c r="G48" s="125">
        <f t="shared" si="3"/>
        <v>47</v>
      </c>
      <c r="H48" s="126" t="str">
        <f t="shared" si="4"/>
        <v>byte</v>
      </c>
      <c r="I48" s="125" t="str">
        <f t="shared" si="5"/>
        <v>UTF32_LE_BYTE_4_OF_4</v>
      </c>
      <c r="J48" s="125" t="str">
        <f t="shared" si="6"/>
        <v>0x00</v>
      </c>
      <c r="K48" s="125">
        <f t="shared" si="7"/>
        <v>0</v>
      </c>
      <c r="L48" s="125" t="str">
        <f t="shared" si="8"/>
        <v>00000000</v>
      </c>
      <c r="M48" s="126" t="str">
        <f t="shared" si="15"/>
        <v>UTF32_LE_BYTE_4_OF_4</v>
      </c>
      <c r="N48" s="126"/>
    </row>
    <row r="49" spans="1:14" x14ac:dyDescent="0.25">
      <c r="A49" s="126"/>
      <c r="B49" s="126" t="str">
        <f t="shared" ref="B49:B51" si="16">IFERROR(FIND(B$2,$A49),"")</f>
        <v/>
      </c>
      <c r="C49" s="125" t="str">
        <f t="shared" si="1"/>
        <v/>
      </c>
      <c r="D49" s="125" t="str">
        <f t="shared" si="9"/>
        <v/>
      </c>
      <c r="E49" s="125" t="str">
        <f t="shared" si="9"/>
        <v/>
      </c>
      <c r="F49" s="125" t="str">
        <f t="shared" si="9"/>
        <v/>
      </c>
      <c r="G49" s="125" t="str">
        <f t="shared" si="3"/>
        <v/>
      </c>
      <c r="H49" s="126"/>
      <c r="I49" s="125" t="str">
        <f t="shared" si="5"/>
        <v/>
      </c>
      <c r="J49" s="125" t="str">
        <f t="shared" si="6"/>
        <v/>
      </c>
      <c r="K49" s="125" t="str">
        <f t="shared" si="7"/>
        <v/>
      </c>
      <c r="L49" s="125" t="str">
        <f t="shared" si="8"/>
        <v/>
      </c>
      <c r="M49" s="126" t="str">
        <f>IF(LEN(I49)&gt;0,CONCATENATE(I49,IF(LEN(I51)&gt;0,",","")),"};")</f>
        <v>};</v>
      </c>
      <c r="N49" s="126"/>
    </row>
    <row r="50" spans="1:14" x14ac:dyDescent="0.25">
      <c r="A50" s="126"/>
      <c r="B50" s="126" t="str">
        <f t="shared" si="16"/>
        <v/>
      </c>
      <c r="C50" s="125" t="str">
        <f t="shared" si="1"/>
        <v/>
      </c>
      <c r="D50" s="125" t="str">
        <f t="shared" si="9"/>
        <v/>
      </c>
      <c r="E50" s="125" t="str">
        <f t="shared" si="9"/>
        <v/>
      </c>
      <c r="F50" s="125" t="str">
        <f t="shared" si="9"/>
        <v/>
      </c>
      <c r="G50" s="125" t="str">
        <f t="shared" si="3"/>
        <v/>
      </c>
      <c r="H50" s="126"/>
      <c r="I50" s="125" t="str">
        <f t="shared" si="5"/>
        <v/>
      </c>
      <c r="J50" s="125" t="str">
        <f t="shared" si="6"/>
        <v/>
      </c>
      <c r="K50" s="125" t="str">
        <f t="shared" si="7"/>
        <v/>
      </c>
      <c r="L50" s="125" t="str">
        <f t="shared" si="8"/>
        <v/>
      </c>
      <c r="M50" s="126"/>
      <c r="N50" s="126"/>
    </row>
    <row r="51" spans="1:14" x14ac:dyDescent="0.25">
      <c r="A51" s="126" t="str">
        <f>CONCATENATE("s_achr",IF(RIGHT(LEFT(I52,FIND("_",I52)-1),1)="8",LEFT(I52,FIND("_",I52)-1),LEFT(I52,8)))</f>
        <v>s_achrUTF32_BE</v>
      </c>
      <c r="B51" s="126" t="str">
        <f t="shared" si="16"/>
        <v/>
      </c>
      <c r="C51" s="125" t="str">
        <f t="shared" si="1"/>
        <v/>
      </c>
      <c r="D51" s="125" t="str">
        <f t="shared" si="9"/>
        <v/>
      </c>
      <c r="E51" s="125" t="str">
        <f t="shared" si="9"/>
        <v/>
      </c>
      <c r="F51" s="125" t="str">
        <f t="shared" si="9"/>
        <v/>
      </c>
      <c r="G51" s="125">
        <f t="shared" si="3"/>
        <v>14</v>
      </c>
      <c r="H51" s="126" t="str">
        <f t="shared" si="4"/>
        <v/>
      </c>
      <c r="I51" s="125" t="str">
        <f t="shared" si="5"/>
        <v/>
      </c>
      <c r="J51" s="125" t="str">
        <f t="shared" si="6"/>
        <v/>
      </c>
      <c r="K51" s="125" t="str">
        <f t="shared" si="7"/>
        <v/>
      </c>
      <c r="L51" s="125" t="str">
        <f t="shared" si="8"/>
        <v/>
      </c>
      <c r="M51" s="126" t="str">
        <f>CONCATENATE("static readonly byte [] ",A51,"={")</f>
        <v>static readonly byte [] s_achrUTF32_BE={</v>
      </c>
      <c r="N51" s="126"/>
    </row>
    <row r="52" spans="1:14" x14ac:dyDescent="0.25">
      <c r="A52" s="126" t="s">
        <v>690</v>
      </c>
      <c r="B52" s="126">
        <f>IFERROR(FIND(B$2,$A52),"")</f>
        <v>9</v>
      </c>
      <c r="C52" s="125">
        <f t="shared" si="1"/>
        <v>19</v>
      </c>
      <c r="D52" s="125">
        <f t="shared" si="9"/>
        <v>41</v>
      </c>
      <c r="E52" s="125" t="str">
        <f t="shared" si="9"/>
        <v/>
      </c>
      <c r="F52" s="125">
        <f t="shared" si="9"/>
        <v>47</v>
      </c>
      <c r="G52" s="125">
        <f t="shared" si="3"/>
        <v>47</v>
      </c>
      <c r="H52" s="126" t="str">
        <f t="shared" si="4"/>
        <v>byte</v>
      </c>
      <c r="I52" s="125" t="str">
        <f t="shared" si="5"/>
        <v>UTF32_BE_BYTE_1_OF_4</v>
      </c>
      <c r="J52" s="125" t="str">
        <f t="shared" si="6"/>
        <v>0x00</v>
      </c>
      <c r="K52" s="125">
        <f t="shared" si="7"/>
        <v>0</v>
      </c>
      <c r="L52" s="125" t="str">
        <f t="shared" si="8"/>
        <v>00000000</v>
      </c>
      <c r="M52" s="126" t="str">
        <f>IF(LEN(I52)&gt;0,CONCATENATE(I52,IF(LEN(I53)&gt;0,",","")),"};")</f>
        <v>UTF32_BE_BYTE_1_OF_4,</v>
      </c>
      <c r="N52" s="126"/>
    </row>
    <row r="53" spans="1:14" x14ac:dyDescent="0.25">
      <c r="A53" s="126" t="s">
        <v>691</v>
      </c>
      <c r="B53" s="126">
        <f>IFERROR(FIND(B$2,$A53),"")</f>
        <v>9</v>
      </c>
      <c r="C53" s="125">
        <f t="shared" si="1"/>
        <v>19</v>
      </c>
      <c r="D53" s="125">
        <f t="shared" si="9"/>
        <v>41</v>
      </c>
      <c r="E53" s="125" t="str">
        <f t="shared" si="9"/>
        <v/>
      </c>
      <c r="F53" s="125">
        <f t="shared" si="9"/>
        <v>47</v>
      </c>
      <c r="G53" s="125">
        <f t="shared" si="3"/>
        <v>47</v>
      </c>
      <c r="H53" s="126" t="str">
        <f t="shared" si="4"/>
        <v>byte</v>
      </c>
      <c r="I53" s="125" t="str">
        <f t="shared" si="5"/>
        <v>UTF32_BE_BYTE_2_OF_4</v>
      </c>
      <c r="J53" s="125" t="str">
        <f t="shared" si="6"/>
        <v>0x00</v>
      </c>
      <c r="K53" s="125">
        <f t="shared" si="7"/>
        <v>0</v>
      </c>
      <c r="L53" s="125" t="str">
        <f t="shared" si="8"/>
        <v>00000000</v>
      </c>
      <c r="M53" s="126" t="str">
        <f t="shared" ref="M53:M54" si="17">IF(LEN(I53)&gt;0,CONCATENATE(I53,IF(LEN(I54)&gt;0,",","")),"};")</f>
        <v>UTF32_BE_BYTE_2_OF_4,</v>
      </c>
      <c r="N53" s="126"/>
    </row>
    <row r="54" spans="1:14" x14ac:dyDescent="0.25">
      <c r="A54" s="126" t="s">
        <v>692</v>
      </c>
      <c r="B54" s="126">
        <f>IFERROR(FIND(B$2,$A54),"")</f>
        <v>9</v>
      </c>
      <c r="C54" s="125">
        <f t="shared" si="1"/>
        <v>19</v>
      </c>
      <c r="D54" s="125">
        <f t="shared" si="9"/>
        <v>41</v>
      </c>
      <c r="E54" s="125" t="str">
        <f t="shared" si="9"/>
        <v/>
      </c>
      <c r="F54" s="125">
        <f t="shared" si="9"/>
        <v>47</v>
      </c>
      <c r="G54" s="125">
        <f t="shared" si="3"/>
        <v>47</v>
      </c>
      <c r="H54" s="126" t="str">
        <f t="shared" si="4"/>
        <v>byte</v>
      </c>
      <c r="I54" s="125" t="str">
        <f t="shared" si="5"/>
        <v>UTF32_BE_BYTE_3_OF_4</v>
      </c>
      <c r="J54" s="125" t="str">
        <f t="shared" si="6"/>
        <v>0xFE</v>
      </c>
      <c r="K54" s="125">
        <f t="shared" si="7"/>
        <v>254</v>
      </c>
      <c r="L54" s="125" t="str">
        <f t="shared" si="8"/>
        <v>11111110</v>
      </c>
      <c r="M54" s="126" t="str">
        <f t="shared" si="17"/>
        <v>UTF32_BE_BYTE_3_OF_4,</v>
      </c>
      <c r="N54" s="126"/>
    </row>
    <row r="55" spans="1:14" x14ac:dyDescent="0.25">
      <c r="A55" s="126" t="s">
        <v>693</v>
      </c>
      <c r="B55" s="126">
        <f>IFERROR(FIND(B$2,$A55),"")</f>
        <v>9</v>
      </c>
      <c r="C55" s="125">
        <f t="shared" si="1"/>
        <v>19</v>
      </c>
      <c r="D55" s="125">
        <f t="shared" si="9"/>
        <v>41</v>
      </c>
      <c r="E55" s="125" t="str">
        <f t="shared" si="9"/>
        <v/>
      </c>
      <c r="F55" s="125">
        <f t="shared" si="9"/>
        <v>47</v>
      </c>
      <c r="G55" s="125">
        <f t="shared" si="3"/>
        <v>47</v>
      </c>
      <c r="H55" s="126" t="str">
        <f t="shared" si="4"/>
        <v>byte</v>
      </c>
      <c r="I55" s="125" t="str">
        <f t="shared" si="5"/>
        <v>UTF32_BE_BYTE_4_OF_4</v>
      </c>
      <c r="J55" s="125" t="str">
        <f t="shared" si="6"/>
        <v>0xFF</v>
      </c>
      <c r="K55" s="125">
        <f t="shared" si="7"/>
        <v>255</v>
      </c>
      <c r="L55" s="125" t="str">
        <f t="shared" si="8"/>
        <v>11111111</v>
      </c>
      <c r="M55" s="126" t="str">
        <f>IF(LEN(I55)&gt;0,CONCATENATE(I55,IF(LEN(I70)&gt;0,",","")),"};")</f>
        <v>UTF32_BE_BYTE_4_OF_4</v>
      </c>
      <c r="N55" s="126"/>
    </row>
    <row r="56" spans="1:14" x14ac:dyDescent="0.25">
      <c r="A56" s="126"/>
      <c r="B56" s="126" t="str">
        <f t="shared" ref="B56:B70" si="18">IFERROR(FIND(B$2,$A56),"")</f>
        <v/>
      </c>
      <c r="C56" s="125" t="str">
        <f t="shared" si="1"/>
        <v/>
      </c>
      <c r="D56" s="125" t="str">
        <f t="shared" si="9"/>
        <v/>
      </c>
      <c r="E56" s="125" t="str">
        <f t="shared" si="9"/>
        <v/>
      </c>
      <c r="F56" s="125" t="str">
        <f t="shared" si="9"/>
        <v/>
      </c>
      <c r="G56" s="125" t="str">
        <f t="shared" si="3"/>
        <v/>
      </c>
      <c r="H56" s="126"/>
      <c r="I56" s="125" t="str">
        <f t="shared" si="5"/>
        <v/>
      </c>
      <c r="J56" s="125" t="str">
        <f t="shared" si="6"/>
        <v/>
      </c>
      <c r="K56" s="125" t="str">
        <f t="shared" si="7"/>
        <v/>
      </c>
      <c r="L56" s="125" t="str">
        <f t="shared" si="8"/>
        <v/>
      </c>
      <c r="M56" s="126" t="str">
        <f>IF(LEN(I56)&gt;0,CONCATENATE(I56,IF(LEN(I71)&gt;0,",","")),"};")</f>
        <v>};</v>
      </c>
      <c r="N56" s="126"/>
    </row>
    <row r="57" spans="1:14" x14ac:dyDescent="0.25">
      <c r="A57" s="126"/>
      <c r="B57" s="126" t="str">
        <f t="shared" si="18"/>
        <v/>
      </c>
      <c r="C57" s="125" t="str">
        <f t="shared" si="1"/>
        <v/>
      </c>
      <c r="D57" s="125" t="str">
        <f t="shared" si="9"/>
        <v/>
      </c>
      <c r="E57" s="125" t="str">
        <f t="shared" si="9"/>
        <v/>
      </c>
      <c r="F57" s="125" t="str">
        <f t="shared" si="9"/>
        <v/>
      </c>
      <c r="G57" s="125" t="str">
        <f t="shared" si="3"/>
        <v/>
      </c>
      <c r="H57" s="126"/>
      <c r="I57" s="125" t="str">
        <f t="shared" si="5"/>
        <v/>
      </c>
      <c r="J57" s="125" t="str">
        <f t="shared" si="6"/>
        <v/>
      </c>
      <c r="K57" s="125" t="str">
        <f t="shared" si="7"/>
        <v/>
      </c>
      <c r="L57" s="125" t="str">
        <f t="shared" si="8"/>
        <v/>
      </c>
      <c r="M57" s="126"/>
      <c r="N57" s="126"/>
    </row>
    <row r="58" spans="1:14" x14ac:dyDescent="0.25">
      <c r="A58" s="126" t="s">
        <v>678</v>
      </c>
      <c r="B58" s="126" t="str">
        <f t="shared" si="18"/>
        <v/>
      </c>
      <c r="C58" s="125" t="str">
        <f t="shared" si="1"/>
        <v/>
      </c>
      <c r="D58" s="125" t="str">
        <f t="shared" si="9"/>
        <v/>
      </c>
      <c r="E58" s="125" t="str">
        <f t="shared" si="9"/>
        <v/>
      </c>
      <c r="F58" s="125" t="str">
        <f t="shared" si="9"/>
        <v/>
      </c>
      <c r="G58" s="125">
        <f t="shared" si="3"/>
        <v>80</v>
      </c>
      <c r="H58" s="126"/>
      <c r="I58" s="125" t="str">
        <f t="shared" si="5"/>
        <v/>
      </c>
      <c r="J58" s="125" t="str">
        <f t="shared" si="6"/>
        <v/>
      </c>
      <c r="K58" s="125" t="str">
        <f t="shared" si="7"/>
        <v/>
      </c>
      <c r="L58" s="125" t="str">
        <f t="shared" si="8"/>
        <v/>
      </c>
      <c r="M58" s="126"/>
      <c r="N58" s="126"/>
    </row>
    <row r="59" spans="1:14" x14ac:dyDescent="0.25">
      <c r="A59" s="126" t="s">
        <v>712</v>
      </c>
      <c r="B59" s="126" t="str">
        <f t="shared" si="18"/>
        <v/>
      </c>
      <c r="C59" s="125" t="str">
        <f t="shared" si="1"/>
        <v/>
      </c>
      <c r="D59" s="125" t="str">
        <f t="shared" si="9"/>
        <v/>
      </c>
      <c r="E59" s="125" t="str">
        <f t="shared" si="9"/>
        <v/>
      </c>
      <c r="F59" s="125" t="str">
        <f t="shared" si="9"/>
        <v/>
      </c>
      <c r="G59" s="125">
        <f t="shared" si="3"/>
        <v>78</v>
      </c>
      <c r="H59" s="126"/>
      <c r="I59" s="125" t="str">
        <f t="shared" si="5"/>
        <v/>
      </c>
      <c r="J59" s="125" t="str">
        <f t="shared" si="6"/>
        <v/>
      </c>
      <c r="K59" s="125" t="str">
        <f t="shared" si="7"/>
        <v/>
      </c>
      <c r="L59" s="125" t="str">
        <f t="shared" si="8"/>
        <v/>
      </c>
      <c r="M59" s="126"/>
      <c r="N59" s="126"/>
    </row>
    <row r="60" spans="1:14" x14ac:dyDescent="0.25">
      <c r="A60" s="126" t="s">
        <v>713</v>
      </c>
      <c r="B60" s="126" t="str">
        <f t="shared" si="18"/>
        <v/>
      </c>
      <c r="C60" s="125" t="str">
        <f t="shared" si="1"/>
        <v/>
      </c>
      <c r="D60" s="125" t="str">
        <f t="shared" si="9"/>
        <v/>
      </c>
      <c r="E60" s="125" t="str">
        <f t="shared" si="9"/>
        <v/>
      </c>
      <c r="F60" s="125" t="str">
        <f t="shared" si="9"/>
        <v/>
      </c>
      <c r="G60" s="125">
        <f t="shared" si="3"/>
        <v>29</v>
      </c>
      <c r="H60" s="126"/>
      <c r="I60" s="125" t="str">
        <f t="shared" si="5"/>
        <v/>
      </c>
      <c r="J60" s="125" t="str">
        <f t="shared" si="6"/>
        <v/>
      </c>
      <c r="K60" s="125" t="str">
        <f t="shared" si="7"/>
        <v/>
      </c>
      <c r="L60" s="125" t="str">
        <f t="shared" si="8"/>
        <v/>
      </c>
      <c r="M60" s="126"/>
      <c r="N60" s="126"/>
    </row>
    <row r="61" spans="1:14" x14ac:dyDescent="0.25">
      <c r="A61" s="126" t="s">
        <v>678</v>
      </c>
      <c r="B61" s="126" t="str">
        <f t="shared" si="18"/>
        <v/>
      </c>
      <c r="C61" s="125" t="str">
        <f t="shared" si="1"/>
        <v/>
      </c>
      <c r="D61" s="125" t="str">
        <f t="shared" si="9"/>
        <v/>
      </c>
      <c r="E61" s="125" t="str">
        <f t="shared" si="9"/>
        <v/>
      </c>
      <c r="F61" s="125" t="str">
        <f t="shared" si="9"/>
        <v/>
      </c>
      <c r="G61" s="125">
        <f t="shared" si="3"/>
        <v>80</v>
      </c>
      <c r="H61" s="126"/>
      <c r="I61" s="125" t="str">
        <f t="shared" si="5"/>
        <v/>
      </c>
      <c r="J61" s="125" t="str">
        <f t="shared" si="6"/>
        <v/>
      </c>
      <c r="K61" s="125" t="str">
        <f t="shared" si="7"/>
        <v/>
      </c>
      <c r="L61" s="125" t="str">
        <f t="shared" si="8"/>
        <v/>
      </c>
      <c r="M61" s="126"/>
      <c r="N61" s="126"/>
    </row>
    <row r="62" spans="1:14" x14ac:dyDescent="0.25">
      <c r="A62" s="126"/>
      <c r="B62" s="126" t="str">
        <f t="shared" si="18"/>
        <v/>
      </c>
      <c r="C62" s="125" t="str">
        <f t="shared" si="1"/>
        <v/>
      </c>
      <c r="D62" s="125" t="str">
        <f t="shared" si="9"/>
        <v/>
      </c>
      <c r="E62" s="125" t="str">
        <f t="shared" si="9"/>
        <v/>
      </c>
      <c r="F62" s="125" t="str">
        <f t="shared" si="9"/>
        <v/>
      </c>
      <c r="G62" s="125" t="str">
        <f t="shared" si="3"/>
        <v/>
      </c>
      <c r="H62" s="126"/>
      <c r="I62" s="125" t="str">
        <f t="shared" si="5"/>
        <v/>
      </c>
      <c r="J62" s="125" t="str">
        <f t="shared" si="6"/>
        <v/>
      </c>
      <c r="K62" s="125" t="str">
        <f t="shared" si="7"/>
        <v/>
      </c>
      <c r="L62" s="125" t="str">
        <f t="shared" si="8"/>
        <v/>
      </c>
      <c r="M62" s="126"/>
      <c r="N62" s="126"/>
    </row>
    <row r="63" spans="1:14" x14ac:dyDescent="0.25">
      <c r="A63" s="126" t="str">
        <f>s_achrUTF8</f>
        <v>s_achrUTF8</v>
      </c>
      <c r="B63" s="126" t="str">
        <f t="shared" si="18"/>
        <v/>
      </c>
      <c r="C63" s="125" t="str">
        <f t="shared" si="1"/>
        <v/>
      </c>
      <c r="D63" s="125" t="str">
        <f t="shared" si="9"/>
        <v/>
      </c>
      <c r="E63" s="125" t="str">
        <f t="shared" si="9"/>
        <v/>
      </c>
      <c r="F63" s="125" t="str">
        <f t="shared" si="9"/>
        <v/>
      </c>
      <c r="G63" s="125">
        <f t="shared" si="3"/>
        <v>10</v>
      </c>
      <c r="H63" s="126" t="s">
        <v>711</v>
      </c>
      <c r="I63" s="125" t="str">
        <f t="shared" ref="I63:I68" si="19">SUBSTITUTE(SUBSTITUTE(A63,"_",""),LEFT(SUBSTITUTE(A63,"_",""),4),"s_intLengthOf")</f>
        <v>s_intLengthOfrUTF8</v>
      </c>
      <c r="J63" s="125" t="str">
        <f t="shared" si="6"/>
        <v/>
      </c>
      <c r="K63" s="125" t="str">
        <f t="shared" si="7"/>
        <v/>
      </c>
      <c r="L63" s="125" t="str">
        <f t="shared" si="8"/>
        <v/>
      </c>
      <c r="M63" s="126" t="str">
        <f>CONCATENATE("static readonly ",H63,CHAR(32),I63,"=",A63,".Length;")</f>
        <v>static readonly int s_intLengthOfrUTF8=s_achrUTF8.Length;</v>
      </c>
      <c r="N63" s="126"/>
    </row>
    <row r="64" spans="1:14" x14ac:dyDescent="0.25">
      <c r="A64" s="126" t="str">
        <f>s_achrUTF16_BE</f>
        <v>s_achrUTF16_BE</v>
      </c>
      <c r="B64" s="126" t="str">
        <f t="shared" si="18"/>
        <v/>
      </c>
      <c r="C64" s="125" t="str">
        <f t="shared" si="1"/>
        <v/>
      </c>
      <c r="D64" s="125" t="str">
        <f t="shared" si="9"/>
        <v/>
      </c>
      <c r="E64" s="125" t="str">
        <f t="shared" si="9"/>
        <v/>
      </c>
      <c r="F64" s="125" t="str">
        <f t="shared" si="9"/>
        <v/>
      </c>
      <c r="G64" s="125">
        <f t="shared" si="3"/>
        <v>14</v>
      </c>
      <c r="H64" s="126" t="s">
        <v>711</v>
      </c>
      <c r="I64" s="125" t="str">
        <f t="shared" si="19"/>
        <v>s_intLengthOfrUTF16BE</v>
      </c>
      <c r="J64" s="125" t="str">
        <f t="shared" si="6"/>
        <v/>
      </c>
      <c r="K64" s="125" t="str">
        <f t="shared" si="7"/>
        <v/>
      </c>
      <c r="L64" s="125" t="str">
        <f t="shared" si="8"/>
        <v/>
      </c>
      <c r="M64" s="126" t="str">
        <f t="shared" ref="M64:M68" si="20">CONCATENATE("static readonly ",H64,CHAR(32),I64,"=",A64,".Length;")</f>
        <v>static readonly int s_intLengthOfrUTF16BE=s_achrUTF16_BE.Length;</v>
      </c>
      <c r="N64" s="126"/>
    </row>
    <row r="65" spans="1:14" x14ac:dyDescent="0.25">
      <c r="A65" s="126" t="str">
        <f>s_achrUTF16_LE</f>
        <v>s_achrUTF16_LE</v>
      </c>
      <c r="B65" s="126" t="str">
        <f t="shared" si="18"/>
        <v/>
      </c>
      <c r="C65" s="125" t="str">
        <f t="shared" si="1"/>
        <v/>
      </c>
      <c r="D65" s="125" t="str">
        <f t="shared" si="9"/>
        <v/>
      </c>
      <c r="E65" s="125" t="str">
        <f t="shared" si="9"/>
        <v/>
      </c>
      <c r="F65" s="125" t="str">
        <f t="shared" si="9"/>
        <v/>
      </c>
      <c r="G65" s="125">
        <f t="shared" si="3"/>
        <v>14</v>
      </c>
      <c r="H65" s="126" t="s">
        <v>711</v>
      </c>
      <c r="I65" s="125" t="str">
        <f t="shared" si="19"/>
        <v>s_intLengthOfrUTF16LE</v>
      </c>
      <c r="J65" s="125" t="str">
        <f t="shared" si="6"/>
        <v/>
      </c>
      <c r="K65" s="125" t="str">
        <f t="shared" si="7"/>
        <v/>
      </c>
      <c r="L65" s="125" t="str">
        <f t="shared" si="8"/>
        <v/>
      </c>
      <c r="M65" s="126" t="str">
        <f t="shared" si="20"/>
        <v>static readonly int s_intLengthOfrUTF16LE=s_achrUTF16_LE.Length;</v>
      </c>
      <c r="N65" s="126"/>
    </row>
    <row r="66" spans="1:14" x14ac:dyDescent="0.25">
      <c r="A66" s="126" t="str">
        <f>s_achrUTF32_BE</f>
        <v>s_achrUTF32_BE</v>
      </c>
      <c r="B66" s="126" t="str">
        <f t="shared" si="18"/>
        <v/>
      </c>
      <c r="C66" s="125" t="str">
        <f t="shared" si="1"/>
        <v/>
      </c>
      <c r="D66" s="125" t="str">
        <f t="shared" si="9"/>
        <v/>
      </c>
      <c r="E66" s="125" t="str">
        <f t="shared" si="9"/>
        <v/>
      </c>
      <c r="F66" s="125" t="str">
        <f t="shared" si="9"/>
        <v/>
      </c>
      <c r="G66" s="125">
        <f t="shared" si="3"/>
        <v>14</v>
      </c>
      <c r="H66" s="126" t="s">
        <v>711</v>
      </c>
      <c r="I66" s="125" t="str">
        <f t="shared" si="19"/>
        <v>s_intLengthOfrUTF32BE</v>
      </c>
      <c r="J66" s="125" t="str">
        <f t="shared" si="6"/>
        <v/>
      </c>
      <c r="K66" s="125" t="str">
        <f t="shared" si="7"/>
        <v/>
      </c>
      <c r="L66" s="125" t="str">
        <f t="shared" si="8"/>
        <v/>
      </c>
      <c r="M66" s="126" t="str">
        <f t="shared" si="20"/>
        <v>static readonly int s_intLengthOfrUTF32BE=s_achrUTF32_BE.Length;</v>
      </c>
      <c r="N66" s="126"/>
    </row>
    <row r="67" spans="1:14" x14ac:dyDescent="0.25">
      <c r="A67" s="126" t="str">
        <f>s_achrUTF32_LE</f>
        <v>s_achrUTF32_LE</v>
      </c>
      <c r="B67" s="126" t="str">
        <f t="shared" si="18"/>
        <v/>
      </c>
      <c r="C67" s="125" t="str">
        <f t="shared" ref="C67:C70" si="21">IFERROR(FIND(C$2,$A67,B67+1+LEN(B$2)),"")</f>
        <v/>
      </c>
      <c r="D67" s="125" t="str">
        <f t="shared" si="9"/>
        <v/>
      </c>
      <c r="E67" s="125" t="str">
        <f t="shared" si="9"/>
        <v/>
      </c>
      <c r="F67" s="125" t="str">
        <f t="shared" si="9"/>
        <v/>
      </c>
      <c r="G67" s="125">
        <f t="shared" si="3"/>
        <v>14</v>
      </c>
      <c r="H67" s="126" t="s">
        <v>711</v>
      </c>
      <c r="I67" s="125" t="str">
        <f t="shared" si="19"/>
        <v>s_intLengthOfrUTF32LE</v>
      </c>
      <c r="J67" s="125" t="str">
        <f t="shared" si="6"/>
        <v/>
      </c>
      <c r="K67" s="125" t="str">
        <f t="shared" si="7"/>
        <v/>
      </c>
      <c r="L67" s="125" t="str">
        <f t="shared" si="8"/>
        <v/>
      </c>
      <c r="M67" s="126" t="str">
        <f t="shared" si="20"/>
        <v>static readonly int s_intLengthOfrUTF32LE=s_achrUTF32_LE.Length;</v>
      </c>
      <c r="N67" s="126"/>
    </row>
    <row r="68" spans="1:14" x14ac:dyDescent="0.25">
      <c r="A68" s="126" t="str">
        <f>CONCATENATE("s_aenm",RIGHT(TRIM(A$4),LEN(TRIM(A$4))-FIND(CHAR(32),TRIM(A$4))))</f>
        <v>s_aenmBOMStatus</v>
      </c>
      <c r="B68" s="126" t="str">
        <f t="shared" si="18"/>
        <v/>
      </c>
      <c r="C68" s="125" t="str">
        <f t="shared" si="21"/>
        <v/>
      </c>
      <c r="D68" s="125" t="str">
        <f t="shared" si="9"/>
        <v/>
      </c>
      <c r="E68" s="125" t="str">
        <f t="shared" si="9"/>
        <v/>
      </c>
      <c r="F68" s="125" t="str">
        <f t="shared" si="9"/>
        <v/>
      </c>
      <c r="G68" s="125">
        <f t="shared" ref="G68:G70" si="22">IF(ISBLANK(A68),"",LEN(A68))</f>
        <v>15</v>
      </c>
      <c r="H68" s="126" t="s">
        <v>711</v>
      </c>
      <c r="I68" s="125" t="str">
        <f t="shared" si="19"/>
        <v>s_intLengthOfmBOMStatus</v>
      </c>
      <c r="J68" s="125" t="str">
        <f t="shared" ref="J68:J70" si="23">IFERROR(TRIM(IF(AND(LEN(D68)&gt;0,LEN(E68)&gt;0),MID(A68,D68+1,E68-1-D68),MID(A68,D68+1,F68-1-D68))),"")</f>
        <v/>
      </c>
      <c r="K68" s="125" t="str">
        <f t="shared" ref="K68:K70" si="24">IFERROR(HEX2DEC(RIGHT(J68,LEN(J68)-2)),"")</f>
        <v/>
      </c>
      <c r="L68" s="125" t="str">
        <f t="shared" ref="L68:L70" si="25">IFERROR(HEX2BIN(RIGHT(J68,LEN(J68)-2),8),"")</f>
        <v/>
      </c>
      <c r="M68" s="126" t="str">
        <f t="shared" si="20"/>
        <v>static readonly int s_intLengthOfmBOMStatus=s_aenmBOMStatus.Length;</v>
      </c>
      <c r="N68" s="126"/>
    </row>
    <row r="69" spans="1:14" x14ac:dyDescent="0.25">
      <c r="A69" s="126"/>
      <c r="B69" s="126" t="str">
        <f t="shared" si="18"/>
        <v/>
      </c>
      <c r="C69" s="125" t="str">
        <f t="shared" si="21"/>
        <v/>
      </c>
      <c r="D69" s="125" t="str">
        <f t="shared" si="9"/>
        <v/>
      </c>
      <c r="E69" s="125" t="str">
        <f t="shared" si="9"/>
        <v/>
      </c>
      <c r="F69" s="125" t="str">
        <f t="shared" si="9"/>
        <v/>
      </c>
      <c r="G69" s="125" t="str">
        <f t="shared" si="22"/>
        <v/>
      </c>
      <c r="H69" s="126"/>
      <c r="I69" s="125" t="str">
        <f t="shared" ref="I69:I70" si="26">IFERROR(TRIM(IF(AND(LEN(D69)&gt;0,LEN(E69)&gt;0),LEFT(A69,D69-1),MID(A69,C69,D69-C69))),"")</f>
        <v/>
      </c>
      <c r="J69" s="125" t="str">
        <f t="shared" si="23"/>
        <v/>
      </c>
      <c r="K69" s="125" t="str">
        <f t="shared" si="24"/>
        <v/>
      </c>
      <c r="L69" s="125" t="str">
        <f t="shared" si="25"/>
        <v/>
      </c>
      <c r="M69" s="126"/>
      <c r="N69" s="126"/>
    </row>
    <row r="70" spans="1:14" x14ac:dyDescent="0.25">
      <c r="A70" s="126" t="s">
        <v>694</v>
      </c>
      <c r="B70" s="126" t="str">
        <f t="shared" si="18"/>
        <v/>
      </c>
      <c r="C70" s="125" t="str">
        <f t="shared" si="21"/>
        <v/>
      </c>
      <c r="D70" s="125" t="str">
        <f t="shared" si="9"/>
        <v/>
      </c>
      <c r="E70" s="125" t="str">
        <f t="shared" si="9"/>
        <v/>
      </c>
      <c r="F70" s="125" t="str">
        <f t="shared" si="9"/>
        <v/>
      </c>
      <c r="G70" s="125">
        <f t="shared" si="22"/>
        <v>57</v>
      </c>
      <c r="H70" s="126" t="str">
        <f t="shared" ref="H70" si="27">IFERROR(MID($A70,B70+LEN(B$2),C70-(B70+LEN(B$2))),"")</f>
        <v/>
      </c>
      <c r="I70" s="125" t="str">
        <f t="shared" si="26"/>
        <v/>
      </c>
      <c r="J70" s="125" t="str">
        <f t="shared" si="23"/>
        <v/>
      </c>
      <c r="K70" s="125" t="str">
        <f t="shared" si="24"/>
        <v/>
      </c>
      <c r="L70" s="125" t="str">
        <f t="shared" si="25"/>
        <v/>
      </c>
      <c r="M70" s="126"/>
      <c r="N70" s="126"/>
    </row>
  </sheetData>
  <mergeCells count="5">
    <mergeCell ref="J1:L1"/>
    <mergeCell ref="H1:I1"/>
    <mergeCell ref="B1:F1"/>
    <mergeCell ref="M1:N1"/>
    <mergeCell ref="A1:A2"/>
  </mergeCells>
  <pageMargins left="0.7" right="0.7" top="0.75" bottom="0.75" header="0.3" footer="0.3"/>
  <pageSetup orientation="portrait" horizontalDpi="0"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sheetPr>
  <dimension ref="A1:C32"/>
  <sheetViews>
    <sheetView workbookViewId="0">
      <pane xSplit="1" ySplit="1" topLeftCell="B2" activePane="bottomRight" state="frozen"/>
      <selection pane="topRight" activeCell="B1" sqref="B1"/>
      <selection pane="bottomLeft" activeCell="A2" sqref="A2"/>
      <selection pane="bottomRight" activeCell="C2" sqref="C2:C30"/>
    </sheetView>
  </sheetViews>
  <sheetFormatPr defaultRowHeight="15" x14ac:dyDescent="0.25"/>
  <cols>
    <col min="1" max="1" width="27.375" bestFit="1" customWidth="1"/>
    <col min="2" max="2" width="9.375" bestFit="1" customWidth="1"/>
    <col min="3" max="3" width="116.125" bestFit="1" customWidth="1"/>
  </cols>
  <sheetData>
    <row r="1" spans="1:3" ht="18" x14ac:dyDescent="0.25">
      <c r="A1" s="140" t="s">
        <v>7</v>
      </c>
      <c r="B1" s="141" t="s">
        <v>715</v>
      </c>
      <c r="C1" s="142" t="s">
        <v>854</v>
      </c>
    </row>
    <row r="2" spans="1:3" x14ac:dyDescent="0.25">
      <c r="A2" s="143" t="s">
        <v>825</v>
      </c>
      <c r="B2" s="144">
        <f>LEN(A2)</f>
        <v>22</v>
      </c>
      <c r="C2" s="145" t="str">
        <f t="shared" ref="C2:C30" si="0">CONCATENATE("Console.WriteLine(",CHAR(32),CHAR(34),"    MagicNumbers.",A2,REPT(CHAR(32),Longest_Name+1-B2),"= {0} (Formatted: {1})",CHAR(34),",MagicNumbers.",A2,",MagicNumbers.",A2,".ToString(NumericFormats.NUMBER_PER_REG_SETTINGS_0D));")</f>
        <v>Console.WriteLine( "    MagicNumbers.APPLICATION_ERROR_MASK     = {0} (Formatted: {1})",MagicNumbers.APPLICATION_ERROR_MASK,MagicNumbers.APPLICATION_ERROR_MASK.ToString(NumericFormats.NUMBER_PER_REG_SETTINGS_0D));</v>
      </c>
    </row>
    <row r="3" spans="1:3" x14ac:dyDescent="0.25">
      <c r="A3" s="146" t="s">
        <v>826</v>
      </c>
      <c r="B3" s="147">
        <f t="shared" ref="B3:B30" si="1">LEN(A3)</f>
        <v>13</v>
      </c>
      <c r="C3" s="148" t="str">
        <f t="shared" si="0"/>
        <v>Console.WriteLine( "    MagicNumbers.CAPACITY_01KB              = {0} (Formatted: {1})",MagicNumbers.CAPACITY_01KB,MagicNumbers.CAPACITY_01KB.ToString(NumericFormats.NUMBER_PER_REG_SETTINGS_0D));</v>
      </c>
    </row>
    <row r="4" spans="1:3" x14ac:dyDescent="0.25">
      <c r="A4" s="143" t="s">
        <v>827</v>
      </c>
      <c r="B4" s="144">
        <f t="shared" si="1"/>
        <v>13</v>
      </c>
      <c r="C4" s="145" t="str">
        <f t="shared" si="0"/>
        <v>Console.WriteLine( "    MagicNumbers.CAPACITY_02KB              = {0} (Formatted: {1})",MagicNumbers.CAPACITY_02KB,MagicNumbers.CAPACITY_02KB.ToString(NumericFormats.NUMBER_PER_REG_SETTINGS_0D));</v>
      </c>
    </row>
    <row r="5" spans="1:3" x14ac:dyDescent="0.25">
      <c r="A5" s="146" t="s">
        <v>828</v>
      </c>
      <c r="B5" s="147">
        <f t="shared" si="1"/>
        <v>13</v>
      </c>
      <c r="C5" s="148" t="str">
        <f t="shared" si="0"/>
        <v>Console.WriteLine( "    MagicNumbers.CAPACITY_04KB              = {0} (Formatted: {1})",MagicNumbers.CAPACITY_04KB,MagicNumbers.CAPACITY_04KB.ToString(NumericFormats.NUMBER_PER_REG_SETTINGS_0D));</v>
      </c>
    </row>
    <row r="6" spans="1:3" x14ac:dyDescent="0.25">
      <c r="A6" s="143" t="s">
        <v>829</v>
      </c>
      <c r="B6" s="144">
        <f t="shared" si="1"/>
        <v>13</v>
      </c>
      <c r="C6" s="145" t="str">
        <f t="shared" si="0"/>
        <v>Console.WriteLine( "    MagicNumbers.CAPACITY_08KB              = {0} (Formatted: {1})",MagicNumbers.CAPACITY_08KB,MagicNumbers.CAPACITY_08KB.ToString(NumericFormats.NUMBER_PER_REG_SETTINGS_0D));</v>
      </c>
    </row>
    <row r="7" spans="1:3" x14ac:dyDescent="0.25">
      <c r="A7" s="146" t="s">
        <v>830</v>
      </c>
      <c r="B7" s="147">
        <f t="shared" si="1"/>
        <v>13</v>
      </c>
      <c r="C7" s="148" t="str">
        <f t="shared" si="0"/>
        <v>Console.WriteLine( "    MagicNumbers.CAPACITY_16KB              = {0} (Formatted: {1})",MagicNumbers.CAPACITY_16KB,MagicNumbers.CAPACITY_16KB.ToString(NumericFormats.NUMBER_PER_REG_SETTINGS_0D));</v>
      </c>
    </row>
    <row r="8" spans="1:3" x14ac:dyDescent="0.25">
      <c r="A8" s="143" t="s">
        <v>831</v>
      </c>
      <c r="B8" s="144">
        <f t="shared" si="1"/>
        <v>13</v>
      </c>
      <c r="C8" s="145" t="str">
        <f t="shared" si="0"/>
        <v>Console.WriteLine( "    MagicNumbers.CAPACITY_32KB              = {0} (Formatted: {1})",MagicNumbers.CAPACITY_32KB,MagicNumbers.CAPACITY_32KB.ToString(NumericFormats.NUMBER_PER_REG_SETTINGS_0D));</v>
      </c>
    </row>
    <row r="9" spans="1:3" x14ac:dyDescent="0.25">
      <c r="A9" s="146" t="s">
        <v>832</v>
      </c>
      <c r="B9" s="147">
        <f t="shared" si="1"/>
        <v>13</v>
      </c>
      <c r="C9" s="148" t="str">
        <f t="shared" si="0"/>
        <v>Console.WriteLine( "    MagicNumbers.CAPACITY_64KB              = {0} (Formatted: {1})",MagicNumbers.CAPACITY_64KB,MagicNumbers.CAPACITY_64KB.ToString(NumericFormats.NUMBER_PER_REG_SETTINGS_0D));</v>
      </c>
    </row>
    <row r="10" spans="1:3" x14ac:dyDescent="0.25">
      <c r="A10" s="143" t="s">
        <v>833</v>
      </c>
      <c r="B10" s="144">
        <f t="shared" si="1"/>
        <v>17</v>
      </c>
      <c r="C10" s="145" t="str">
        <f t="shared" si="0"/>
        <v>Console.WriteLine( "    MagicNumbers.CAPACITY_MAX_PATH          = {0} (Formatted: {1})",MagicNumbers.CAPACITY_MAX_PATH,MagicNumbers.CAPACITY_MAX_PATH.ToString(NumericFormats.NUMBER_PER_REG_SETTINGS_0D));</v>
      </c>
    </row>
    <row r="11" spans="1:3" x14ac:dyDescent="0.25">
      <c r="A11" s="146" t="s">
        <v>834</v>
      </c>
      <c r="B11" s="147">
        <f t="shared" si="1"/>
        <v>19</v>
      </c>
      <c r="C11" s="148" t="str">
        <f t="shared" si="0"/>
        <v>Console.WriteLine( "    MagicNumbers.EMPTY_STRING_LENGTH        = {0} (Formatted: {1})",MagicNumbers.EMPTY_STRING_LENGTH,MagicNumbers.EMPTY_STRING_LENGTH.ToString(NumericFormats.NUMBER_PER_REG_SETTINGS_0D));</v>
      </c>
    </row>
    <row r="12" spans="1:3" x14ac:dyDescent="0.25">
      <c r="A12" s="143" t="s">
        <v>835</v>
      </c>
      <c r="B12" s="144">
        <f t="shared" si="1"/>
        <v>26</v>
      </c>
      <c r="C12" s="145" t="str">
        <f t="shared" si="0"/>
        <v>Console.WriteLine( "    MagicNumbers.ERROR_INVALID_CMD_LNE_ARGS = {0} (Formatted: {1})",MagicNumbers.ERROR_INVALID_CMD_LNE_ARGS,MagicNumbers.ERROR_INVALID_CMD_LNE_ARGS.ToString(NumericFormats.NUMBER_PER_REG_SETTINGS_0D));</v>
      </c>
    </row>
    <row r="13" spans="1:3" x14ac:dyDescent="0.25">
      <c r="A13" s="146" t="s">
        <v>836</v>
      </c>
      <c r="B13" s="147">
        <f t="shared" si="1"/>
        <v>13</v>
      </c>
      <c r="C13" s="148" t="str">
        <f t="shared" si="0"/>
        <v>Console.WriteLine( "    MagicNumbers.ERROR_RUNTIME              = {0} (Formatted: {1})",MagicNumbers.ERROR_RUNTIME,MagicNumbers.ERROR_RUNTIME.ToString(NumericFormats.NUMBER_PER_REG_SETTINGS_0D));</v>
      </c>
    </row>
    <row r="14" spans="1:3" x14ac:dyDescent="0.25">
      <c r="A14" s="143" t="s">
        <v>837</v>
      </c>
      <c r="B14" s="144">
        <f t="shared" si="1"/>
        <v>13</v>
      </c>
      <c r="C14" s="145" t="str">
        <f t="shared" si="0"/>
        <v>Console.WriteLine( "    MagicNumbers.ERROR_SUCCESS              = {0} (Formatted: {1})",MagicNumbers.ERROR_SUCCESS,MagicNumbers.ERROR_SUCCESS.ToString(NumericFormats.NUMBER_PER_REG_SETTINGS_0D));</v>
      </c>
    </row>
    <row r="15" spans="1:3" x14ac:dyDescent="0.25">
      <c r="A15" s="146" t="s">
        <v>838</v>
      </c>
      <c r="B15" s="147">
        <f t="shared" si="1"/>
        <v>19</v>
      </c>
      <c r="C15" s="148" t="str">
        <f t="shared" si="0"/>
        <v>Console.WriteLine( "    MagicNumbers.EXACTLY_ONE_NUNDRED        = {0} (Formatted: {1})",MagicNumbers.EXACTLY_ONE_NUNDRED,MagicNumbers.EXACTLY_ONE_NUNDRED.ToString(NumericFormats.NUMBER_PER_REG_SETTINGS_0D));</v>
      </c>
    </row>
    <row r="16" spans="1:3" x14ac:dyDescent="0.25">
      <c r="A16" s="143" t="s">
        <v>839</v>
      </c>
      <c r="B16" s="144">
        <f t="shared" si="1"/>
        <v>20</v>
      </c>
      <c r="C16" s="145" t="str">
        <f t="shared" si="0"/>
        <v>Console.WriteLine( "    MagicNumbers.EXACTLY_ONE_THOUSAND       = {0} (Formatted: {1})",MagicNumbers.EXACTLY_ONE_THOUSAND,MagicNumbers.EXACTLY_ONE_THOUSAND.ToString(NumericFormats.NUMBER_PER_REG_SETTINGS_0D));</v>
      </c>
    </row>
    <row r="17" spans="1:3" x14ac:dyDescent="0.25">
      <c r="A17" s="146" t="s">
        <v>840</v>
      </c>
      <c r="B17" s="147">
        <f t="shared" si="1"/>
        <v>20</v>
      </c>
      <c r="C17" s="148" t="str">
        <f t="shared" si="0"/>
        <v>Console.WriteLine( "    MagicNumbers.EXACTLY_TEN_THOUSAND       = {0} (Formatted: {1})",MagicNumbers.EXACTLY_TEN_THOUSAND,MagicNumbers.EXACTLY_TEN_THOUSAND.ToString(NumericFormats.NUMBER_PER_REG_SETTINGS_0D));</v>
      </c>
    </row>
    <row r="18" spans="1:3" x14ac:dyDescent="0.25">
      <c r="A18" s="143" t="s">
        <v>841</v>
      </c>
      <c r="B18" s="144">
        <f t="shared" si="1"/>
        <v>19</v>
      </c>
      <c r="C18" s="145" t="str">
        <f t="shared" si="0"/>
        <v>Console.WriteLine( "    MagicNumbers.EXACTLY_ONE_MILLION        = {0} (Formatted: {1})",MagicNumbers.EXACTLY_ONE_MILLION,MagicNumbers.EXACTLY_ONE_MILLION.ToString(NumericFormats.NUMBER_PER_REG_SETTINGS_0D));</v>
      </c>
    </row>
    <row r="19" spans="1:3" x14ac:dyDescent="0.25">
      <c r="A19" s="146" t="s">
        <v>842</v>
      </c>
      <c r="B19" s="147">
        <f t="shared" si="1"/>
        <v>19</v>
      </c>
      <c r="C19" s="148" t="str">
        <f t="shared" si="0"/>
        <v>Console.WriteLine( "    MagicNumbers.EXACTLY_ONE_BILLION        = {0} (Formatted: {1})",MagicNumbers.EXACTLY_ONE_BILLION,MagicNumbers.EXACTLY_ONE_BILLION.ToString(NumericFormats.NUMBER_PER_REG_SETTINGS_0D));</v>
      </c>
    </row>
    <row r="20" spans="1:3" x14ac:dyDescent="0.25">
      <c r="A20" s="143" t="s">
        <v>843</v>
      </c>
      <c r="B20" s="144">
        <f t="shared" si="1"/>
        <v>23</v>
      </c>
      <c r="C20" s="145" t="str">
        <f t="shared" si="0"/>
        <v>Console.WriteLine( "    MagicNumbers.MILLISECONDS_PER_SECOND    = {0} (Formatted: {1})",MagicNumbers.MILLISECONDS_PER_SECOND,MagicNumbers.MILLISECONDS_PER_SECOND.ToString(NumericFormats.NUMBER_PER_REG_SETTINGS_0D));</v>
      </c>
    </row>
    <row r="21" spans="1:3" x14ac:dyDescent="0.25">
      <c r="A21" s="146" t="s">
        <v>844</v>
      </c>
      <c r="B21" s="147">
        <f t="shared" si="1"/>
        <v>9</v>
      </c>
      <c r="C21" s="148" t="str">
        <f t="shared" si="0"/>
        <v>Console.WriteLine( "    MagicNumbers.MINUS_ONE                  = {0} (Formatted: {1})",MagicNumbers.MINUS_ONE,MagicNumbers.MINUS_ONE.ToString(NumericFormats.NUMBER_PER_REG_SETTINGS_0D));</v>
      </c>
    </row>
    <row r="22" spans="1:3" x14ac:dyDescent="0.25">
      <c r="A22" s="143" t="s">
        <v>845</v>
      </c>
      <c r="B22" s="144">
        <f t="shared" si="1"/>
        <v>8</v>
      </c>
      <c r="C22" s="145" t="str">
        <f t="shared" si="0"/>
        <v>Console.WriteLine( "    MagicNumbers.PLUS_ONE                   = {0} (Formatted: {1})",MagicNumbers.PLUS_ONE,MagicNumbers.PLUS_ONE.ToString(NumericFormats.NUMBER_PER_REG_SETTINGS_0D));</v>
      </c>
    </row>
    <row r="23" spans="1:3" x14ac:dyDescent="0.25">
      <c r="A23" s="146" t="s">
        <v>846</v>
      </c>
      <c r="B23" s="147">
        <f t="shared" si="1"/>
        <v>8</v>
      </c>
      <c r="C23" s="148" t="str">
        <f t="shared" si="0"/>
        <v>Console.WriteLine( "    MagicNumbers.PLUS_TWO                   = {0} (Formatted: {1})",MagicNumbers.PLUS_TWO,MagicNumbers.PLUS_TWO.ToString(NumericFormats.NUMBER_PER_REG_SETTINGS_0D));</v>
      </c>
    </row>
    <row r="24" spans="1:3" x14ac:dyDescent="0.25">
      <c r="A24" s="143" t="s">
        <v>847</v>
      </c>
      <c r="B24" s="144">
        <f t="shared" si="1"/>
        <v>10</v>
      </c>
      <c r="C24" s="145" t="str">
        <f t="shared" si="0"/>
        <v>Console.WriteLine( "    MagicNumbers.PLUS_SEVEN                 = {0} (Formatted: {1})",MagicNumbers.PLUS_SEVEN,MagicNumbers.PLUS_SEVEN.ToString(NumericFormats.NUMBER_PER_REG_SETTINGS_0D));</v>
      </c>
    </row>
    <row r="25" spans="1:3" x14ac:dyDescent="0.25">
      <c r="A25" s="146" t="s">
        <v>848</v>
      </c>
      <c r="B25" s="147">
        <f t="shared" si="1"/>
        <v>24</v>
      </c>
      <c r="C25" s="148" t="str">
        <f t="shared" si="0"/>
        <v>Console.WriteLine( "    MagicNumbers.STRING_INDEXOF_NOT_FOUND   = {0} (Formatted: {1})",MagicNumbers.STRING_INDEXOF_NOT_FOUND,MagicNumbers.STRING_INDEXOF_NOT_FOUND.ToString(NumericFormats.NUMBER_PER_REG_SETTINGS_0D));</v>
      </c>
    </row>
    <row r="26" spans="1:3" x14ac:dyDescent="0.25">
      <c r="A26" s="143" t="s">
        <v>849</v>
      </c>
      <c r="B26" s="144">
        <f t="shared" si="1"/>
        <v>23</v>
      </c>
      <c r="C26" s="145" t="str">
        <f t="shared" si="0"/>
        <v>Console.WriteLine( "    MagicNumbers.STRING_SUBSTR_BEGINNING    = {0} (Formatted: {1})",MagicNumbers.STRING_SUBSTR_BEGINNING,MagicNumbers.STRING_SUBSTR_BEGINNING.ToString(NumericFormats.NUMBER_PER_REG_SETTINGS_0D));</v>
      </c>
    </row>
    <row r="27" spans="1:3" x14ac:dyDescent="0.25">
      <c r="A27" s="146" t="s">
        <v>850</v>
      </c>
      <c r="B27" s="147">
        <f t="shared" si="1"/>
        <v>16</v>
      </c>
      <c r="C27" s="148" t="str">
        <f t="shared" si="0"/>
        <v>Console.WriteLine( "    MagicNumbers.TICKS_PER_SECOND           = {0} (Formatted: {1})",MagicNumbers.TICKS_PER_SECOND,MagicNumbers.TICKS_PER_SECOND.ToString(NumericFormats.NUMBER_PER_REG_SETTINGS_0D));</v>
      </c>
    </row>
    <row r="28" spans="1:3" x14ac:dyDescent="0.25">
      <c r="A28" s="143" t="s">
        <v>851</v>
      </c>
      <c r="B28" s="144">
        <f t="shared" si="1"/>
        <v>20</v>
      </c>
      <c r="C28" s="145" t="str">
        <f t="shared" si="0"/>
        <v>Console.WriteLine( "    MagicNumbers.UNC_PREFIX_START_POS       = {0} (Formatted: {1})",MagicNumbers.UNC_PREFIX_START_POS,MagicNumbers.UNC_PREFIX_START_POS.ToString(NumericFormats.NUMBER_PER_REG_SETTINGS_0D));</v>
      </c>
    </row>
    <row r="29" spans="1:3" x14ac:dyDescent="0.25">
      <c r="A29" s="146" t="s">
        <v>852</v>
      </c>
      <c r="B29" s="147">
        <f t="shared" si="1"/>
        <v>20</v>
      </c>
      <c r="C29" s="148" t="str">
        <f t="shared" si="0"/>
        <v>Console.WriteLine( "    MagicNumbers.UNC_PREFIX_START_LEN       = {0} (Formatted: {1})",MagicNumbers.UNC_PREFIX_START_LEN,MagicNumbers.UNC_PREFIX_START_LEN.ToString(NumericFormats.NUMBER_PER_REG_SETTINGS_0D));</v>
      </c>
    </row>
    <row r="30" spans="1:3" x14ac:dyDescent="0.25">
      <c r="A30" s="137" t="s">
        <v>853</v>
      </c>
      <c r="B30" s="138">
        <f t="shared" si="1"/>
        <v>4</v>
      </c>
      <c r="C30" s="139" t="str">
        <f t="shared" si="0"/>
        <v>Console.WriteLine( "    MagicNumbers.ZERO                       = {0} (Formatted: {1})",MagicNumbers.ZERO,MagicNumbers.ZERO.ToString(NumericFormats.NUMBER_PER_REG_SETTINGS_0D));</v>
      </c>
    </row>
    <row r="32" spans="1:3" ht="18" x14ac:dyDescent="0.25">
      <c r="A32" s="141" t="s">
        <v>855</v>
      </c>
      <c r="B32" s="144">
        <f>MAX(Name_Lengths)</f>
        <v>26</v>
      </c>
    </row>
  </sheetData>
  <pageMargins left="0.7" right="0.7" top="0.75" bottom="0.75" header="0.3" footer="0.3"/>
  <pageSetup orientation="portrait" horizontalDpi="0"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sheetPr>
  <dimension ref="A1:J8"/>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5" x14ac:dyDescent="0.25"/>
  <cols>
    <col min="1" max="1" width="44.875" bestFit="1" customWidth="1"/>
    <col min="2" max="2" width="9.375" bestFit="1" customWidth="1"/>
    <col min="3" max="3" width="1.875" bestFit="1" customWidth="1"/>
    <col min="4" max="4" width="2.875" bestFit="1" customWidth="1"/>
    <col min="5" max="5" width="4" bestFit="1" customWidth="1"/>
    <col min="6" max="6" width="3.875" bestFit="1" customWidth="1"/>
    <col min="7" max="7" width="22.25" bestFit="1" customWidth="1"/>
    <col min="8" max="8" width="7.75" bestFit="1" customWidth="1"/>
    <col min="9" max="9" width="12.625" bestFit="1" customWidth="1"/>
    <col min="10" max="10" width="106.75" bestFit="1" customWidth="1"/>
  </cols>
  <sheetData>
    <row r="1" spans="1:10" ht="18" x14ac:dyDescent="0.25">
      <c r="A1" s="140" t="s">
        <v>862</v>
      </c>
      <c r="B1" s="141" t="s">
        <v>715</v>
      </c>
      <c r="C1" s="141" t="s">
        <v>427</v>
      </c>
      <c r="D1" s="141" t="s">
        <v>427</v>
      </c>
      <c r="E1" s="141" t="s">
        <v>864</v>
      </c>
      <c r="F1" s="141" t="s">
        <v>863</v>
      </c>
      <c r="G1" s="141" t="s">
        <v>7</v>
      </c>
      <c r="H1" s="141" t="s">
        <v>178</v>
      </c>
      <c r="I1" s="141" t="s">
        <v>10</v>
      </c>
      <c r="J1" s="141" t="s">
        <v>865</v>
      </c>
    </row>
    <row r="2" spans="1:10" x14ac:dyDescent="0.25">
      <c r="A2" s="143" t="s">
        <v>856</v>
      </c>
      <c r="B2" s="144">
        <f>IF(LEN(A2)&gt;0,LEN(A2),"")</f>
        <v>43</v>
      </c>
      <c r="C2" s="144">
        <f>IF($B2&gt;0,FIND(C$1,$A2),"")</f>
        <v>8</v>
      </c>
      <c r="D2" s="144">
        <f>IF($B2&gt;0,FIND(D$1,$A2,C2+1),"")</f>
        <v>24</v>
      </c>
      <c r="E2" s="144">
        <f>IF($B2&gt;0,FIND(E$1,$A2),"")</f>
        <v>26</v>
      </c>
      <c r="F2" s="144">
        <f>IFERROR(IF($B2&gt;0,FIND(F$1,$A2),""),"")</f>
        <v>35</v>
      </c>
      <c r="G2" s="144" t="str">
        <f>IF(AND(B2&gt;0,C2&gt;0,D2&gt;0),MID(A2,C2+1,D2-C2),"")</f>
        <v xml:space="preserve">VOLUME_NAME_DOS </v>
      </c>
      <c r="H2" s="144" t="str">
        <f>IF(AND(B2&gt;0,C2&gt;0,D2&gt;0),MID(A2,E2,IF(LEN(F2)&gt;0,FIND(CHAR(32),A2,E2)-E2,B2+1-E2)),"")</f>
        <v>0x0</v>
      </c>
      <c r="I2" s="144" t="str">
        <f>IF(LEN(F2)&gt;0,RIGHT(A2,B2-(F2+1)),"")</f>
        <v>default</v>
      </c>
      <c r="J2" s="145" t="str">
        <f>IF(B2&gt;0,CONCATENATE("const UInt32 ",G2," = ",H2,";  // ",IF(LEN(I2)&gt;0,TRIM(LEFT(A2,F2-1)),A2),", per ",$A$1,IF(LEN(I2)&gt;0,CONCATENATE(" (",I2,")"),"")),"")</f>
        <v>const UInt32 VOLUME_NAME_DOS  = 0x0;  // #define VOLUME_NAME_DOS 0x0, per WinBase.h (default)</v>
      </c>
    </row>
    <row r="3" spans="1:10" x14ac:dyDescent="0.25">
      <c r="A3" s="146" t="s">
        <v>857</v>
      </c>
      <c r="B3" s="147">
        <f t="shared" ref="B3:B8" si="0">LEN(A3)</f>
        <v>28</v>
      </c>
      <c r="C3" s="147">
        <f t="shared" ref="C3:E8" si="1">IF($B3&gt;0,FIND(C$1,$A3),"")</f>
        <v>8</v>
      </c>
      <c r="D3" s="147">
        <f t="shared" ref="D3:D8" si="2">IF($B3&gt;0,FIND(D$1,$A3,C3+1),"")</f>
        <v>25</v>
      </c>
      <c r="E3" s="147">
        <f t="shared" si="1"/>
        <v>26</v>
      </c>
      <c r="F3" s="147" t="str">
        <f t="shared" ref="F3:F8" si="3">IFERROR(IF($B3&gt;0,FIND(F$1,$A3),""),"")</f>
        <v/>
      </c>
      <c r="G3" s="147" t="str">
        <f t="shared" ref="G3:G8" si="4">IF(AND(B3&gt;0,C3&gt;0,D3&gt;0),MID(A3,C3+1,D3-C3),"")</f>
        <v xml:space="preserve">VOLUME_NAME_GUID </v>
      </c>
      <c r="H3" s="147" t="str">
        <f t="shared" ref="H3:H8" si="5">IF(AND(B3&gt;0,C3&gt;0,D3&gt;0),MID(A3,E3,IF(LEN(F3)&gt;0,FIND(CHAR(32),A3,E3)-E3,B3+1-E3)),"")</f>
        <v>0x1</v>
      </c>
      <c r="I3" s="147" t="str">
        <f t="shared" ref="I3:I8" si="6">IF(LEN(F3)&gt;0,RIGHT(A3,B3-(F3+1)),"")</f>
        <v/>
      </c>
      <c r="J3" s="148" t="str">
        <f t="shared" ref="J3:J8" si="7">IF(B3&gt;0,CONCATENATE("const UInt32 ",G3," = ",H3,";  // ",IF(LEN(I3)&gt;0,TRIM(LEFT(A3,F3-1)),A3),", per ",$A$1,IF(LEN(I3)&gt;0,CONCATENATE(" (",I3,")"),"")),"")</f>
        <v>const UInt32 VOLUME_NAME_GUID  = 0x1;  // #define VOLUME_NAME_GUID 0x1, per WinBase.h</v>
      </c>
    </row>
    <row r="4" spans="1:10" x14ac:dyDescent="0.25">
      <c r="A4" s="143" t="s">
        <v>858</v>
      </c>
      <c r="B4" s="144">
        <f t="shared" si="0"/>
        <v>28</v>
      </c>
      <c r="C4" s="144">
        <f t="shared" si="1"/>
        <v>8</v>
      </c>
      <c r="D4" s="144">
        <f t="shared" si="2"/>
        <v>23</v>
      </c>
      <c r="E4" s="144">
        <f t="shared" si="1"/>
        <v>26</v>
      </c>
      <c r="F4" s="144" t="str">
        <f t="shared" si="3"/>
        <v/>
      </c>
      <c r="G4" s="144" t="str">
        <f t="shared" si="4"/>
        <v xml:space="preserve">VOLUME_NAME_NT </v>
      </c>
      <c r="H4" s="144" t="str">
        <f t="shared" si="5"/>
        <v>0x2</v>
      </c>
      <c r="I4" s="144" t="str">
        <f t="shared" si="6"/>
        <v/>
      </c>
      <c r="J4" s="145" t="str">
        <f t="shared" si="7"/>
        <v>const UInt32 VOLUME_NAME_NT  = 0x2;  // #define VOLUME_NAME_NT   0x2, per WinBase.h</v>
      </c>
    </row>
    <row r="5" spans="1:10" x14ac:dyDescent="0.25">
      <c r="A5" s="146" t="s">
        <v>859</v>
      </c>
      <c r="B5" s="147">
        <f t="shared" si="0"/>
        <v>28</v>
      </c>
      <c r="C5" s="147">
        <f t="shared" si="1"/>
        <v>8</v>
      </c>
      <c r="D5" s="147">
        <f t="shared" si="2"/>
        <v>25</v>
      </c>
      <c r="E5" s="147">
        <f t="shared" si="1"/>
        <v>26</v>
      </c>
      <c r="F5" s="147" t="str">
        <f t="shared" si="3"/>
        <v/>
      </c>
      <c r="G5" s="147" t="str">
        <f t="shared" si="4"/>
        <v xml:space="preserve">VOLUME_NAME_NONE </v>
      </c>
      <c r="H5" s="147" t="str">
        <f t="shared" si="5"/>
        <v>0x4</v>
      </c>
      <c r="I5" s="147" t="str">
        <f t="shared" si="6"/>
        <v/>
      </c>
      <c r="J5" s="148" t="str">
        <f t="shared" si="7"/>
        <v>const UInt32 VOLUME_NAME_NONE  = 0x4;  // #define VOLUME_NAME_NONE 0x4, per WinBase.h</v>
      </c>
    </row>
    <row r="6" spans="1:10" x14ac:dyDescent="0.25">
      <c r="A6" s="143"/>
      <c r="B6" s="144">
        <f t="shared" si="0"/>
        <v>0</v>
      </c>
      <c r="C6" s="144" t="str">
        <f t="shared" si="1"/>
        <v/>
      </c>
      <c r="D6" s="144" t="str">
        <f t="shared" si="2"/>
        <v/>
      </c>
      <c r="E6" s="144" t="str">
        <f t="shared" si="1"/>
        <v/>
      </c>
      <c r="F6" s="144" t="str">
        <f t="shared" si="3"/>
        <v/>
      </c>
      <c r="G6" s="144" t="str">
        <f t="shared" si="4"/>
        <v/>
      </c>
      <c r="H6" s="144" t="str">
        <f t="shared" si="5"/>
        <v/>
      </c>
      <c r="I6" s="144" t="str">
        <f t="shared" si="6"/>
        <v/>
      </c>
      <c r="J6" s="145" t="str">
        <f t="shared" si="7"/>
        <v/>
      </c>
    </row>
    <row r="7" spans="1:10" x14ac:dyDescent="0.25">
      <c r="A7" s="146" t="s">
        <v>860</v>
      </c>
      <c r="B7" s="147">
        <f t="shared" si="0"/>
        <v>43</v>
      </c>
      <c r="C7" s="147">
        <f t="shared" si="1"/>
        <v>8</v>
      </c>
      <c r="D7" s="147">
        <f t="shared" si="2"/>
        <v>29</v>
      </c>
      <c r="E7" s="147">
        <f t="shared" si="1"/>
        <v>30</v>
      </c>
      <c r="F7" s="147">
        <f t="shared" si="3"/>
        <v>35</v>
      </c>
      <c r="G7" s="147" t="str">
        <f t="shared" si="4"/>
        <v xml:space="preserve">FILE_NAME_NORMALIZED </v>
      </c>
      <c r="H7" s="147" t="str">
        <f t="shared" si="5"/>
        <v>0x0</v>
      </c>
      <c r="I7" s="147" t="str">
        <f t="shared" si="6"/>
        <v>default</v>
      </c>
      <c r="J7" s="148" t="str">
        <f t="shared" si="7"/>
        <v>const UInt32 FILE_NAME_NORMALIZED  = 0x0;  // #define FILE_NAME_NORMALIZED 0x0, per WinBase.h (default)</v>
      </c>
    </row>
    <row r="8" spans="1:10" x14ac:dyDescent="0.25">
      <c r="A8" s="137" t="s">
        <v>861</v>
      </c>
      <c r="B8" s="138">
        <f t="shared" si="0"/>
        <v>32</v>
      </c>
      <c r="C8" s="138">
        <f t="shared" si="1"/>
        <v>8</v>
      </c>
      <c r="D8" s="138">
        <f t="shared" si="2"/>
        <v>25</v>
      </c>
      <c r="E8" s="138">
        <f t="shared" si="1"/>
        <v>30</v>
      </c>
      <c r="F8" s="138" t="str">
        <f t="shared" si="3"/>
        <v/>
      </c>
      <c r="G8" s="138" t="str">
        <f t="shared" si="4"/>
        <v xml:space="preserve">FILE_NAME_OPENED </v>
      </c>
      <c r="H8" s="138" t="str">
        <f t="shared" si="5"/>
        <v>0x8</v>
      </c>
      <c r="I8" s="138" t="str">
        <f t="shared" si="6"/>
        <v/>
      </c>
      <c r="J8" s="139" t="str">
        <f t="shared" si="7"/>
        <v>const UInt32 FILE_NAME_OPENED  = 0x8;  // #define FILE_NAME_OPENED     0x8, per WinBase.h</v>
      </c>
    </row>
  </sheetData>
  <pageMargins left="0.7" right="0.7" top="0.75" bottom="0.75" header="0.3" footer="0.3"/>
  <pageSetup orientation="portrait" horizontalDpi="0"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Q12"/>
  <sheetViews>
    <sheetView workbookViewId="0">
      <pane xSplit="2" ySplit="7" topLeftCell="I8" activePane="bottomRight" state="frozen"/>
      <selection pane="topRight" activeCell="C1" sqref="C1"/>
      <selection pane="bottomLeft" activeCell="A7" sqref="A7"/>
      <selection pane="bottomRight" activeCell="B15" sqref="B15"/>
    </sheetView>
  </sheetViews>
  <sheetFormatPr defaultRowHeight="15" x14ac:dyDescent="0.25"/>
  <cols>
    <col min="1" max="1" width="48" bestFit="1" customWidth="1"/>
    <col min="2" max="2" width="33.625" bestFit="1" customWidth="1"/>
    <col min="3" max="3" width="24.625" customWidth="1"/>
    <col min="4" max="4" width="20.125" bestFit="1" customWidth="1"/>
    <col min="6" max="6" width="24.625" bestFit="1" customWidth="1"/>
    <col min="7" max="7" width="20.125" bestFit="1" customWidth="1"/>
    <col min="8" max="8" width="6.875" bestFit="1" customWidth="1"/>
    <col min="9" max="9" width="6.875" customWidth="1"/>
    <col min="10" max="10" width="9.625" bestFit="1" customWidth="1"/>
    <col min="11" max="11" width="6.125" bestFit="1" customWidth="1"/>
    <col min="12" max="12" width="8.625" bestFit="1" customWidth="1"/>
    <col min="13" max="13" width="9.875" bestFit="1" customWidth="1"/>
    <col min="14" max="14" width="14.875" bestFit="1" customWidth="1"/>
    <col min="15" max="15" width="9.625" bestFit="1" customWidth="1"/>
    <col min="16" max="16" width="13.25" bestFit="1" customWidth="1"/>
    <col min="17" max="17" width="6.875" bestFit="1" customWidth="1"/>
  </cols>
  <sheetData>
    <row r="1" spans="1:17" ht="18" x14ac:dyDescent="0.25">
      <c r="A1" s="297" t="s">
        <v>998</v>
      </c>
      <c r="B1" s="298"/>
      <c r="C1" s="299" t="s">
        <v>997</v>
      </c>
      <c r="D1" s="299"/>
      <c r="E1" s="299"/>
      <c r="F1" s="299"/>
      <c r="G1" s="299"/>
      <c r="H1" s="300"/>
    </row>
    <row r="2" spans="1:17" ht="18" x14ac:dyDescent="0.25">
      <c r="A2" s="297" t="s">
        <v>996</v>
      </c>
      <c r="B2" s="298"/>
      <c r="C2" s="299" t="s">
        <v>995</v>
      </c>
      <c r="D2" s="299"/>
      <c r="E2" s="299"/>
      <c r="F2" s="299"/>
      <c r="G2" s="299"/>
      <c r="H2" s="300"/>
    </row>
    <row r="3" spans="1:17" ht="18" x14ac:dyDescent="0.25">
      <c r="A3" s="297" t="s">
        <v>1005</v>
      </c>
      <c r="B3" s="298"/>
      <c r="C3" s="299" t="s">
        <v>1006</v>
      </c>
      <c r="D3" s="299"/>
      <c r="E3" s="299"/>
      <c r="F3" s="299"/>
      <c r="G3" s="299"/>
      <c r="H3" s="300"/>
    </row>
    <row r="5" spans="1:17" ht="22.5" x14ac:dyDescent="0.3">
      <c r="A5" s="292" t="s">
        <v>1007</v>
      </c>
      <c r="B5" s="294"/>
      <c r="C5" s="169" t="s">
        <v>994</v>
      </c>
      <c r="D5" s="169"/>
      <c r="E5" s="169"/>
      <c r="F5" s="169" t="s">
        <v>993</v>
      </c>
      <c r="G5" s="169"/>
      <c r="H5" s="169"/>
      <c r="I5" s="292" t="s">
        <v>992</v>
      </c>
      <c r="J5" s="293"/>
      <c r="K5" s="293"/>
      <c r="L5" s="293"/>
      <c r="M5" s="293"/>
      <c r="N5" s="293"/>
      <c r="O5" s="293"/>
      <c r="P5" s="293"/>
      <c r="Q5" s="294"/>
    </row>
    <row r="6" spans="1:17" ht="18" hidden="1" x14ac:dyDescent="0.25">
      <c r="A6" s="295" t="s">
        <v>1008</v>
      </c>
      <c r="B6" s="296"/>
      <c r="C6" s="168" t="str">
        <f>SharedUtl4_Test_Stand_Progrm_Directory</f>
        <v>C:\Users\DAVE\Documents\Visual Studio 2013\Projects\WizardWrx_Libs\SharedUtl4\SharedUtl4_TestStand\</v>
      </c>
      <c r="D6" s="168"/>
      <c r="E6" s="168"/>
      <c r="F6" s="168" t="str">
        <f>DLLServices2_Test_Stand_Progrm_Directory</f>
        <v>C:\Users\DAVE\Documents\Visual Studio 2013\Projects\WizardWrx_Libs\Wizardwrx\DLLServices2TestStand\</v>
      </c>
      <c r="G6" s="168"/>
      <c r="H6" s="168"/>
      <c r="I6" s="168"/>
      <c r="J6" s="168"/>
      <c r="K6" s="168"/>
      <c r="L6" s="168"/>
      <c r="M6" s="168"/>
      <c r="N6" s="168"/>
      <c r="O6" s="168"/>
      <c r="P6" s="168"/>
      <c r="Q6" s="168"/>
    </row>
    <row r="7" spans="1:17" s="151" customFormat="1" ht="18.75" x14ac:dyDescent="0.3">
      <c r="A7" s="168" t="s">
        <v>991</v>
      </c>
      <c r="B7" s="168" t="s">
        <v>990</v>
      </c>
      <c r="C7" s="168" t="s">
        <v>429</v>
      </c>
      <c r="D7" s="168" t="s">
        <v>14</v>
      </c>
      <c r="E7" s="167" t="s">
        <v>13</v>
      </c>
      <c r="F7" s="168" t="s">
        <v>429</v>
      </c>
      <c r="G7" s="168" t="s">
        <v>14</v>
      </c>
      <c r="H7" s="167" t="s">
        <v>13</v>
      </c>
      <c r="I7" s="165" t="s">
        <v>989</v>
      </c>
      <c r="J7" s="165" t="s">
        <v>988</v>
      </c>
      <c r="K7" s="166" t="s">
        <v>987</v>
      </c>
      <c r="L7" s="166" t="s">
        <v>986</v>
      </c>
      <c r="M7" s="165" t="s">
        <v>985</v>
      </c>
      <c r="N7" s="165" t="s">
        <v>984</v>
      </c>
      <c r="O7" s="165" t="s">
        <v>983</v>
      </c>
      <c r="P7" s="165" t="s">
        <v>982</v>
      </c>
      <c r="Q7" s="165" t="s">
        <v>981</v>
      </c>
    </row>
    <row r="8" spans="1:17" x14ac:dyDescent="0.25">
      <c r="A8" s="161" t="s">
        <v>980</v>
      </c>
      <c r="B8" s="164" t="s">
        <v>979</v>
      </c>
      <c r="C8" s="170" t="str">
        <f>CONCATENATE(C$6,$B8)</f>
        <v>C:\Users\DAVE\Documents\Visual Studio 2013\Projects\WizardWrx_Libs\SharedUtl4\SharedUtl4_TestStand\FormatStringParsing_Drills.cs</v>
      </c>
      <c r="D8" s="171">
        <f>[1]!dtmFileDateInfo(C8)</f>
        <v>42798.097500000003</v>
      </c>
      <c r="E8" s="172">
        <f>[1]!lngFileSize(C8)</f>
        <v>19956</v>
      </c>
      <c r="F8" s="175" t="str">
        <f>CONCATENATE(F$6,$B8)</f>
        <v>C:\Users\DAVE\Documents\Visual Studio 2013\Projects\WizardWrx_Libs\Wizardwrx\DLLServices2TestStand\FormatStringParsing_Drills.cs</v>
      </c>
      <c r="G8" s="176">
        <f>[1]!dtmFileDateInfo(F8)</f>
        <v>42985.984351851854</v>
      </c>
      <c r="H8" s="177">
        <f>[1]!lngFileSize(F8)</f>
        <v>19159</v>
      </c>
      <c r="I8" s="180" t="b">
        <v>1</v>
      </c>
      <c r="J8" s="180" t="b">
        <v>1</v>
      </c>
      <c r="K8" s="181" t="b">
        <v>0</v>
      </c>
      <c r="L8" s="181" t="b">
        <v>1</v>
      </c>
      <c r="M8" s="181" t="b">
        <v>1</v>
      </c>
      <c r="N8" s="181" t="b">
        <v>1</v>
      </c>
      <c r="O8" s="181" t="b">
        <v>0</v>
      </c>
      <c r="P8" s="181" t="b">
        <v>0</v>
      </c>
      <c r="Q8" s="181" t="b">
        <v>0</v>
      </c>
    </row>
    <row r="9" spans="1:17" x14ac:dyDescent="0.25">
      <c r="A9" s="160" t="s">
        <v>978</v>
      </c>
      <c r="B9" s="162" t="s">
        <v>977</v>
      </c>
      <c r="C9" s="170" t="str">
        <f>CONCATENATE(C$6,$B9)</f>
        <v>C:\Users\DAVE\Documents\Visual Studio 2013\Projects\WizardWrx_Libs\SharedUtl4\SharedUtl4_TestStand\MaxStringLength_Tester.cs</v>
      </c>
      <c r="D9" s="173">
        <f>[1]!dtmFileDateInfo(C9)</f>
        <v>42527.0153587963</v>
      </c>
      <c r="E9" s="174">
        <f>[1]!lngFileSize(C9)</f>
        <v>11333</v>
      </c>
      <c r="F9" s="175" t="str">
        <f>CONCATENATE(F$6,$B9)</f>
        <v>C:\Users\DAVE\Documents\Visual Studio 2013\Projects\WizardWrx_Libs\Wizardwrx\DLLServices2TestStand\MaxStringLength_Tester.cs</v>
      </c>
      <c r="G9" s="178">
        <f>[1]!dtmFileDateInfo(F9)</f>
        <v>42976.773969907408</v>
      </c>
      <c r="H9" s="179">
        <f>[1]!lngFileSize(F9)</f>
        <v>11408</v>
      </c>
      <c r="I9" s="182" t="b">
        <v>1</v>
      </c>
      <c r="J9" s="182" t="b">
        <v>1</v>
      </c>
      <c r="K9" s="183" t="b">
        <v>1</v>
      </c>
      <c r="L9" s="183" t="b">
        <v>1</v>
      </c>
      <c r="M9" s="183" t="b">
        <v>1</v>
      </c>
      <c r="N9" s="183" t="b">
        <v>1</v>
      </c>
      <c r="O9" s="183" t="b">
        <v>0</v>
      </c>
      <c r="P9" s="183" t="b">
        <v>0</v>
      </c>
      <c r="Q9" s="183" t="b">
        <v>0</v>
      </c>
    </row>
    <row r="10" spans="1:17" x14ac:dyDescent="0.25">
      <c r="A10" s="160" t="s">
        <v>976</v>
      </c>
      <c r="B10" s="162" t="s">
        <v>975</v>
      </c>
      <c r="C10" s="170" t="str">
        <f>CONCATENATE(C$6,$B10)</f>
        <v>C:\Users\DAVE\Documents\Visual Studio 2013\Projects\WizardWrx_Libs\SharedUtl4\SharedUtl4_TestStand\MergeNewItemsIntoArray_Tester.cs</v>
      </c>
      <c r="D10" s="173">
        <f>[1]!dtmFileDateInfo(C10)</f>
        <v>42527.583518518521</v>
      </c>
      <c r="E10" s="174">
        <f>[1]!lngFileSize(C10)</f>
        <v>17759</v>
      </c>
      <c r="F10" s="175" t="str">
        <f>CONCATENATE(F$6,$B10)</f>
        <v>C:\Users\DAVE\Documents\Visual Studio 2013\Projects\WizardWrx_Libs\Wizardwrx\DLLServices2TestStand\MergeNewItemsIntoArray_Tester.cs</v>
      </c>
      <c r="G10" s="178">
        <f>[1]!dtmFileDateInfo(F10)</f>
        <v>42973.933935185189</v>
      </c>
      <c r="H10" s="179">
        <f>[1]!lngFileSize(F10)</f>
        <v>18269</v>
      </c>
      <c r="I10" s="182" t="b">
        <v>1</v>
      </c>
      <c r="J10" s="182" t="b">
        <v>1</v>
      </c>
      <c r="K10" s="183" t="b">
        <v>0</v>
      </c>
      <c r="L10" s="183" t="b">
        <v>0</v>
      </c>
      <c r="M10" s="183" t="b">
        <v>0</v>
      </c>
      <c r="N10" s="183" t="b">
        <v>1</v>
      </c>
      <c r="O10" s="183" t="b">
        <v>0</v>
      </c>
      <c r="P10" s="183" t="b">
        <v>0</v>
      </c>
      <c r="Q10" s="183" t="b">
        <v>0</v>
      </c>
    </row>
    <row r="11" spans="1:17" x14ac:dyDescent="0.25">
      <c r="A11" s="163" t="s">
        <v>974</v>
      </c>
      <c r="B11" s="162" t="s">
        <v>973</v>
      </c>
      <c r="C11" s="170" t="str">
        <f>CONCATENATE(C$6,$B11)</f>
        <v>C:\Users\DAVE\Documents\Visual Studio 2013\Projects\WizardWrx_Libs\SharedUtl4\SharedUtl4_TestStand\TestItemSortByString.cs</v>
      </c>
      <c r="D11" s="173">
        <f>[1]!dtmFileDateInfo(C11)</f>
        <v>42526.857881944445</v>
      </c>
      <c r="E11" s="174">
        <f>[1]!lngFileSize(C11)</f>
        <v>6922</v>
      </c>
      <c r="F11" s="175" t="str">
        <f>CONCATENATE(F$6,$B11)</f>
        <v>C:\Users\DAVE\Documents\Visual Studio 2013\Projects\WizardWrx_Libs\Wizardwrx\DLLServices2TestStand\TestItemSortByString.cs</v>
      </c>
      <c r="G11" s="178">
        <f>[1]!dtmFileDateInfo(F11)</f>
        <v>42974.121967592589</v>
      </c>
      <c r="H11" s="179">
        <f>[1]!lngFileSize(F11)</f>
        <v>7095</v>
      </c>
      <c r="I11" s="182" t="b">
        <v>1</v>
      </c>
      <c r="J11" s="182" t="b">
        <v>1</v>
      </c>
      <c r="K11" s="183" t="b">
        <v>1</v>
      </c>
      <c r="L11" s="183" t="b">
        <v>1</v>
      </c>
      <c r="M11" s="183" t="b">
        <v>0</v>
      </c>
      <c r="N11" s="183" t="b">
        <v>1</v>
      </c>
      <c r="O11" s="183" t="b">
        <v>0</v>
      </c>
      <c r="P11" s="183" t="b">
        <v>1</v>
      </c>
      <c r="Q11" s="183" t="b">
        <v>0</v>
      </c>
    </row>
    <row r="12" spans="1:17" x14ac:dyDescent="0.25">
      <c r="A12" s="163" t="s">
        <v>972</v>
      </c>
      <c r="B12" s="162" t="s">
        <v>496</v>
      </c>
      <c r="C12" s="170" t="str">
        <f>CONCATENATE(C$6,$B12)</f>
        <v>C:\Users\DAVE\Documents\Visual Studio 2013\Projects\WizardWrx_Libs\SharedUtl4\SharedUtl4_TestStand\Program.cs</v>
      </c>
      <c r="D12" s="173">
        <f>[1]!dtmFileDateInfo(C12)</f>
        <v>42533.542731481481</v>
      </c>
      <c r="E12" s="174">
        <f>[1]!lngFileSize(C12)</f>
        <v>41873</v>
      </c>
      <c r="F12" s="175" t="str">
        <f>CONCATENATE(F$6,$B12)</f>
        <v>C:\Users\DAVE\Documents\Visual Studio 2013\Projects\WizardWrx_Libs\Wizardwrx\DLLServices2TestStand\Program.cs</v>
      </c>
      <c r="G12" s="178">
        <f>[1]!dtmFileDateInfo(F12)</f>
        <v>42988.721446759257</v>
      </c>
      <c r="H12" s="179">
        <f>[1]!lngFileSize(F12)</f>
        <v>63469</v>
      </c>
      <c r="I12" s="182" t="b">
        <v>1</v>
      </c>
      <c r="J12" s="182" t="b">
        <v>1</v>
      </c>
      <c r="K12" s="183" t="b">
        <v>1</v>
      </c>
      <c r="L12" s="183" t="b">
        <v>1</v>
      </c>
      <c r="M12" s="183" t="b">
        <v>0</v>
      </c>
      <c r="N12" s="183" t="b">
        <v>1</v>
      </c>
      <c r="O12" s="183" t="b">
        <v>1</v>
      </c>
      <c r="P12" s="183" t="b">
        <v>1</v>
      </c>
      <c r="Q12" s="183" t="b">
        <v>0</v>
      </c>
    </row>
  </sheetData>
  <sheetProtection password="D209" sheet="1" objects="1" scenarios="1"/>
  <mergeCells count="9">
    <mergeCell ref="I5:Q5"/>
    <mergeCell ref="A5:B5"/>
    <mergeCell ref="A6:B6"/>
    <mergeCell ref="A1:B1"/>
    <mergeCell ref="A2:B2"/>
    <mergeCell ref="A3:B3"/>
    <mergeCell ref="C1:H1"/>
    <mergeCell ref="C2:H2"/>
    <mergeCell ref="C3:H3"/>
  </mergeCells>
  <pageMargins left="0.7" right="0.7" top="0.75" bottom="0.75" header="0.3" footer="0.3"/>
  <pageSetup orientation="portrait" horizontalDpi="0"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5" outlineLevelRow="2" x14ac:dyDescent="0.25"/>
  <cols>
    <col min="1" max="1" width="88.25" bestFit="1" customWidth="1"/>
    <col min="2" max="2" width="31.625" bestFit="1" customWidth="1"/>
    <col min="3" max="3" width="20.25" hidden="1" customWidth="1"/>
    <col min="4" max="4" width="10.625" bestFit="1" customWidth="1"/>
    <col min="5" max="5" width="40.75" bestFit="1" customWidth="1"/>
    <col min="6" max="6" width="11.875" bestFit="1" customWidth="1"/>
    <col min="7" max="7" width="7.875" bestFit="1" customWidth="1"/>
    <col min="8" max="8" width="20.125" bestFit="1" customWidth="1"/>
  </cols>
  <sheetData>
    <row r="1" spans="1:8" ht="18" x14ac:dyDescent="0.25">
      <c r="A1" s="192" t="s">
        <v>429</v>
      </c>
      <c r="B1" s="192" t="s">
        <v>431</v>
      </c>
      <c r="C1" s="192" t="s">
        <v>432</v>
      </c>
      <c r="D1" s="192" t="s">
        <v>1092</v>
      </c>
      <c r="E1" s="192" t="s">
        <v>1034</v>
      </c>
      <c r="F1" s="192" t="s">
        <v>1035</v>
      </c>
      <c r="G1" s="193" t="s">
        <v>13</v>
      </c>
      <c r="H1" s="192" t="s">
        <v>417</v>
      </c>
    </row>
    <row r="2" spans="1:8" outlineLevel="2" x14ac:dyDescent="0.25">
      <c r="A2" s="189" t="s">
        <v>1027</v>
      </c>
      <c r="B2" s="189" t="str">
        <f>[1]!GetFolder(A2)</f>
        <v>C:\Program Files (x86)\Microsoft SDKs\Windows\v10.0A\bin\NETFX 4.7 Tools\x64</v>
      </c>
      <c r="C2" s="189" t="str">
        <f>[1]!GetFile(A2)</f>
        <v>xsd.exe</v>
      </c>
      <c r="D2" s="189" t="b">
        <f t="shared" ref="D2:D12" si="0">IF(ISBLANK(B2),"",NOT(ISNA(VLOOKUP(B2,Directories_on_Path_Details,1,FALSE))))</f>
        <v>0</v>
      </c>
      <c r="E2" s="189" t="str">
        <f>[1]!GetVersionInfo_WW(A2,3)</f>
        <v>4.7.2053.0 built by: NET47REL1</v>
      </c>
      <c r="F2" s="189" t="b">
        <f>[1]!GetLeafDirectoryName(B2)="x64"</f>
        <v>1</v>
      </c>
      <c r="G2" s="190">
        <v>99960</v>
      </c>
      <c r="H2" s="191">
        <v>42846.618703703702</v>
      </c>
    </row>
    <row r="3" spans="1:8" outlineLevel="2" x14ac:dyDescent="0.25">
      <c r="A3" s="186" t="s">
        <v>1033</v>
      </c>
      <c r="B3" s="186" t="str">
        <f>[1]!GetFolder(A3)</f>
        <v>C:\Program Files (x86)\Microsoft SDKs\Windows\v8.1A\bin\NETFX 4.5.1 Tools\x64</v>
      </c>
      <c r="C3" s="186" t="str">
        <f>[1]!GetFile(A3)</f>
        <v>xsd.exe</v>
      </c>
      <c r="D3" s="186" t="b">
        <f t="shared" si="0"/>
        <v>0</v>
      </c>
      <c r="E3" s="186" t="str">
        <f>[1]!GetVersionInfo_WW(A3,3)</f>
        <v>4.0.30319.33440 built by: FX45W81RTMREL</v>
      </c>
      <c r="F3" s="186" t="b">
        <f>[1]!GetLeafDirectoryName(B3)="x64"</f>
        <v>1</v>
      </c>
      <c r="G3" s="187">
        <v>99896</v>
      </c>
      <c r="H3" s="188">
        <v>41491.842083333337</v>
      </c>
    </row>
    <row r="4" spans="1:8" outlineLevel="2" x14ac:dyDescent="0.25">
      <c r="A4" s="186" t="s">
        <v>1031</v>
      </c>
      <c r="B4" s="186" t="str">
        <f>[1]!GetFolder(A4)</f>
        <v>C:\Program Files (x86)\Microsoft SDKs\Windows\v8.0A\bin\NETFX 4.0 Tools\x64</v>
      </c>
      <c r="C4" s="186" t="str">
        <f>[1]!GetFile(A4)</f>
        <v>xsd.exe</v>
      </c>
      <c r="D4" s="186" t="b">
        <f t="shared" si="0"/>
        <v>0</v>
      </c>
      <c r="E4" s="186" t="str">
        <f>[1]!GetVersionInfo_WW(A4,3)</f>
        <v>4.0.30319.18020 built by: FX45RTMGDR</v>
      </c>
      <c r="F4" s="186" t="b">
        <f>[1]!GetLeafDirectoryName(B4)="x64"</f>
        <v>1</v>
      </c>
      <c r="G4" s="187">
        <v>90592</v>
      </c>
      <c r="H4" s="188">
        <v>41178.087129629632</v>
      </c>
    </row>
    <row r="5" spans="1:8" outlineLevel="2" x14ac:dyDescent="0.25">
      <c r="A5" s="186" t="s">
        <v>1029</v>
      </c>
      <c r="B5" s="186" t="str">
        <f>[1]!GetFolder(A5)</f>
        <v>C:\Program Files (x86)\Microsoft SDKs\Windows\v7.0A\Bin\x64</v>
      </c>
      <c r="C5" s="186" t="str">
        <f>[1]!GetFile(A5)</f>
        <v>xsd.exe</v>
      </c>
      <c r="D5" s="186" t="b">
        <f t="shared" si="0"/>
        <v>0</v>
      </c>
      <c r="E5" s="186" t="str">
        <f>[1]!GetVersionInfo_WW(A5,3)</f>
        <v>2.0.50727.3038 (netfxsp.050727-3000)</v>
      </c>
      <c r="F5" s="186" t="b">
        <f>[1]!GetLeafDirectoryName(B5)="x64"</f>
        <v>1</v>
      </c>
      <c r="G5" s="187">
        <v>83784</v>
      </c>
      <c r="H5" s="188">
        <v>40889.579814814817</v>
      </c>
    </row>
    <row r="6" spans="1:8" outlineLevel="1" x14ac:dyDescent="0.25">
      <c r="A6" s="186"/>
      <c r="B6" s="186"/>
      <c r="C6" s="186"/>
      <c r="D6" s="186" t="str">
        <f t="shared" si="0"/>
        <v/>
      </c>
      <c r="E6" s="186"/>
      <c r="F6" s="186" t="s">
        <v>908</v>
      </c>
      <c r="G6" s="187">
        <f>SUBTOTAL(3,G2:G5)</f>
        <v>4</v>
      </c>
      <c r="H6" s="188"/>
    </row>
    <row r="7" spans="1:8" outlineLevel="2" x14ac:dyDescent="0.25">
      <c r="A7" s="186" t="s">
        <v>1026</v>
      </c>
      <c r="B7" s="186" t="str">
        <f>[1]!GetFolder(A7)</f>
        <v>C:\Program Files (x86)\Microsoft SDKs\Windows\v10.0A\bin\NETFX 4.7 Tools</v>
      </c>
      <c r="C7" s="186" t="str">
        <f>[1]!GetFile(A7)</f>
        <v>xsd.exe</v>
      </c>
      <c r="D7" s="186" t="b">
        <f t="shared" si="0"/>
        <v>0</v>
      </c>
      <c r="E7" s="186" t="str">
        <f>[1]!GetVersionInfo_WW(A7,3)</f>
        <v>4.7.2053.0 built by: NET47REL1</v>
      </c>
      <c r="F7" s="186" t="b">
        <f>[1]!GetLeafDirectoryName(B7)="x64"</f>
        <v>0</v>
      </c>
      <c r="G7" s="187">
        <v>100472</v>
      </c>
      <c r="H7" s="188">
        <v>42846.620555555557</v>
      </c>
    </row>
    <row r="8" spans="1:8" outlineLevel="2" x14ac:dyDescent="0.25">
      <c r="A8" s="186" t="s">
        <v>1032</v>
      </c>
      <c r="B8" s="186" t="str">
        <f>[1]!GetFolder(A8)</f>
        <v>C:\Program Files (x86)\Microsoft SDKs\Windows\v8.1A\bin\NETFX 4.5.1 Tools</v>
      </c>
      <c r="C8" s="186" t="str">
        <f>[1]!GetFile(A8)</f>
        <v>xsd.exe</v>
      </c>
      <c r="D8" s="186" t="b">
        <f t="shared" si="0"/>
        <v>0</v>
      </c>
      <c r="E8" s="186" t="str">
        <f>[1]!GetVersionInfo_WW(A8,3)</f>
        <v>4.0.30319.33440 built by: FX45W81RTMREL</v>
      </c>
      <c r="F8" s="186" t="b">
        <f>[1]!GetLeafDirectoryName(B8)="x64"</f>
        <v>0</v>
      </c>
      <c r="G8" s="187">
        <v>100408</v>
      </c>
      <c r="H8" s="188">
        <v>41492.816666666666</v>
      </c>
    </row>
    <row r="9" spans="1:8" outlineLevel="2" x14ac:dyDescent="0.25">
      <c r="A9" s="186" t="s">
        <v>1030</v>
      </c>
      <c r="B9" s="186" t="str">
        <f>[1]!GetFolder(A9)</f>
        <v>C:\Program Files (x86)\Microsoft SDKs\Windows\v8.0A\bin\NETFX 4.0 Tools</v>
      </c>
      <c r="C9" s="186" t="str">
        <f>[1]!GetFile(A9)</f>
        <v>xsd.exe</v>
      </c>
      <c r="D9" s="186" t="b">
        <f t="shared" si="0"/>
        <v>0</v>
      </c>
      <c r="E9" s="186" t="str">
        <f>[1]!GetVersionInfo_WW(A9,3)</f>
        <v>4.0.30319.18020 built by: FX45RTMGDR</v>
      </c>
      <c r="F9" s="186" t="b">
        <f>[1]!GetLeafDirectoryName(B9)="x64"</f>
        <v>0</v>
      </c>
      <c r="G9" s="187">
        <v>91080</v>
      </c>
      <c r="H9" s="188">
        <v>41178.144999999997</v>
      </c>
    </row>
    <row r="10" spans="1:8" outlineLevel="2" x14ac:dyDescent="0.25">
      <c r="A10" s="186" t="s">
        <v>1028</v>
      </c>
      <c r="B10" s="186" t="str">
        <f>[1]!GetFolder(A10)</f>
        <v>C:\Program Files (x86)\Microsoft SDKs\Windows\v7.0A\Bin</v>
      </c>
      <c r="C10" s="186" t="str">
        <f>[1]!GetFile(A10)</f>
        <v>xsd.exe</v>
      </c>
      <c r="D10" s="186" t="b">
        <f t="shared" si="0"/>
        <v>0</v>
      </c>
      <c r="E10" s="186" t="str">
        <f>[1]!GetVersionInfo_WW(A10,3)</f>
        <v>2.0.50727.3038 (netfxsp.050727-3000)</v>
      </c>
      <c r="F10" s="186" t="b">
        <f>[1]!GetLeafDirectoryName(B10)="x64"</f>
        <v>0</v>
      </c>
      <c r="G10" s="187">
        <v>83784</v>
      </c>
      <c r="H10" s="188">
        <v>40889.58016203704</v>
      </c>
    </row>
    <row r="11" spans="1:8" outlineLevel="1" x14ac:dyDescent="0.25">
      <c r="A11" s="186"/>
      <c r="B11" s="186"/>
      <c r="C11" s="186"/>
      <c r="D11" s="186" t="str">
        <f t="shared" si="0"/>
        <v/>
      </c>
      <c r="E11" s="186"/>
      <c r="F11" s="186" t="s">
        <v>909</v>
      </c>
      <c r="G11" s="187">
        <f>SUBTOTAL(3,G7:G10)</f>
        <v>4</v>
      </c>
      <c r="H11" s="188"/>
    </row>
    <row r="12" spans="1:8" x14ac:dyDescent="0.25">
      <c r="A12" s="186"/>
      <c r="B12" s="186"/>
      <c r="C12" s="186"/>
      <c r="D12" s="186" t="str">
        <f t="shared" si="0"/>
        <v/>
      </c>
      <c r="E12" s="186"/>
      <c r="F12" s="186" t="s">
        <v>142</v>
      </c>
      <c r="G12" s="187">
        <f>SUBTOTAL(3,G2:G10)</f>
        <v>8</v>
      </c>
      <c r="H12" s="188"/>
    </row>
  </sheetData>
  <sortState ref="A2:H9">
    <sortCondition descending="1" ref="F2:F9"/>
    <sortCondition descending="1" ref="H2:H9"/>
  </sortState>
  <conditionalFormatting sqref="A3:H3">
    <cfRule type="expression" dxfId="7" priority="2">
      <formula>FIND("Count",$F3)</formula>
    </cfRule>
  </conditionalFormatting>
  <conditionalFormatting sqref="A4:H12">
    <cfRule type="expression" dxfId="6" priority="1">
      <formula>FIND("Count",$F4)</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4.9989318521683403E-2"/>
  </sheetPr>
  <dimension ref="A1:E13"/>
  <sheetViews>
    <sheetView workbookViewId="0">
      <selection activeCell="A11" sqref="A11"/>
    </sheetView>
  </sheetViews>
  <sheetFormatPr defaultRowHeight="15" x14ac:dyDescent="0.25"/>
  <cols>
    <col min="1" max="1" width="23.25" bestFit="1" customWidth="1"/>
    <col min="2" max="2" width="7.75" bestFit="1" customWidth="1"/>
    <col min="3" max="3" width="58.125" bestFit="1" customWidth="1"/>
    <col min="5" max="5" width="15" bestFit="1" customWidth="1"/>
  </cols>
  <sheetData>
    <row r="1" spans="1:5" ht="18" x14ac:dyDescent="0.25">
      <c r="A1" s="185" t="s">
        <v>1021</v>
      </c>
      <c r="B1" s="185" t="s">
        <v>178</v>
      </c>
      <c r="C1" s="201" t="s">
        <v>11</v>
      </c>
      <c r="D1" s="201" t="s">
        <v>1361</v>
      </c>
      <c r="E1" s="184" t="s">
        <v>1020</v>
      </c>
    </row>
    <row r="2" spans="1:5" x14ac:dyDescent="0.25">
      <c r="A2" s="223" t="s">
        <v>1009</v>
      </c>
      <c r="B2" s="223" t="s">
        <v>1010</v>
      </c>
      <c r="C2" s="224" t="s">
        <v>1359</v>
      </c>
    </row>
    <row r="3" spans="1:5" x14ac:dyDescent="0.25">
      <c r="A3" s="225" t="s">
        <v>1011</v>
      </c>
      <c r="B3" s="225" t="s">
        <v>1012</v>
      </c>
      <c r="C3" s="224" t="s">
        <v>1360</v>
      </c>
    </row>
    <row r="4" spans="1:5" x14ac:dyDescent="0.25">
      <c r="A4" s="225" t="s">
        <v>1013</v>
      </c>
      <c r="B4" s="225" t="s">
        <v>1014</v>
      </c>
      <c r="C4" s="224" t="s">
        <v>1360</v>
      </c>
    </row>
    <row r="5" spans="1:5" x14ac:dyDescent="0.25">
      <c r="A5" s="225" t="s">
        <v>1015</v>
      </c>
      <c r="B5" s="225" t="s">
        <v>1362</v>
      </c>
      <c r="C5" s="224" t="s">
        <v>1363</v>
      </c>
    </row>
    <row r="6" spans="1:5" x14ac:dyDescent="0.25">
      <c r="A6" s="225" t="s">
        <v>1016</v>
      </c>
      <c r="B6" s="225" t="s">
        <v>1017</v>
      </c>
      <c r="C6" s="224" t="s">
        <v>1364</v>
      </c>
    </row>
    <row r="7" spans="1:5" x14ac:dyDescent="0.25">
      <c r="A7" s="225" t="s">
        <v>1019</v>
      </c>
      <c r="B7" s="225" t="s">
        <v>1018</v>
      </c>
      <c r="C7" s="224" t="s">
        <v>1364</v>
      </c>
    </row>
    <row r="8" spans="1:5" x14ac:dyDescent="0.25">
      <c r="A8" s="225" t="s">
        <v>1022</v>
      </c>
      <c r="B8" s="225" t="s">
        <v>1023</v>
      </c>
      <c r="C8" s="224" t="s">
        <v>1366</v>
      </c>
    </row>
    <row r="9" spans="1:5" x14ac:dyDescent="0.25">
      <c r="A9" s="225" t="s">
        <v>1024</v>
      </c>
      <c r="B9" s="225" t="s">
        <v>1025</v>
      </c>
      <c r="C9" s="224" t="s">
        <v>1365</v>
      </c>
    </row>
    <row r="10" spans="1:5" x14ac:dyDescent="0.25">
      <c r="A10" s="225" t="s">
        <v>1472</v>
      </c>
      <c r="B10" s="225"/>
      <c r="C10" s="224" t="s">
        <v>1467</v>
      </c>
    </row>
    <row r="11" spans="1:5" x14ac:dyDescent="0.25">
      <c r="A11" s="225" t="s">
        <v>1468</v>
      </c>
      <c r="B11" s="225"/>
      <c r="C11" s="224" t="s">
        <v>1469</v>
      </c>
    </row>
    <row r="12" spans="1:5" x14ac:dyDescent="0.25">
      <c r="A12" s="225" t="s">
        <v>1470</v>
      </c>
      <c r="B12" s="225"/>
      <c r="C12" s="224" t="s">
        <v>1471</v>
      </c>
    </row>
    <row r="13" spans="1:5" x14ac:dyDescent="0.25">
      <c r="A13" s="184"/>
      <c r="B13" s="184"/>
      <c r="C13" s="200"/>
    </row>
  </sheetData>
  <pageMargins left="0.7" right="0.7" top="0.75" bottom="0.75" header="0.3" footer="0.3"/>
  <pageSetup orientation="portrait" horizontalDpi="0" verticalDpi="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P48"/>
  <sheetViews>
    <sheetView workbookViewId="0">
      <pane xSplit="1" ySplit="4" topLeftCell="I5" activePane="bottomRight" state="frozen"/>
      <selection pane="topRight" activeCell="B1" sqref="B1"/>
      <selection pane="bottomLeft" activeCell="A5" sqref="A5"/>
      <selection pane="bottomRight" activeCell="H4" sqref="H4:J4"/>
    </sheetView>
  </sheetViews>
  <sheetFormatPr defaultRowHeight="15" x14ac:dyDescent="0.25"/>
  <cols>
    <col min="1" max="1" width="106.75" bestFit="1" customWidth="1"/>
    <col min="2" max="2" width="8.375" bestFit="1" customWidth="1"/>
    <col min="3" max="3" width="15.5" bestFit="1" customWidth="1"/>
    <col min="4" max="4" width="7.875" bestFit="1" customWidth="1"/>
    <col min="5" max="5" width="4.625" bestFit="1" customWidth="1"/>
    <col min="6" max="6" width="10.875" bestFit="1" customWidth="1"/>
    <col min="7" max="7" width="9.875" bestFit="1" customWidth="1"/>
    <col min="8" max="8" width="79" bestFit="1" customWidth="1"/>
  </cols>
  <sheetData>
    <row r="1" spans="1:16" ht="18" x14ac:dyDescent="0.25">
      <c r="A1" s="194" t="s">
        <v>1072</v>
      </c>
      <c r="B1" s="301" t="s">
        <v>1071</v>
      </c>
      <c r="C1" s="302"/>
      <c r="D1" s="302"/>
      <c r="E1" s="302"/>
      <c r="F1" s="302"/>
      <c r="G1" s="302"/>
      <c r="H1" s="302"/>
      <c r="I1" s="302"/>
      <c r="J1" s="302"/>
      <c r="K1" s="302"/>
      <c r="L1" s="302"/>
      <c r="M1" s="302"/>
      <c r="N1" s="302"/>
      <c r="O1" s="302"/>
      <c r="P1" s="303"/>
    </row>
    <row r="2" spans="1:16" ht="18" x14ac:dyDescent="0.25">
      <c r="A2" s="194" t="s">
        <v>1075</v>
      </c>
      <c r="B2" s="301" t="s">
        <v>1074</v>
      </c>
      <c r="C2" s="302"/>
      <c r="D2" s="302"/>
      <c r="E2" s="302"/>
      <c r="F2" s="302"/>
      <c r="G2" s="302"/>
      <c r="H2" s="302"/>
      <c r="I2" s="302"/>
      <c r="J2" s="302"/>
      <c r="K2" s="302"/>
      <c r="L2" s="302"/>
      <c r="M2" s="302"/>
      <c r="N2" s="302"/>
      <c r="O2" s="302"/>
      <c r="P2" s="303"/>
    </row>
    <row r="4" spans="1:16" ht="18" x14ac:dyDescent="0.25">
      <c r="A4" s="194" t="s">
        <v>1073</v>
      </c>
      <c r="B4" s="194" t="s">
        <v>1079</v>
      </c>
      <c r="C4" s="194" t="s">
        <v>1076</v>
      </c>
      <c r="D4" s="194" t="s">
        <v>1080</v>
      </c>
      <c r="E4" s="194" t="s">
        <v>1077</v>
      </c>
      <c r="F4" s="194" t="s">
        <v>1081</v>
      </c>
      <c r="G4" s="194" t="s">
        <v>1082</v>
      </c>
      <c r="H4" s="194" t="s">
        <v>178</v>
      </c>
      <c r="I4" s="194" t="s">
        <v>715</v>
      </c>
      <c r="J4" s="194" t="s">
        <v>1091</v>
      </c>
    </row>
    <row r="5" spans="1:16" x14ac:dyDescent="0.25">
      <c r="A5" s="195" t="s">
        <v>1078</v>
      </c>
      <c r="B5" s="195"/>
      <c r="C5" s="195">
        <f>LEN(C$4)</f>
        <v>11</v>
      </c>
      <c r="D5" s="195"/>
      <c r="E5" s="195">
        <f>LEN(E$4)</f>
        <v>3</v>
      </c>
      <c r="F5" s="195"/>
      <c r="G5" s="195"/>
      <c r="H5" s="195"/>
      <c r="I5" s="195"/>
      <c r="J5" s="196"/>
    </row>
    <row r="6" spans="1:16" x14ac:dyDescent="0.25">
      <c r="A6" s="57" t="s">
        <v>1036</v>
      </c>
      <c r="B6" s="57">
        <f>LEN(A6)</f>
        <v>48</v>
      </c>
      <c r="C6" s="57">
        <f>FIND(C$4,$A6)</f>
        <v>11</v>
      </c>
      <c r="D6" s="57">
        <f>C6+C$5</f>
        <v>22</v>
      </c>
      <c r="E6" s="57">
        <f>FIND(E$4,$A6)</f>
        <v>25</v>
      </c>
      <c r="F6" s="57">
        <f>E6+E$5</f>
        <v>28</v>
      </c>
      <c r="G6" s="57">
        <f>INT(MID(A6,D6+1,E6-D6))</f>
        <v>1</v>
      </c>
      <c r="H6" s="57" t="str">
        <f>TRIM(RIGHT(A6,B6-(F6-1)))</f>
        <v>C:\bin\php_5.6.31_x64</v>
      </c>
      <c r="I6" s="57">
        <f>LEN(H6)</f>
        <v>21</v>
      </c>
      <c r="J6" s="57">
        <f>G6</f>
        <v>1</v>
      </c>
    </row>
    <row r="7" spans="1:16" x14ac:dyDescent="0.25">
      <c r="A7" s="57" t="s">
        <v>1037</v>
      </c>
      <c r="B7" s="57">
        <f t="shared" ref="B7:B40" si="0">LEN(A7)</f>
        <v>48</v>
      </c>
      <c r="C7" s="57">
        <f t="shared" ref="C7:E40" si="1">FIND(C$4,$A7)</f>
        <v>11</v>
      </c>
      <c r="D7" s="57">
        <f t="shared" ref="D7:F40" si="2">C7+C$5</f>
        <v>22</v>
      </c>
      <c r="E7" s="57">
        <f t="shared" si="1"/>
        <v>25</v>
      </c>
      <c r="F7" s="57">
        <f t="shared" si="2"/>
        <v>28</v>
      </c>
      <c r="G7" s="57">
        <f t="shared" ref="G7:G40" si="3">INT(MID(A7,D7+1,E7-D7))</f>
        <v>2</v>
      </c>
      <c r="H7" s="57" t="str">
        <f t="shared" ref="H7:H40" si="4">TRIM(RIGHT(A7,B7-(F7-1)))</f>
        <v>C:\bin\php_5.6.31_x64</v>
      </c>
      <c r="I7" s="57">
        <f t="shared" ref="I7:I40" si="5">LEN(H7)</f>
        <v>21</v>
      </c>
      <c r="J7" s="57">
        <f t="shared" ref="J7:J40" si="6">G7</f>
        <v>2</v>
      </c>
    </row>
    <row r="8" spans="1:16" x14ac:dyDescent="0.25">
      <c r="A8" s="57" t="s">
        <v>1038</v>
      </c>
      <c r="B8" s="57">
        <f t="shared" si="0"/>
        <v>65</v>
      </c>
      <c r="C8" s="57">
        <f t="shared" si="1"/>
        <v>11</v>
      </c>
      <c r="D8" s="57">
        <f t="shared" si="2"/>
        <v>22</v>
      </c>
      <c r="E8" s="57">
        <f t="shared" si="1"/>
        <v>25</v>
      </c>
      <c r="F8" s="57">
        <f t="shared" si="2"/>
        <v>28</v>
      </c>
      <c r="G8" s="57">
        <f t="shared" si="3"/>
        <v>3</v>
      </c>
      <c r="H8" s="57" t="str">
        <f t="shared" si="4"/>
        <v>C:\Program Files\Java\jdk1.8.0_144\bin</v>
      </c>
      <c r="I8" s="57">
        <f t="shared" si="5"/>
        <v>38</v>
      </c>
      <c r="J8" s="57">
        <f t="shared" si="6"/>
        <v>3</v>
      </c>
    </row>
    <row r="9" spans="1:16" x14ac:dyDescent="0.25">
      <c r="A9" s="57" t="s">
        <v>1039</v>
      </c>
      <c r="B9" s="57">
        <f t="shared" si="0"/>
        <v>54</v>
      </c>
      <c r="C9" s="57">
        <f t="shared" si="1"/>
        <v>11</v>
      </c>
      <c r="D9" s="57">
        <f t="shared" si="2"/>
        <v>22</v>
      </c>
      <c r="E9" s="57">
        <f t="shared" si="1"/>
        <v>25</v>
      </c>
      <c r="F9" s="57">
        <f t="shared" si="2"/>
        <v>28</v>
      </c>
      <c r="G9" s="57">
        <f t="shared" si="3"/>
        <v>4</v>
      </c>
      <c r="H9" s="57" t="str">
        <f t="shared" si="4"/>
        <v>C:\bin\apache_ant_1_7_1\bin</v>
      </c>
      <c r="I9" s="57">
        <f t="shared" si="5"/>
        <v>27</v>
      </c>
      <c r="J9" s="57">
        <f t="shared" si="6"/>
        <v>4</v>
      </c>
    </row>
    <row r="10" spans="1:16" x14ac:dyDescent="0.25">
      <c r="A10" s="57" t="s">
        <v>1040</v>
      </c>
      <c r="B10" s="57">
        <f t="shared" si="0"/>
        <v>45</v>
      </c>
      <c r="C10" s="57">
        <f t="shared" si="1"/>
        <v>11</v>
      </c>
      <c r="D10" s="57">
        <f t="shared" si="2"/>
        <v>22</v>
      </c>
      <c r="E10" s="57">
        <f t="shared" si="1"/>
        <v>25</v>
      </c>
      <c r="F10" s="57">
        <f t="shared" si="2"/>
        <v>28</v>
      </c>
      <c r="G10" s="57">
        <f t="shared" si="3"/>
        <v>5</v>
      </c>
      <c r="H10" s="57" t="str">
        <f t="shared" si="4"/>
        <v>C:\bin\python_2.7\</v>
      </c>
      <c r="I10" s="57">
        <f t="shared" si="5"/>
        <v>18</v>
      </c>
      <c r="J10" s="57">
        <f t="shared" si="6"/>
        <v>5</v>
      </c>
    </row>
    <row r="11" spans="1:16" x14ac:dyDescent="0.25">
      <c r="A11" s="57" t="s">
        <v>1041</v>
      </c>
      <c r="B11" s="57">
        <f t="shared" si="0"/>
        <v>53</v>
      </c>
      <c r="C11" s="57">
        <f t="shared" si="1"/>
        <v>11</v>
      </c>
      <c r="D11" s="57">
        <f t="shared" si="2"/>
        <v>22</v>
      </c>
      <c r="E11" s="57">
        <f t="shared" si="1"/>
        <v>25</v>
      </c>
      <c r="F11" s="57">
        <f t="shared" si="2"/>
        <v>28</v>
      </c>
      <c r="G11" s="57">
        <f t="shared" si="3"/>
        <v>6</v>
      </c>
      <c r="H11" s="57" t="str">
        <f t="shared" si="4"/>
        <v>C:\bin\python_2.7\Scripts\</v>
      </c>
      <c r="I11" s="57">
        <f t="shared" si="5"/>
        <v>26</v>
      </c>
      <c r="J11" s="57">
        <f t="shared" si="6"/>
        <v>6</v>
      </c>
    </row>
    <row r="12" spans="1:16" x14ac:dyDescent="0.25">
      <c r="A12" s="57" t="s">
        <v>1042</v>
      </c>
      <c r="B12" s="57">
        <f t="shared" si="0"/>
        <v>42</v>
      </c>
      <c r="C12" s="57">
        <f t="shared" si="1"/>
        <v>11</v>
      </c>
      <c r="D12" s="57">
        <f t="shared" si="2"/>
        <v>22</v>
      </c>
      <c r="E12" s="57">
        <f t="shared" si="1"/>
        <v>25</v>
      </c>
      <c r="F12" s="57">
        <f t="shared" si="2"/>
        <v>28</v>
      </c>
      <c r="G12" s="57">
        <f t="shared" si="3"/>
        <v>7</v>
      </c>
      <c r="H12" s="57" t="str">
        <f t="shared" si="4"/>
        <v>C:\bin\WWSYMBOL</v>
      </c>
      <c r="I12" s="57">
        <f t="shared" si="5"/>
        <v>15</v>
      </c>
      <c r="J12" s="57">
        <f t="shared" si="6"/>
        <v>7</v>
      </c>
    </row>
    <row r="13" spans="1:16" x14ac:dyDescent="0.25">
      <c r="A13" s="57" t="s">
        <v>1043</v>
      </c>
      <c r="B13" s="57">
        <f t="shared" si="0"/>
        <v>33</v>
      </c>
      <c r="C13" s="57">
        <f t="shared" si="1"/>
        <v>11</v>
      </c>
      <c r="D13" s="57">
        <f t="shared" si="2"/>
        <v>22</v>
      </c>
      <c r="E13" s="57">
        <f t="shared" si="1"/>
        <v>25</v>
      </c>
      <c r="F13" s="57">
        <f t="shared" si="2"/>
        <v>28</v>
      </c>
      <c r="G13" s="57">
        <f t="shared" si="3"/>
        <v>8</v>
      </c>
      <c r="H13" s="57" t="str">
        <f t="shared" si="4"/>
        <v>C:\bin</v>
      </c>
      <c r="I13" s="57">
        <f t="shared" si="5"/>
        <v>6</v>
      </c>
      <c r="J13" s="57">
        <f t="shared" si="6"/>
        <v>8</v>
      </c>
    </row>
    <row r="14" spans="1:16" x14ac:dyDescent="0.25">
      <c r="A14" s="57" t="s">
        <v>1044</v>
      </c>
      <c r="B14" s="57">
        <f t="shared" si="0"/>
        <v>37</v>
      </c>
      <c r="C14" s="57">
        <f t="shared" si="1"/>
        <v>11</v>
      </c>
      <c r="D14" s="57">
        <f t="shared" si="2"/>
        <v>22</v>
      </c>
      <c r="E14" s="57">
        <f t="shared" si="1"/>
        <v>25</v>
      </c>
      <c r="F14" s="57">
        <f t="shared" si="2"/>
        <v>28</v>
      </c>
      <c r="G14" s="57">
        <f t="shared" si="3"/>
        <v>9</v>
      </c>
      <c r="H14" s="57" t="str">
        <f t="shared" si="4"/>
        <v>C:\Windows</v>
      </c>
      <c r="I14" s="57">
        <f t="shared" si="5"/>
        <v>10</v>
      </c>
      <c r="J14" s="57">
        <f t="shared" si="6"/>
        <v>9</v>
      </c>
    </row>
    <row r="15" spans="1:16" x14ac:dyDescent="0.25">
      <c r="A15" s="57" t="s">
        <v>1045</v>
      </c>
      <c r="B15" s="57">
        <f t="shared" si="0"/>
        <v>46</v>
      </c>
      <c r="C15" s="57">
        <f t="shared" si="1"/>
        <v>11</v>
      </c>
      <c r="D15" s="57">
        <f t="shared" si="2"/>
        <v>22</v>
      </c>
      <c r="E15" s="57">
        <f t="shared" si="1"/>
        <v>25</v>
      </c>
      <c r="F15" s="57">
        <f t="shared" si="2"/>
        <v>28</v>
      </c>
      <c r="G15" s="57">
        <f t="shared" si="3"/>
        <v>10</v>
      </c>
      <c r="H15" s="57" t="str">
        <f t="shared" si="4"/>
        <v>C:\Windows\system32</v>
      </c>
      <c r="I15" s="57">
        <f t="shared" si="5"/>
        <v>19</v>
      </c>
      <c r="J15" s="57">
        <f t="shared" si="6"/>
        <v>10</v>
      </c>
    </row>
    <row r="16" spans="1:16" x14ac:dyDescent="0.25">
      <c r="A16" s="57" t="s">
        <v>1046</v>
      </c>
      <c r="B16" s="57">
        <f t="shared" si="0"/>
        <v>47</v>
      </c>
      <c r="C16" s="57">
        <f t="shared" si="1"/>
        <v>11</v>
      </c>
      <c r="D16" s="57">
        <f t="shared" si="2"/>
        <v>22</v>
      </c>
      <c r="E16" s="57">
        <f t="shared" si="1"/>
        <v>25</v>
      </c>
      <c r="F16" s="57">
        <f t="shared" si="2"/>
        <v>28</v>
      </c>
      <c r="G16" s="57">
        <f t="shared" si="3"/>
        <v>11</v>
      </c>
      <c r="H16" s="57" t="str">
        <f t="shared" si="4"/>
        <v>C:\bin\Perl\site\bin</v>
      </c>
      <c r="I16" s="57">
        <f t="shared" si="5"/>
        <v>20</v>
      </c>
      <c r="J16" s="57">
        <f t="shared" si="6"/>
        <v>11</v>
      </c>
    </row>
    <row r="17" spans="1:10" x14ac:dyDescent="0.25">
      <c r="A17" s="57" t="s">
        <v>1047</v>
      </c>
      <c r="B17" s="57">
        <f t="shared" si="0"/>
        <v>42</v>
      </c>
      <c r="C17" s="57">
        <f t="shared" si="1"/>
        <v>11</v>
      </c>
      <c r="D17" s="57">
        <f t="shared" si="2"/>
        <v>22</v>
      </c>
      <c r="E17" s="57">
        <f t="shared" si="1"/>
        <v>25</v>
      </c>
      <c r="F17" s="57">
        <f t="shared" si="2"/>
        <v>28</v>
      </c>
      <c r="G17" s="57">
        <f t="shared" si="3"/>
        <v>12</v>
      </c>
      <c r="H17" s="57" t="str">
        <f t="shared" si="4"/>
        <v>C:\bin\Perl\bin</v>
      </c>
      <c r="I17" s="57">
        <f t="shared" si="5"/>
        <v>15</v>
      </c>
      <c r="J17" s="57">
        <f t="shared" si="6"/>
        <v>12</v>
      </c>
    </row>
    <row r="18" spans="1:10" x14ac:dyDescent="0.25">
      <c r="A18" s="57" t="s">
        <v>1048</v>
      </c>
      <c r="B18" s="57">
        <f t="shared" si="0"/>
        <v>51</v>
      </c>
      <c r="C18" s="57">
        <f t="shared" si="1"/>
        <v>11</v>
      </c>
      <c r="D18" s="57">
        <f t="shared" si="2"/>
        <v>22</v>
      </c>
      <c r="E18" s="57">
        <f t="shared" si="1"/>
        <v>25</v>
      </c>
      <c r="F18" s="57">
        <f t="shared" si="2"/>
        <v>28</v>
      </c>
      <c r="G18" s="57">
        <f t="shared" si="3"/>
        <v>13</v>
      </c>
      <c r="H18" s="57" t="str">
        <f t="shared" si="4"/>
        <v>C:\Windows\System32\Wbem</v>
      </c>
      <c r="I18" s="57">
        <f t="shared" si="5"/>
        <v>24</v>
      </c>
      <c r="J18" s="57">
        <f t="shared" si="6"/>
        <v>13</v>
      </c>
    </row>
    <row r="19" spans="1:10" x14ac:dyDescent="0.25">
      <c r="A19" s="57" t="s">
        <v>1049</v>
      </c>
      <c r="B19" s="57">
        <f t="shared" si="0"/>
        <v>70</v>
      </c>
      <c r="C19" s="57">
        <f t="shared" si="1"/>
        <v>11</v>
      </c>
      <c r="D19" s="57">
        <f t="shared" si="2"/>
        <v>22</v>
      </c>
      <c r="E19" s="57">
        <f t="shared" si="1"/>
        <v>25</v>
      </c>
      <c r="F19" s="57">
        <f t="shared" si="2"/>
        <v>28</v>
      </c>
      <c r="G19" s="57">
        <f t="shared" si="3"/>
        <v>14</v>
      </c>
      <c r="H19" s="57" t="str">
        <f t="shared" si="4"/>
        <v>C:\Windows\System32\WindowsPowerShell\v1.0\</v>
      </c>
      <c r="I19" s="57">
        <f t="shared" si="5"/>
        <v>43</v>
      </c>
      <c r="J19" s="57">
        <f t="shared" si="6"/>
        <v>14</v>
      </c>
    </row>
    <row r="20" spans="1:10" x14ac:dyDescent="0.25">
      <c r="A20" s="57" t="s">
        <v>1050</v>
      </c>
      <c r="B20" s="57">
        <f t="shared" si="0"/>
        <v>77</v>
      </c>
      <c r="C20" s="57">
        <f t="shared" si="1"/>
        <v>11</v>
      </c>
      <c r="D20" s="57">
        <f t="shared" si="2"/>
        <v>22</v>
      </c>
      <c r="E20" s="57">
        <f t="shared" si="1"/>
        <v>25</v>
      </c>
      <c r="F20" s="57">
        <f t="shared" si="2"/>
        <v>28</v>
      </c>
      <c r="G20" s="57">
        <f t="shared" si="3"/>
        <v>15</v>
      </c>
      <c r="H20" s="57" t="str">
        <f t="shared" si="4"/>
        <v>C:\Program Files\Microsoft\Web Platform Installer\</v>
      </c>
      <c r="I20" s="57">
        <f t="shared" si="5"/>
        <v>50</v>
      </c>
      <c r="J20" s="57">
        <f t="shared" si="6"/>
        <v>15</v>
      </c>
    </row>
    <row r="21" spans="1:10" x14ac:dyDescent="0.25">
      <c r="A21" s="57" t="s">
        <v>1051</v>
      </c>
      <c r="B21" s="57">
        <f t="shared" si="0"/>
        <v>76</v>
      </c>
      <c r="C21" s="57">
        <f t="shared" si="1"/>
        <v>11</v>
      </c>
      <c r="D21" s="57">
        <f t="shared" si="2"/>
        <v>22</v>
      </c>
      <c r="E21" s="57">
        <f t="shared" si="1"/>
        <v>25</v>
      </c>
      <c r="F21" s="57">
        <f t="shared" si="2"/>
        <v>28</v>
      </c>
      <c r="G21" s="57">
        <f t="shared" si="3"/>
        <v>16</v>
      </c>
      <c r="H21" s="57" t="str">
        <f t="shared" si="4"/>
        <v>C:\Program Files\IDM Computer Solutions\UltraEdit</v>
      </c>
      <c r="I21" s="57">
        <f t="shared" si="5"/>
        <v>49</v>
      </c>
      <c r="J21" s="57">
        <f t="shared" si="6"/>
        <v>16</v>
      </c>
    </row>
    <row r="22" spans="1:10" x14ac:dyDescent="0.25">
      <c r="A22" s="57" t="s">
        <v>1052</v>
      </c>
      <c r="B22" s="57">
        <f t="shared" si="0"/>
        <v>62</v>
      </c>
      <c r="C22" s="57">
        <f t="shared" si="1"/>
        <v>11</v>
      </c>
      <c r="D22" s="57">
        <f t="shared" si="2"/>
        <v>22</v>
      </c>
      <c r="E22" s="57">
        <f t="shared" si="1"/>
        <v>25</v>
      </c>
      <c r="F22" s="57">
        <f t="shared" si="2"/>
        <v>28</v>
      </c>
      <c r="G22" s="57">
        <f t="shared" si="3"/>
        <v>17</v>
      </c>
      <c r="H22" s="57" t="str">
        <f t="shared" si="4"/>
        <v>C:\Program Files (x86)\Skype\Phone\</v>
      </c>
      <c r="I22" s="57">
        <f t="shared" si="5"/>
        <v>35</v>
      </c>
      <c r="J22" s="57">
        <f t="shared" si="6"/>
        <v>17</v>
      </c>
    </row>
    <row r="23" spans="1:10" x14ac:dyDescent="0.25">
      <c r="A23" s="57" t="s">
        <v>1053</v>
      </c>
      <c r="B23" s="57">
        <f t="shared" si="0"/>
        <v>79</v>
      </c>
      <c r="C23" s="57">
        <f t="shared" si="1"/>
        <v>11</v>
      </c>
      <c r="D23" s="57">
        <f t="shared" si="2"/>
        <v>22</v>
      </c>
      <c r="E23" s="57">
        <f t="shared" si="1"/>
        <v>25</v>
      </c>
      <c r="F23" s="57">
        <f t="shared" si="2"/>
        <v>28</v>
      </c>
      <c r="G23" s="57">
        <f t="shared" si="3"/>
        <v>18</v>
      </c>
      <c r="H23" s="57" t="str">
        <f t="shared" si="4"/>
        <v>C:\Program Files\IDM Computer Solutions\UltraCompare</v>
      </c>
      <c r="I23" s="57">
        <f t="shared" si="5"/>
        <v>52</v>
      </c>
      <c r="J23" s="57">
        <f t="shared" si="6"/>
        <v>18</v>
      </c>
    </row>
    <row r="24" spans="1:10" x14ac:dyDescent="0.25">
      <c r="A24" s="57" t="s">
        <v>1054</v>
      </c>
      <c r="B24" s="57">
        <f t="shared" si="0"/>
        <v>48</v>
      </c>
      <c r="C24" s="57">
        <f t="shared" si="1"/>
        <v>11</v>
      </c>
      <c r="D24" s="57">
        <f t="shared" si="2"/>
        <v>22</v>
      </c>
      <c r="E24" s="57">
        <f t="shared" si="1"/>
        <v>25</v>
      </c>
      <c r="F24" s="57">
        <f t="shared" si="2"/>
        <v>28</v>
      </c>
      <c r="G24" s="57">
        <f t="shared" si="3"/>
        <v>19</v>
      </c>
      <c r="H24" s="57" t="str">
        <f t="shared" si="4"/>
        <v>C:\Program Files\Prio</v>
      </c>
      <c r="I24" s="57">
        <f t="shared" si="5"/>
        <v>21</v>
      </c>
      <c r="J24" s="57">
        <f t="shared" si="6"/>
        <v>19</v>
      </c>
    </row>
    <row r="25" spans="1:10" x14ac:dyDescent="0.25">
      <c r="A25" s="57" t="s">
        <v>1055</v>
      </c>
      <c r="B25" s="57">
        <f t="shared" si="0"/>
        <v>70</v>
      </c>
      <c r="C25" s="57">
        <f t="shared" si="1"/>
        <v>11</v>
      </c>
      <c r="D25" s="57">
        <f t="shared" si="2"/>
        <v>22</v>
      </c>
      <c r="E25" s="57">
        <f t="shared" si="1"/>
        <v>25</v>
      </c>
      <c r="F25" s="57">
        <f t="shared" si="2"/>
        <v>28</v>
      </c>
      <c r="G25" s="57">
        <f t="shared" si="3"/>
        <v>20</v>
      </c>
      <c r="H25" s="57" t="str">
        <f t="shared" si="4"/>
        <v>C:\Windows\System32\WindowsPowerShell\v1.0\</v>
      </c>
      <c r="I25" s="57">
        <f t="shared" si="5"/>
        <v>43</v>
      </c>
      <c r="J25" s="57">
        <f t="shared" si="6"/>
        <v>20</v>
      </c>
    </row>
    <row r="26" spans="1:10" x14ac:dyDescent="0.25">
      <c r="A26" s="57" t="s">
        <v>1056</v>
      </c>
      <c r="B26" s="57">
        <f t="shared" si="0"/>
        <v>80</v>
      </c>
      <c r="C26" s="57">
        <f t="shared" si="1"/>
        <v>11</v>
      </c>
      <c r="D26" s="57">
        <f t="shared" si="2"/>
        <v>22</v>
      </c>
      <c r="E26" s="57">
        <f t="shared" si="1"/>
        <v>25</v>
      </c>
      <c r="F26" s="57">
        <f t="shared" si="2"/>
        <v>28</v>
      </c>
      <c r="G26" s="57">
        <f t="shared" si="3"/>
        <v>21</v>
      </c>
      <c r="H26" s="57" t="str">
        <f t="shared" si="4"/>
        <v>C:\Program Files\Microsoft SQL Server\120\Tools\Binn\</v>
      </c>
      <c r="I26" s="57">
        <f t="shared" si="5"/>
        <v>53</v>
      </c>
      <c r="J26" s="57">
        <f t="shared" si="6"/>
        <v>21</v>
      </c>
    </row>
    <row r="27" spans="1:10" x14ac:dyDescent="0.25">
      <c r="A27" s="57" t="s">
        <v>1057</v>
      </c>
      <c r="B27" s="57">
        <f t="shared" si="0"/>
        <v>96</v>
      </c>
      <c r="C27" s="57">
        <f t="shared" si="1"/>
        <v>11</v>
      </c>
      <c r="D27" s="57">
        <f t="shared" si="2"/>
        <v>22</v>
      </c>
      <c r="E27" s="57">
        <f t="shared" si="1"/>
        <v>25</v>
      </c>
      <c r="F27" s="57">
        <f t="shared" si="2"/>
        <v>28</v>
      </c>
      <c r="G27" s="57">
        <f t="shared" si="3"/>
        <v>22</v>
      </c>
      <c r="H27" s="57" t="str">
        <f t="shared" si="4"/>
        <v>C:\Program Files\Microsoft SQL Server\Client SDK\ODBC\110\Tools\Binn\</v>
      </c>
      <c r="I27" s="57">
        <f t="shared" si="5"/>
        <v>69</v>
      </c>
      <c r="J27" s="57">
        <f t="shared" si="6"/>
        <v>22</v>
      </c>
    </row>
    <row r="28" spans="1:10" x14ac:dyDescent="0.25">
      <c r="A28" s="57" t="s">
        <v>1058</v>
      </c>
      <c r="B28" s="57">
        <f t="shared" si="0"/>
        <v>86</v>
      </c>
      <c r="C28" s="57">
        <f t="shared" si="1"/>
        <v>11</v>
      </c>
      <c r="D28" s="57">
        <f t="shared" si="2"/>
        <v>22</v>
      </c>
      <c r="E28" s="57">
        <f t="shared" si="1"/>
        <v>25</v>
      </c>
      <c r="F28" s="57">
        <f t="shared" si="2"/>
        <v>28</v>
      </c>
      <c r="G28" s="57">
        <f t="shared" si="3"/>
        <v>23</v>
      </c>
      <c r="H28" s="57" t="str">
        <f t="shared" si="4"/>
        <v>C:\Program Files (x86)\Microsoft SQL Server\120\Tools\Binn\</v>
      </c>
      <c r="I28" s="57">
        <f t="shared" si="5"/>
        <v>59</v>
      </c>
      <c r="J28" s="57">
        <f t="shared" si="6"/>
        <v>23</v>
      </c>
    </row>
    <row r="29" spans="1:10" x14ac:dyDescent="0.25">
      <c r="A29" s="57" t="s">
        <v>1059</v>
      </c>
      <c r="B29" s="57">
        <f t="shared" si="0"/>
        <v>78</v>
      </c>
      <c r="C29" s="57">
        <f t="shared" si="1"/>
        <v>11</v>
      </c>
      <c r="D29" s="57">
        <f t="shared" si="2"/>
        <v>22</v>
      </c>
      <c r="E29" s="57">
        <f t="shared" si="1"/>
        <v>25</v>
      </c>
      <c r="F29" s="57">
        <f t="shared" si="2"/>
        <v>28</v>
      </c>
      <c r="G29" s="57">
        <f t="shared" si="3"/>
        <v>24</v>
      </c>
      <c r="H29" s="57" t="str">
        <f t="shared" si="4"/>
        <v>C:\Program Files\Microsoft SQL Server\120\DTS\Binn\</v>
      </c>
      <c r="I29" s="57">
        <f t="shared" si="5"/>
        <v>51</v>
      </c>
      <c r="J29" s="57">
        <f t="shared" si="6"/>
        <v>24</v>
      </c>
    </row>
    <row r="30" spans="1:10" x14ac:dyDescent="0.25">
      <c r="A30" s="57" t="s">
        <v>1060</v>
      </c>
      <c r="B30" s="57">
        <f t="shared" si="0"/>
        <v>103</v>
      </c>
      <c r="C30" s="57">
        <f t="shared" si="1"/>
        <v>11</v>
      </c>
      <c r="D30" s="57">
        <f t="shared" si="2"/>
        <v>22</v>
      </c>
      <c r="E30" s="57">
        <f t="shared" si="1"/>
        <v>25</v>
      </c>
      <c r="F30" s="57">
        <f t="shared" si="2"/>
        <v>28</v>
      </c>
      <c r="G30" s="57">
        <f t="shared" si="3"/>
        <v>25</v>
      </c>
      <c r="H30" s="57" t="str">
        <f t="shared" si="4"/>
        <v>C:\Program Files (x86)\Microsoft SQL Server\120\Tools\Binn\ManagementStudio\</v>
      </c>
      <c r="I30" s="57">
        <f t="shared" si="5"/>
        <v>76</v>
      </c>
      <c r="J30" s="57">
        <f t="shared" si="6"/>
        <v>25</v>
      </c>
    </row>
    <row r="31" spans="1:10" x14ac:dyDescent="0.25">
      <c r="A31" s="57" t="s">
        <v>1061</v>
      </c>
      <c r="B31" s="57">
        <f t="shared" si="0"/>
        <v>84</v>
      </c>
      <c r="C31" s="57">
        <f t="shared" si="1"/>
        <v>11</v>
      </c>
      <c r="D31" s="57">
        <f t="shared" si="2"/>
        <v>22</v>
      </c>
      <c r="E31" s="57">
        <f t="shared" si="1"/>
        <v>25</v>
      </c>
      <c r="F31" s="57">
        <f t="shared" si="2"/>
        <v>28</v>
      </c>
      <c r="G31" s="57">
        <f t="shared" si="3"/>
        <v>26</v>
      </c>
      <c r="H31" s="57" t="str">
        <f t="shared" si="4"/>
        <v>C:\Program Files (x86)\Microsoft SQL Server\120\DTS\Binn\</v>
      </c>
      <c r="I31" s="57">
        <f t="shared" si="5"/>
        <v>57</v>
      </c>
      <c r="J31" s="57">
        <f t="shared" si="6"/>
        <v>26</v>
      </c>
    </row>
    <row r="32" spans="1:10" x14ac:dyDescent="0.25">
      <c r="A32" s="57" t="s">
        <v>1062</v>
      </c>
      <c r="B32" s="57">
        <f t="shared" si="0"/>
        <v>51</v>
      </c>
      <c r="C32" s="57">
        <f t="shared" si="1"/>
        <v>11</v>
      </c>
      <c r="D32" s="57">
        <f t="shared" si="2"/>
        <v>22</v>
      </c>
      <c r="E32" s="57">
        <f t="shared" si="1"/>
        <v>25</v>
      </c>
      <c r="F32" s="57">
        <f t="shared" si="2"/>
        <v>28</v>
      </c>
      <c r="G32" s="57">
        <f t="shared" si="3"/>
        <v>27</v>
      </c>
      <c r="H32" s="57" t="str">
        <f t="shared" si="4"/>
        <v>C:\Program Files\nodejs\</v>
      </c>
      <c r="I32" s="57">
        <f t="shared" si="5"/>
        <v>24</v>
      </c>
      <c r="J32" s="57">
        <f t="shared" si="6"/>
        <v>27</v>
      </c>
    </row>
    <row r="33" spans="1:10" x14ac:dyDescent="0.25">
      <c r="A33" s="57" t="s">
        <v>1063</v>
      </c>
      <c r="B33" s="57">
        <f t="shared" si="0"/>
        <v>94</v>
      </c>
      <c r="C33" s="57">
        <f t="shared" si="1"/>
        <v>11</v>
      </c>
      <c r="D33" s="57">
        <f t="shared" si="2"/>
        <v>22</v>
      </c>
      <c r="E33" s="57">
        <f t="shared" si="1"/>
        <v>25</v>
      </c>
      <c r="F33" s="57">
        <f t="shared" si="2"/>
        <v>28</v>
      </c>
      <c r="G33" s="57">
        <f t="shared" si="3"/>
        <v>28</v>
      </c>
      <c r="H33" s="57" t="str">
        <f t="shared" si="4"/>
        <v>C:\Program Files (x86)\Windows Kits\10\Windows Performance Toolkit\</v>
      </c>
      <c r="I33" s="57">
        <f t="shared" si="5"/>
        <v>67</v>
      </c>
      <c r="J33" s="57">
        <f t="shared" si="6"/>
        <v>28</v>
      </c>
    </row>
    <row r="34" spans="1:10" x14ac:dyDescent="0.25">
      <c r="A34" s="57" t="s">
        <v>1064</v>
      </c>
      <c r="B34" s="57">
        <f t="shared" si="0"/>
        <v>70</v>
      </c>
      <c r="C34" s="57">
        <f t="shared" si="1"/>
        <v>11</v>
      </c>
      <c r="D34" s="57">
        <f t="shared" si="2"/>
        <v>22</v>
      </c>
      <c r="E34" s="57">
        <f t="shared" si="1"/>
        <v>25</v>
      </c>
      <c r="F34" s="57">
        <f t="shared" si="2"/>
        <v>28</v>
      </c>
      <c r="G34" s="57">
        <f t="shared" si="3"/>
        <v>29</v>
      </c>
      <c r="H34" s="57" t="str">
        <f t="shared" si="4"/>
        <v>C:\Windows\System32\WindowsPowerShell\v1.0\</v>
      </c>
      <c r="I34" s="57">
        <f t="shared" si="5"/>
        <v>43</v>
      </c>
      <c r="J34" s="57">
        <f t="shared" si="6"/>
        <v>29</v>
      </c>
    </row>
    <row r="35" spans="1:10" x14ac:dyDescent="0.25">
      <c r="A35" s="57" t="s">
        <v>1065</v>
      </c>
      <c r="B35" s="57">
        <f t="shared" si="0"/>
        <v>60</v>
      </c>
      <c r="C35" s="57">
        <f t="shared" si="1"/>
        <v>11</v>
      </c>
      <c r="D35" s="57">
        <f t="shared" si="2"/>
        <v>22</v>
      </c>
      <c r="E35" s="57">
        <f t="shared" si="1"/>
        <v>25</v>
      </c>
      <c r="F35" s="57">
        <f t="shared" si="2"/>
        <v>28</v>
      </c>
      <c r="G35" s="57">
        <f t="shared" si="3"/>
        <v>30</v>
      </c>
      <c r="H35" s="57" t="str">
        <f t="shared" si="4"/>
        <v>C:\Program Files\Windows Imaging\</v>
      </c>
      <c r="I35" s="57">
        <f t="shared" si="5"/>
        <v>33</v>
      </c>
      <c r="J35" s="57">
        <f t="shared" si="6"/>
        <v>30</v>
      </c>
    </row>
    <row r="36" spans="1:10" x14ac:dyDescent="0.25">
      <c r="A36" s="57" t="s">
        <v>1066</v>
      </c>
      <c r="B36" s="57">
        <f t="shared" si="0"/>
        <v>59</v>
      </c>
      <c r="C36" s="57">
        <f t="shared" si="1"/>
        <v>11</v>
      </c>
      <c r="D36" s="57">
        <f t="shared" si="2"/>
        <v>22</v>
      </c>
      <c r="E36" s="57">
        <f t="shared" si="1"/>
        <v>25</v>
      </c>
      <c r="F36" s="57">
        <f t="shared" si="2"/>
        <v>28</v>
      </c>
      <c r="G36" s="57">
        <f t="shared" si="3"/>
        <v>31</v>
      </c>
      <c r="H36" s="57" t="str">
        <f t="shared" si="4"/>
        <v>C:\Program Files\TortoiseSVN\bin</v>
      </c>
      <c r="I36" s="57">
        <f t="shared" si="5"/>
        <v>32</v>
      </c>
      <c r="J36" s="57">
        <f t="shared" si="6"/>
        <v>31</v>
      </c>
    </row>
    <row r="37" spans="1:10" x14ac:dyDescent="0.25">
      <c r="A37" s="57" t="s">
        <v>1067</v>
      </c>
      <c r="B37" s="57">
        <f t="shared" si="0"/>
        <v>70</v>
      </c>
      <c r="C37" s="57">
        <f t="shared" si="1"/>
        <v>11</v>
      </c>
      <c r="D37" s="57">
        <f t="shared" si="2"/>
        <v>22</v>
      </c>
      <c r="E37" s="57">
        <f t="shared" si="1"/>
        <v>25</v>
      </c>
      <c r="F37" s="57">
        <f t="shared" si="2"/>
        <v>28</v>
      </c>
      <c r="G37" s="57">
        <f t="shared" si="3"/>
        <v>32</v>
      </c>
      <c r="H37" s="57" t="str">
        <f t="shared" si="4"/>
        <v>C:\Program Files\MySQL\MySQL Utilities 1.6\</v>
      </c>
      <c r="I37" s="57">
        <f t="shared" si="5"/>
        <v>43</v>
      </c>
      <c r="J37" s="57">
        <f t="shared" si="6"/>
        <v>32</v>
      </c>
    </row>
    <row r="38" spans="1:10" x14ac:dyDescent="0.25">
      <c r="A38" s="57" t="s">
        <v>1068</v>
      </c>
      <c r="B38" s="57">
        <f t="shared" si="0"/>
        <v>60</v>
      </c>
      <c r="C38" s="57">
        <f t="shared" si="1"/>
        <v>11</v>
      </c>
      <c r="D38" s="57">
        <f t="shared" si="2"/>
        <v>22</v>
      </c>
      <c r="E38" s="57">
        <f t="shared" si="1"/>
        <v>25</v>
      </c>
      <c r="F38" s="57">
        <f t="shared" si="2"/>
        <v>28</v>
      </c>
      <c r="G38" s="57">
        <f t="shared" si="3"/>
        <v>33</v>
      </c>
      <c r="H38" s="57" t="str">
        <f t="shared" si="4"/>
        <v>C:\Users\DAVE\AppData\Roaming\npm</v>
      </c>
      <c r="I38" s="57">
        <f t="shared" si="5"/>
        <v>33</v>
      </c>
      <c r="J38" s="57">
        <f t="shared" si="6"/>
        <v>33</v>
      </c>
    </row>
    <row r="39" spans="1:10" x14ac:dyDescent="0.25">
      <c r="A39" s="57" t="s">
        <v>1069</v>
      </c>
      <c r="B39" s="57">
        <f t="shared" si="0"/>
        <v>71</v>
      </c>
      <c r="C39" s="57">
        <f t="shared" si="1"/>
        <v>11</v>
      </c>
      <c r="D39" s="57">
        <f t="shared" si="2"/>
        <v>22</v>
      </c>
      <c r="E39" s="57">
        <f t="shared" si="1"/>
        <v>25</v>
      </c>
      <c r="F39" s="57">
        <f t="shared" si="2"/>
        <v>28</v>
      </c>
      <c r="G39" s="57">
        <f t="shared" si="3"/>
        <v>34</v>
      </c>
      <c r="H39" s="57" t="str">
        <f t="shared" si="4"/>
        <v>C:\Program Files (x86)\Microsoft_VS_Code\bin</v>
      </c>
      <c r="I39" s="57">
        <f t="shared" si="5"/>
        <v>44</v>
      </c>
      <c r="J39" s="57">
        <f t="shared" si="6"/>
        <v>34</v>
      </c>
    </row>
    <row r="40" spans="1:10" x14ac:dyDescent="0.25">
      <c r="A40" s="57" t="s">
        <v>1070</v>
      </c>
      <c r="B40" s="57">
        <f t="shared" si="0"/>
        <v>51</v>
      </c>
      <c r="C40" s="57">
        <f t="shared" si="1"/>
        <v>11</v>
      </c>
      <c r="D40" s="57">
        <f t="shared" si="2"/>
        <v>22</v>
      </c>
      <c r="E40" s="57">
        <f t="shared" si="1"/>
        <v>25</v>
      </c>
      <c r="F40" s="57">
        <f t="shared" si="2"/>
        <v>28</v>
      </c>
      <c r="G40" s="57">
        <f t="shared" si="3"/>
        <v>35</v>
      </c>
      <c r="H40" s="57" t="str">
        <f t="shared" si="4"/>
        <v>C:\Program Files\Git\bin</v>
      </c>
      <c r="I40" s="57">
        <f t="shared" si="5"/>
        <v>24</v>
      </c>
      <c r="J40" s="57">
        <f t="shared" si="6"/>
        <v>35</v>
      </c>
    </row>
    <row r="42" spans="1:10" ht="18" x14ac:dyDescent="0.25">
      <c r="H42" s="194" t="s">
        <v>1089</v>
      </c>
      <c r="I42" s="56">
        <f>SUM(Path_String_Lengths)</f>
        <v>1261</v>
      </c>
    </row>
    <row r="43" spans="1:10" ht="18" x14ac:dyDescent="0.25">
      <c r="H43" s="194" t="s">
        <v>1090</v>
      </c>
      <c r="I43" s="56">
        <f>COUNT(Path_String_Lengths)</f>
        <v>35</v>
      </c>
    </row>
    <row r="44" spans="1:10" ht="18" x14ac:dyDescent="0.25">
      <c r="H44" s="194" t="s">
        <v>1083</v>
      </c>
      <c r="I44" s="56">
        <f>AVERAGE(Path_String_Lengths)</f>
        <v>36.028571428571432</v>
      </c>
    </row>
    <row r="45" spans="1:10" ht="18" x14ac:dyDescent="0.25">
      <c r="H45" s="194" t="s">
        <v>1084</v>
      </c>
      <c r="I45" s="56">
        <f>MIN(Path_String_Lengths)</f>
        <v>6</v>
      </c>
    </row>
    <row r="46" spans="1:10" ht="18" x14ac:dyDescent="0.25">
      <c r="H46" s="194" t="s">
        <v>1085</v>
      </c>
      <c r="I46" s="56">
        <f>MAX(Path_String_Lengths)</f>
        <v>76</v>
      </c>
    </row>
    <row r="47" spans="1:10" ht="18" x14ac:dyDescent="0.25">
      <c r="H47" s="194" t="s">
        <v>1087</v>
      </c>
      <c r="I47" s="56" t="s">
        <v>1088</v>
      </c>
    </row>
    <row r="48" spans="1:10" ht="18" x14ac:dyDescent="0.25">
      <c r="H48" s="194" t="s">
        <v>1086</v>
      </c>
      <c r="I48" s="56">
        <f>Total_Length_Exclusive_of_Delimiters+Substring_Count+LEN(Environment_Block_Label)</f>
        <v>1301</v>
      </c>
    </row>
  </sheetData>
  <mergeCells count="2">
    <mergeCell ref="B1:P1"/>
    <mergeCell ref="B2:P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sheetPr>
  <dimension ref="A1:L7"/>
  <sheetViews>
    <sheetView topLeftCell="E1" workbookViewId="0">
      <selection activeCell="E7" sqref="E7"/>
    </sheetView>
  </sheetViews>
  <sheetFormatPr defaultRowHeight="15" x14ac:dyDescent="0.25"/>
  <cols>
    <col min="1" max="1" width="16.875" hidden="1" customWidth="1"/>
    <col min="2" max="2" width="32.5" hidden="1" customWidth="1"/>
    <col min="3" max="3" width="21" hidden="1" customWidth="1"/>
    <col min="4" max="4" width="14.875" hidden="1" customWidth="1"/>
    <col min="5" max="5" width="31.5" bestFit="1" customWidth="1"/>
    <col min="6" max="6" width="14" hidden="1" customWidth="1"/>
    <col min="7" max="7" width="11.875" hidden="1" customWidth="1"/>
    <col min="8" max="8" width="50.625" customWidth="1"/>
    <col min="9" max="9" width="39.75" bestFit="1" customWidth="1"/>
    <col min="10" max="10" width="91.375" bestFit="1" customWidth="1"/>
    <col min="11" max="11" width="9.875" hidden="1" customWidth="1"/>
    <col min="12" max="12" width="81" bestFit="1" customWidth="1"/>
  </cols>
  <sheetData>
    <row r="1" spans="1:12" ht="18" x14ac:dyDescent="0.25">
      <c r="A1" t="s">
        <v>1115</v>
      </c>
      <c r="B1" t="s">
        <v>1114</v>
      </c>
      <c r="C1" t="s">
        <v>1113</v>
      </c>
      <c r="D1" t="s">
        <v>1112</v>
      </c>
      <c r="E1" s="151" t="s">
        <v>7</v>
      </c>
      <c r="F1" s="151" t="s">
        <v>6</v>
      </c>
      <c r="G1" s="151" t="s">
        <v>1111</v>
      </c>
      <c r="H1" s="151" t="s">
        <v>11</v>
      </c>
      <c r="I1" s="151" t="s">
        <v>1341</v>
      </c>
      <c r="J1" s="151" t="s">
        <v>1110</v>
      </c>
      <c r="K1" s="151" t="s">
        <v>1109</v>
      </c>
      <c r="L1" s="151" t="s">
        <v>1340</v>
      </c>
    </row>
    <row r="2" spans="1:12" ht="28.5" x14ac:dyDescent="0.25">
      <c r="A2" s="7" t="s">
        <v>1093</v>
      </c>
      <c r="B2" s="7" t="s">
        <v>1098</v>
      </c>
      <c r="C2" s="7" t="s">
        <v>1097</v>
      </c>
      <c r="D2" s="7"/>
      <c r="E2" s="197" t="s">
        <v>1108</v>
      </c>
      <c r="F2" s="197" t="s">
        <v>1095</v>
      </c>
      <c r="G2" s="197" t="s">
        <v>702</v>
      </c>
      <c r="H2" s="199" t="s">
        <v>1344</v>
      </c>
      <c r="I2" s="198" t="s">
        <v>1342</v>
      </c>
      <c r="J2" s="197" t="s">
        <v>1107</v>
      </c>
      <c r="K2" s="197" t="s">
        <v>1093</v>
      </c>
      <c r="L2" s="128" t="s">
        <v>1339</v>
      </c>
    </row>
    <row r="3" spans="1:12" ht="42.75" x14ac:dyDescent="0.25">
      <c r="A3" s="7" t="s">
        <v>1093</v>
      </c>
      <c r="B3" s="7" t="s">
        <v>1098</v>
      </c>
      <c r="C3" s="7" t="s">
        <v>1097</v>
      </c>
      <c r="D3" s="7"/>
      <c r="E3" s="197" t="s">
        <v>1106</v>
      </c>
      <c r="F3" s="197" t="s">
        <v>1095</v>
      </c>
      <c r="G3" s="197" t="s">
        <v>702</v>
      </c>
      <c r="H3" s="199" t="s">
        <v>1345</v>
      </c>
      <c r="I3" s="198" t="s">
        <v>1343</v>
      </c>
      <c r="J3" s="197" t="s">
        <v>1105</v>
      </c>
      <c r="K3" s="197" t="s">
        <v>1093</v>
      </c>
      <c r="L3" s="128" t="str">
        <f>CONCATENATE(DataDirectoryName_Token,"\",J3)</f>
        <v>$$DATADIRNAME$$\\MaxStringLength.TXT</v>
      </c>
    </row>
    <row r="4" spans="1:12" ht="57" x14ac:dyDescent="0.25">
      <c r="A4" s="7" t="s">
        <v>1093</v>
      </c>
      <c r="B4" s="7" t="s">
        <v>1098</v>
      </c>
      <c r="C4" s="7" t="s">
        <v>1097</v>
      </c>
      <c r="D4" s="7"/>
      <c r="E4" s="197" t="s">
        <v>1104</v>
      </c>
      <c r="F4" s="197" t="s">
        <v>1095</v>
      </c>
      <c r="G4" s="197" t="s">
        <v>702</v>
      </c>
      <c r="H4" s="199" t="s">
        <v>1346</v>
      </c>
      <c r="I4" s="198" t="s">
        <v>1343</v>
      </c>
      <c r="J4" s="197" t="s">
        <v>1103</v>
      </c>
      <c r="K4" s="197" t="s">
        <v>1093</v>
      </c>
      <c r="L4" s="128" t="str">
        <f t="shared" ref="L4:L7" si="0">CONCATENATE(DataDirectoryName_Token,"\",J4)</f>
        <v>$$DATADIRNAME$$\\MergeNewItemsIntoArray_Master.TXT</v>
      </c>
    </row>
    <row r="5" spans="1:12" ht="57" x14ac:dyDescent="0.25">
      <c r="A5" s="7" t="s">
        <v>1093</v>
      </c>
      <c r="B5" s="7" t="s">
        <v>1098</v>
      </c>
      <c r="C5" s="7" t="s">
        <v>1097</v>
      </c>
      <c r="D5" s="7"/>
      <c r="E5" s="197" t="s">
        <v>1102</v>
      </c>
      <c r="F5" s="197" t="s">
        <v>1095</v>
      </c>
      <c r="G5" s="197" t="s">
        <v>702</v>
      </c>
      <c r="H5" s="199" t="s">
        <v>1347</v>
      </c>
      <c r="I5" s="198" t="s">
        <v>1343</v>
      </c>
      <c r="J5" s="197" t="s">
        <v>1101</v>
      </c>
      <c r="K5" s="197" t="s">
        <v>1093</v>
      </c>
      <c r="L5" s="128" t="str">
        <f t="shared" si="0"/>
        <v>$$DATADIRNAME$$\\MergeNewItemsIntoArray_Case_??.TXT</v>
      </c>
    </row>
    <row r="6" spans="1:12" ht="57" x14ac:dyDescent="0.25">
      <c r="A6" s="7" t="s">
        <v>1093</v>
      </c>
      <c r="B6" s="7" t="s">
        <v>1098</v>
      </c>
      <c r="C6" s="7" t="s">
        <v>1097</v>
      </c>
      <c r="D6" s="7"/>
      <c r="E6" s="197" t="s">
        <v>1100</v>
      </c>
      <c r="F6" s="197" t="s">
        <v>1095</v>
      </c>
      <c r="G6" s="197" t="s">
        <v>702</v>
      </c>
      <c r="H6" s="199" t="s">
        <v>1347</v>
      </c>
      <c r="I6" s="198" t="s">
        <v>1343</v>
      </c>
      <c r="J6" s="197" t="s">
        <v>1099</v>
      </c>
      <c r="K6" s="197" t="s">
        <v>1093</v>
      </c>
      <c r="L6" s="128" t="str">
        <f t="shared" si="0"/>
        <v>$$DATADIRNAME$$\\$$DATADIRNAME$$\MergeNewItemsIntoArray_Output_$$CASENBR$$.TXT</v>
      </c>
    </row>
    <row r="7" spans="1:12" ht="57" x14ac:dyDescent="0.25">
      <c r="A7" s="7" t="s">
        <v>1093</v>
      </c>
      <c r="B7" s="7" t="s">
        <v>1098</v>
      </c>
      <c r="C7" s="7" t="s">
        <v>1097</v>
      </c>
      <c r="D7" s="7"/>
      <c r="E7" s="197" t="s">
        <v>1096</v>
      </c>
      <c r="F7" s="197" t="s">
        <v>1095</v>
      </c>
      <c r="G7" s="197" t="s">
        <v>702</v>
      </c>
      <c r="H7" s="199" t="s">
        <v>1347</v>
      </c>
      <c r="I7" s="198" t="s">
        <v>1343</v>
      </c>
      <c r="J7" s="197" t="s">
        <v>1094</v>
      </c>
      <c r="K7" s="197" t="s">
        <v>1093</v>
      </c>
      <c r="L7" s="128" t="str">
        <f t="shared" si="0"/>
        <v>$$DATADIRNAME$$\\MergeNewItemsIntoArray_Summary.TXT</v>
      </c>
    </row>
  </sheetData>
  <pageMargins left="0.7" right="0.7" top="0.75" bottom="0.75" header="0.3" footer="0.3"/>
  <pageSetup orientation="portrait" horizontalDpi="0" verticalDpi="0" r:id="rId1"/>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499984740745262"/>
  </sheetPr>
  <dimension ref="A1:U115"/>
  <sheetViews>
    <sheetView topLeftCell="R1" workbookViewId="0">
      <selection activeCell="T50" sqref="T50"/>
    </sheetView>
  </sheetViews>
  <sheetFormatPr defaultRowHeight="15" x14ac:dyDescent="0.25"/>
  <cols>
    <col min="1" max="1" width="4.875" hidden="1" customWidth="1"/>
    <col min="2" max="2" width="37.75" hidden="1" customWidth="1"/>
    <col min="3" max="3" width="6.75" hidden="1" customWidth="1"/>
    <col min="4" max="4" width="15.875" hidden="1" customWidth="1"/>
    <col min="5" max="5" width="11.75" hidden="1" customWidth="1"/>
    <col min="6" max="6" width="9.875" hidden="1" customWidth="1"/>
    <col min="7" max="7" width="7.875" hidden="1" customWidth="1"/>
    <col min="8" max="8" width="10.875" hidden="1" customWidth="1"/>
    <col min="9" max="9" width="11.75" hidden="1" customWidth="1"/>
    <col min="10" max="10" width="13.75" hidden="1" customWidth="1"/>
    <col min="11" max="12" width="8.875" hidden="1" customWidth="1"/>
    <col min="13" max="13" width="10.875" hidden="1" customWidth="1"/>
    <col min="14" max="14" width="9.875" hidden="1" customWidth="1"/>
    <col min="15" max="15" width="14.875" hidden="1" customWidth="1"/>
    <col min="16" max="16" width="11.875" hidden="1" customWidth="1"/>
    <col min="17" max="17" width="81" hidden="1" customWidth="1"/>
    <col min="18" max="18" width="48" bestFit="1" customWidth="1"/>
    <col min="19" max="19" width="11.75" bestFit="1" customWidth="1"/>
    <col min="20" max="21" width="81" bestFit="1" customWidth="1"/>
  </cols>
  <sheetData>
    <row r="1" spans="1:21" x14ac:dyDescent="0.25">
      <c r="A1" t="s">
        <v>565</v>
      </c>
      <c r="B1" t="s">
        <v>564</v>
      </c>
      <c r="C1" t="s">
        <v>535</v>
      </c>
      <c r="D1" t="s">
        <v>563</v>
      </c>
      <c r="E1" t="s">
        <v>562</v>
      </c>
      <c r="F1" t="s">
        <v>561</v>
      </c>
      <c r="G1" t="s">
        <v>560</v>
      </c>
      <c r="H1" t="s">
        <v>544</v>
      </c>
      <c r="I1" t="s">
        <v>559</v>
      </c>
      <c r="J1" t="s">
        <v>558</v>
      </c>
      <c r="K1" t="s">
        <v>557</v>
      </c>
      <c r="L1" t="s">
        <v>556</v>
      </c>
      <c r="M1" t="s">
        <v>555</v>
      </c>
      <c r="N1" t="s">
        <v>554</v>
      </c>
      <c r="O1" t="s">
        <v>553</v>
      </c>
      <c r="P1" t="s">
        <v>552</v>
      </c>
      <c r="Q1" t="s">
        <v>540</v>
      </c>
      <c r="R1" t="s">
        <v>551</v>
      </c>
      <c r="S1" t="s">
        <v>550</v>
      </c>
      <c r="T1" t="s">
        <v>549</v>
      </c>
      <c r="U1" t="s">
        <v>545</v>
      </c>
    </row>
    <row r="2" spans="1:21" hidden="1" x14ac:dyDescent="0.25">
      <c r="A2" s="7" t="s">
        <v>538</v>
      </c>
      <c r="B2" s="88" t="s">
        <v>539</v>
      </c>
      <c r="C2" s="7" t="s">
        <v>538</v>
      </c>
      <c r="D2" t="b">
        <v>1</v>
      </c>
      <c r="E2" s="7" t="s">
        <v>537</v>
      </c>
      <c r="F2" s="7" t="s">
        <v>548</v>
      </c>
      <c r="G2" s="7" t="s">
        <v>540</v>
      </c>
      <c r="H2" s="7" t="s">
        <v>533</v>
      </c>
      <c r="I2">
        <v>0</v>
      </c>
      <c r="K2" s="7"/>
      <c r="L2" s="7"/>
      <c r="M2" s="7"/>
      <c r="N2" s="7"/>
      <c r="P2" s="7"/>
      <c r="Q2" s="7"/>
      <c r="R2" s="7"/>
      <c r="S2" s="7"/>
      <c r="T2" s="7"/>
      <c r="U2" s="7"/>
    </row>
    <row r="3" spans="1:21" hidden="1" x14ac:dyDescent="0.25">
      <c r="A3" s="7" t="s">
        <v>538</v>
      </c>
      <c r="B3" s="88" t="s">
        <v>539</v>
      </c>
      <c r="C3" s="7" t="s">
        <v>538</v>
      </c>
      <c r="D3" t="b">
        <v>1</v>
      </c>
      <c r="E3" s="7" t="s">
        <v>537</v>
      </c>
      <c r="F3" s="7" t="s">
        <v>548</v>
      </c>
      <c r="G3" s="7"/>
      <c r="H3" s="7"/>
      <c r="K3" s="7" t="s">
        <v>535</v>
      </c>
      <c r="L3" s="7" t="s">
        <v>534</v>
      </c>
      <c r="M3" s="7" t="s">
        <v>533</v>
      </c>
      <c r="N3" s="7"/>
      <c r="P3" s="7"/>
      <c r="Q3" s="7"/>
      <c r="R3" s="7"/>
      <c r="S3" s="7"/>
      <c r="T3" s="7"/>
      <c r="U3" s="7"/>
    </row>
    <row r="4" spans="1:21" hidden="1" x14ac:dyDescent="0.25">
      <c r="A4" s="7" t="s">
        <v>538</v>
      </c>
      <c r="B4" s="88" t="s">
        <v>539</v>
      </c>
      <c r="C4" s="7" t="s">
        <v>538</v>
      </c>
      <c r="D4" t="b">
        <v>1</v>
      </c>
      <c r="E4" s="7" t="s">
        <v>537</v>
      </c>
      <c r="F4" s="7" t="s">
        <v>548</v>
      </c>
      <c r="G4" s="7"/>
      <c r="H4" s="7"/>
      <c r="K4" s="7" t="s">
        <v>544</v>
      </c>
      <c r="L4" s="7"/>
      <c r="M4" s="7" t="s">
        <v>533</v>
      </c>
      <c r="N4" s="7"/>
      <c r="P4" s="7"/>
      <c r="Q4" s="7"/>
      <c r="R4" s="7"/>
      <c r="S4" s="7"/>
      <c r="T4" s="7"/>
      <c r="U4" s="7"/>
    </row>
    <row r="5" spans="1:21" hidden="1" x14ac:dyDescent="0.25">
      <c r="A5" s="7" t="s">
        <v>538</v>
      </c>
      <c r="B5" s="88" t="s">
        <v>539</v>
      </c>
      <c r="C5" s="7" t="s">
        <v>538</v>
      </c>
      <c r="D5" t="b">
        <v>1</v>
      </c>
      <c r="E5" s="7" t="s">
        <v>537</v>
      </c>
      <c r="F5" s="7" t="s">
        <v>548</v>
      </c>
      <c r="G5" s="7"/>
      <c r="H5" s="7"/>
      <c r="K5" s="7" t="s">
        <v>543</v>
      </c>
      <c r="L5" s="7"/>
      <c r="M5" s="7" t="s">
        <v>533</v>
      </c>
      <c r="N5" s="7"/>
      <c r="P5" s="7"/>
      <c r="Q5" s="7"/>
      <c r="R5" s="7"/>
      <c r="S5" s="7"/>
      <c r="T5" s="7"/>
      <c r="U5" s="7"/>
    </row>
    <row r="6" spans="1:21" hidden="1" x14ac:dyDescent="0.25">
      <c r="A6" s="7" t="s">
        <v>538</v>
      </c>
      <c r="B6" s="88" t="s">
        <v>539</v>
      </c>
      <c r="C6" s="7" t="s">
        <v>538</v>
      </c>
      <c r="D6" t="b">
        <v>1</v>
      </c>
      <c r="E6" s="7" t="s">
        <v>537</v>
      </c>
      <c r="F6" s="7" t="s">
        <v>548</v>
      </c>
      <c r="G6" s="7"/>
      <c r="H6" s="7"/>
      <c r="K6" s="7"/>
      <c r="L6" s="7"/>
      <c r="M6" s="7"/>
      <c r="N6" s="7" t="s">
        <v>541</v>
      </c>
      <c r="P6" s="7"/>
      <c r="Q6" s="7"/>
      <c r="R6" s="7"/>
      <c r="S6" s="7"/>
      <c r="T6" s="7"/>
      <c r="U6" s="7"/>
    </row>
    <row r="7" spans="1:21" hidden="1" x14ac:dyDescent="0.25">
      <c r="A7" s="7" t="s">
        <v>538</v>
      </c>
      <c r="B7" s="88" t="s">
        <v>539</v>
      </c>
      <c r="C7" s="7" t="s">
        <v>538</v>
      </c>
      <c r="D7" t="b">
        <v>1</v>
      </c>
      <c r="E7" s="7" t="s">
        <v>537</v>
      </c>
      <c r="F7" s="7" t="s">
        <v>546</v>
      </c>
      <c r="G7" s="7"/>
      <c r="H7" s="7"/>
      <c r="K7" s="7" t="s">
        <v>547</v>
      </c>
      <c r="L7" s="7"/>
      <c r="M7" s="7" t="s">
        <v>533</v>
      </c>
      <c r="N7" s="7"/>
      <c r="P7" s="7"/>
      <c r="Q7" s="7"/>
      <c r="R7" s="7"/>
      <c r="S7" s="7"/>
      <c r="T7" s="7"/>
      <c r="U7" s="7"/>
    </row>
    <row r="8" spans="1:21" hidden="1" x14ac:dyDescent="0.25">
      <c r="A8" s="7" t="s">
        <v>538</v>
      </c>
      <c r="B8" s="88" t="s">
        <v>539</v>
      </c>
      <c r="C8" s="7" t="s">
        <v>538</v>
      </c>
      <c r="D8" t="b">
        <v>1</v>
      </c>
      <c r="E8" s="7" t="s">
        <v>537</v>
      </c>
      <c r="F8" s="7" t="s">
        <v>546</v>
      </c>
      <c r="G8" s="7"/>
      <c r="H8" s="7"/>
      <c r="K8" s="7" t="s">
        <v>535</v>
      </c>
      <c r="L8" s="7"/>
      <c r="M8" s="7" t="s">
        <v>533</v>
      </c>
      <c r="N8" s="7"/>
      <c r="P8" s="7"/>
      <c r="Q8" s="7"/>
      <c r="R8" s="7"/>
      <c r="S8" s="7"/>
      <c r="T8" s="7"/>
      <c r="U8" s="7"/>
    </row>
    <row r="9" spans="1:21" hidden="1" x14ac:dyDescent="0.25">
      <c r="A9" s="7" t="s">
        <v>538</v>
      </c>
      <c r="B9" s="88" t="s">
        <v>539</v>
      </c>
      <c r="C9" s="7" t="s">
        <v>538</v>
      </c>
      <c r="D9" t="b">
        <v>1</v>
      </c>
      <c r="E9" s="7" t="s">
        <v>537</v>
      </c>
      <c r="F9" s="7" t="s">
        <v>542</v>
      </c>
      <c r="G9" s="7" t="s">
        <v>540</v>
      </c>
      <c r="H9" s="7" t="s">
        <v>533</v>
      </c>
      <c r="I9">
        <v>0</v>
      </c>
      <c r="J9">
        <v>1</v>
      </c>
      <c r="K9" s="7"/>
      <c r="L9" s="7"/>
      <c r="M9" s="7"/>
      <c r="N9" s="7"/>
      <c r="P9" s="7"/>
      <c r="Q9" s="7"/>
      <c r="R9" s="7"/>
      <c r="S9" s="7"/>
      <c r="T9" s="7"/>
      <c r="U9" s="7"/>
    </row>
    <row r="10" spans="1:21" hidden="1" x14ac:dyDescent="0.25">
      <c r="A10" s="7" t="s">
        <v>538</v>
      </c>
      <c r="B10" s="88" t="s">
        <v>539</v>
      </c>
      <c r="C10" s="7" t="s">
        <v>538</v>
      </c>
      <c r="D10" t="b">
        <v>1</v>
      </c>
      <c r="E10" s="7" t="s">
        <v>537</v>
      </c>
      <c r="F10" s="7" t="s">
        <v>542</v>
      </c>
      <c r="G10" s="7" t="s">
        <v>545</v>
      </c>
      <c r="H10" s="7" t="s">
        <v>533</v>
      </c>
      <c r="I10">
        <v>0</v>
      </c>
      <c r="J10">
        <v>2</v>
      </c>
      <c r="K10" s="7"/>
      <c r="L10" s="7"/>
      <c r="M10" s="7"/>
      <c r="N10" s="7"/>
      <c r="P10" s="7"/>
      <c r="Q10" s="7"/>
      <c r="R10" s="7"/>
      <c r="S10" s="7"/>
      <c r="T10" s="7"/>
      <c r="U10" s="7"/>
    </row>
    <row r="11" spans="1:21" hidden="1" x14ac:dyDescent="0.25">
      <c r="A11" s="7" t="s">
        <v>538</v>
      </c>
      <c r="B11" s="88" t="s">
        <v>539</v>
      </c>
      <c r="C11" s="7" t="s">
        <v>538</v>
      </c>
      <c r="D11" t="b">
        <v>1</v>
      </c>
      <c r="E11" s="7" t="s">
        <v>537</v>
      </c>
      <c r="F11" s="7" t="s">
        <v>542</v>
      </c>
      <c r="G11" s="7"/>
      <c r="H11" s="7"/>
      <c r="K11" s="7" t="s">
        <v>535</v>
      </c>
      <c r="L11" s="7" t="s">
        <v>534</v>
      </c>
      <c r="M11" s="7" t="s">
        <v>533</v>
      </c>
      <c r="N11" s="7"/>
      <c r="O11">
        <v>1</v>
      </c>
      <c r="P11" s="7"/>
      <c r="Q11" s="7"/>
      <c r="R11" s="7"/>
      <c r="S11" s="7"/>
      <c r="T11" s="7"/>
      <c r="U11" s="7"/>
    </row>
    <row r="12" spans="1:21" hidden="1" x14ac:dyDescent="0.25">
      <c r="A12" s="7" t="s">
        <v>538</v>
      </c>
      <c r="B12" s="88" t="s">
        <v>539</v>
      </c>
      <c r="C12" s="7" t="s">
        <v>538</v>
      </c>
      <c r="D12" t="b">
        <v>1</v>
      </c>
      <c r="E12" s="7" t="s">
        <v>537</v>
      </c>
      <c r="F12" s="7" t="s">
        <v>542</v>
      </c>
      <c r="G12" s="7"/>
      <c r="H12" s="7"/>
      <c r="K12" s="7" t="s">
        <v>544</v>
      </c>
      <c r="L12" s="7"/>
      <c r="M12" s="7" t="s">
        <v>533</v>
      </c>
      <c r="N12" s="7"/>
      <c r="O12">
        <v>3</v>
      </c>
      <c r="P12" s="7"/>
      <c r="Q12" s="7"/>
      <c r="R12" s="7"/>
      <c r="S12" s="7"/>
      <c r="T12" s="7"/>
      <c r="U12" s="7"/>
    </row>
    <row r="13" spans="1:21" hidden="1" x14ac:dyDescent="0.25">
      <c r="A13" s="7" t="s">
        <v>538</v>
      </c>
      <c r="B13" s="88" t="s">
        <v>539</v>
      </c>
      <c r="C13" s="7" t="s">
        <v>538</v>
      </c>
      <c r="D13" t="b">
        <v>1</v>
      </c>
      <c r="E13" s="7" t="s">
        <v>537</v>
      </c>
      <c r="F13" s="7" t="s">
        <v>542</v>
      </c>
      <c r="G13" s="7"/>
      <c r="H13" s="7"/>
      <c r="K13" s="7" t="s">
        <v>543</v>
      </c>
      <c r="L13" s="7"/>
      <c r="M13" s="7" t="s">
        <v>533</v>
      </c>
      <c r="N13" s="7"/>
      <c r="O13">
        <v>4</v>
      </c>
      <c r="P13" s="7"/>
      <c r="Q13" s="7"/>
      <c r="R13" s="7"/>
      <c r="S13" s="7"/>
      <c r="T13" s="7"/>
      <c r="U13" s="7"/>
    </row>
    <row r="14" spans="1:21" hidden="1" x14ac:dyDescent="0.25">
      <c r="A14" s="7" t="s">
        <v>538</v>
      </c>
      <c r="B14" s="88" t="s">
        <v>539</v>
      </c>
      <c r="C14" s="7" t="s">
        <v>538</v>
      </c>
      <c r="D14" t="b">
        <v>1</v>
      </c>
      <c r="E14" s="7" t="s">
        <v>537</v>
      </c>
      <c r="F14" s="7" t="s">
        <v>542</v>
      </c>
      <c r="G14" s="7"/>
      <c r="H14" s="7"/>
      <c r="K14" s="7"/>
      <c r="L14" s="7"/>
      <c r="M14" s="7"/>
      <c r="N14" s="7" t="s">
        <v>541</v>
      </c>
      <c r="P14" s="7"/>
      <c r="Q14" s="7"/>
      <c r="R14" s="7"/>
      <c r="S14" s="7"/>
      <c r="T14" s="7"/>
      <c r="U14" s="7"/>
    </row>
    <row r="15" spans="1:21" hidden="1" x14ac:dyDescent="0.25">
      <c r="A15" s="7" t="s">
        <v>538</v>
      </c>
      <c r="B15" s="88" t="s">
        <v>539</v>
      </c>
      <c r="C15" s="7" t="s">
        <v>538</v>
      </c>
      <c r="D15" t="b">
        <v>1</v>
      </c>
      <c r="E15" s="7" t="s">
        <v>537</v>
      </c>
      <c r="F15" s="7" t="s">
        <v>536</v>
      </c>
      <c r="G15" s="7" t="s">
        <v>540</v>
      </c>
      <c r="H15" s="7" t="s">
        <v>533</v>
      </c>
      <c r="I15">
        <v>0</v>
      </c>
      <c r="J15">
        <v>1</v>
      </c>
      <c r="K15" s="7"/>
      <c r="L15" s="7"/>
      <c r="M15" s="7"/>
      <c r="N15" s="7"/>
      <c r="P15" s="7"/>
      <c r="Q15" s="7"/>
      <c r="R15" s="7"/>
      <c r="S15" s="7"/>
      <c r="T15" s="7"/>
      <c r="U15" s="7"/>
    </row>
    <row r="16" spans="1:21" hidden="1" x14ac:dyDescent="0.25">
      <c r="A16" s="7" t="s">
        <v>538</v>
      </c>
      <c r="B16" s="88" t="s">
        <v>539</v>
      </c>
      <c r="C16" s="7" t="s">
        <v>538</v>
      </c>
      <c r="D16" t="b">
        <v>1</v>
      </c>
      <c r="E16" s="7" t="s">
        <v>537</v>
      </c>
      <c r="F16" s="7" t="s">
        <v>536</v>
      </c>
      <c r="G16" s="7"/>
      <c r="H16" s="7"/>
      <c r="K16" s="7" t="s">
        <v>535</v>
      </c>
      <c r="L16" s="7" t="s">
        <v>534</v>
      </c>
      <c r="M16" s="7" t="s">
        <v>533</v>
      </c>
      <c r="N16" s="7"/>
      <c r="P16" s="7"/>
      <c r="Q16" s="7"/>
      <c r="R16" s="7"/>
      <c r="S16" s="7"/>
      <c r="T16" s="7"/>
      <c r="U16" s="7"/>
    </row>
    <row r="17" spans="1:21" hidden="1" x14ac:dyDescent="0.25">
      <c r="A17" s="7"/>
      <c r="B17" s="7"/>
      <c r="C17" s="7"/>
      <c r="E17" s="7"/>
      <c r="F17" s="7"/>
      <c r="G17" s="7"/>
      <c r="H17" s="7"/>
      <c r="K17" s="7"/>
      <c r="L17" s="7"/>
      <c r="M17" s="7"/>
      <c r="N17" s="7"/>
      <c r="P17" s="7" t="s">
        <v>532</v>
      </c>
      <c r="Q17" s="7" t="s">
        <v>531</v>
      </c>
      <c r="R17" s="7"/>
      <c r="S17" s="7"/>
      <c r="T17" s="7"/>
      <c r="U17" s="7"/>
    </row>
    <row r="18" spans="1:21" hidden="1" x14ac:dyDescent="0.25">
      <c r="A18" s="7"/>
      <c r="B18" s="7"/>
      <c r="C18" s="7"/>
      <c r="E18" s="7"/>
      <c r="F18" s="7"/>
      <c r="G18" s="7"/>
      <c r="H18" s="7"/>
      <c r="K18" s="7"/>
      <c r="L18" s="7"/>
      <c r="M18" s="7"/>
      <c r="N18" s="7"/>
      <c r="P18" s="7" t="s">
        <v>530</v>
      </c>
      <c r="Q18" s="7" t="s">
        <v>529</v>
      </c>
      <c r="R18" s="7"/>
      <c r="S18" s="7"/>
      <c r="T18" s="7"/>
      <c r="U18" s="7"/>
    </row>
    <row r="19" spans="1:21" hidden="1" x14ac:dyDescent="0.25">
      <c r="A19" s="7"/>
      <c r="B19" s="7"/>
      <c r="C19" s="7"/>
      <c r="E19" s="7"/>
      <c r="F19" s="7"/>
      <c r="G19" s="7"/>
      <c r="H19" s="7"/>
      <c r="K19" s="7"/>
      <c r="L19" s="7"/>
      <c r="M19" s="7"/>
      <c r="N19" s="7"/>
      <c r="P19" s="7" t="s">
        <v>528</v>
      </c>
      <c r="Q19" s="7" t="s">
        <v>527</v>
      </c>
      <c r="R19" s="7"/>
      <c r="S19" s="7"/>
      <c r="T19" s="7"/>
      <c r="U19" s="7"/>
    </row>
    <row r="20" spans="1:21" hidden="1" x14ac:dyDescent="0.25">
      <c r="A20" s="7"/>
      <c r="B20" s="7"/>
      <c r="C20" s="7"/>
      <c r="E20" s="7"/>
      <c r="F20" s="7"/>
      <c r="G20" s="7"/>
      <c r="H20" s="7"/>
      <c r="K20" s="7"/>
      <c r="L20" s="7"/>
      <c r="M20" s="7"/>
      <c r="N20" s="7"/>
      <c r="P20" s="7" t="s">
        <v>526</v>
      </c>
      <c r="Q20" s="7" t="s">
        <v>525</v>
      </c>
      <c r="R20" s="7"/>
      <c r="S20" s="7"/>
      <c r="T20" s="7"/>
      <c r="U20" s="7"/>
    </row>
    <row r="21" spans="1:21" x14ac:dyDescent="0.25">
      <c r="A21" s="7"/>
      <c r="B21" s="7"/>
      <c r="C21" s="7"/>
      <c r="E21" s="7"/>
      <c r="F21" s="7"/>
      <c r="G21" s="7"/>
      <c r="H21" s="7"/>
      <c r="K21" s="7"/>
      <c r="L21" s="7"/>
      <c r="M21" s="7"/>
      <c r="N21" s="7"/>
      <c r="P21" s="7"/>
      <c r="Q21" s="7"/>
      <c r="R21" s="7" t="s">
        <v>1338</v>
      </c>
      <c r="S21" s="7" t="s">
        <v>511</v>
      </c>
      <c r="T21" s="7" t="s">
        <v>1337</v>
      </c>
      <c r="U21" s="7" t="s">
        <v>1336</v>
      </c>
    </row>
    <row r="22" spans="1:21" x14ac:dyDescent="0.25">
      <c r="A22" s="7"/>
      <c r="B22" s="7"/>
      <c r="C22" s="7"/>
      <c r="E22" s="7"/>
      <c r="F22" s="7"/>
      <c r="G22" s="7"/>
      <c r="H22" s="7"/>
      <c r="K22" s="7"/>
      <c r="L22" s="7"/>
      <c r="M22" s="7"/>
      <c r="N22" s="7"/>
      <c r="P22" s="7"/>
      <c r="Q22" s="7"/>
      <c r="R22" s="7" t="s">
        <v>1335</v>
      </c>
      <c r="S22" s="7" t="s">
        <v>511</v>
      </c>
      <c r="T22" s="7" t="s">
        <v>1334</v>
      </c>
      <c r="U22" s="7" t="s">
        <v>1333</v>
      </c>
    </row>
    <row r="23" spans="1:21" x14ac:dyDescent="0.25">
      <c r="A23" s="7"/>
      <c r="B23" s="7"/>
      <c r="C23" s="7"/>
      <c r="E23" s="7"/>
      <c r="F23" s="7"/>
      <c r="G23" s="7"/>
      <c r="H23" s="7"/>
      <c r="K23" s="7"/>
      <c r="L23" s="7"/>
      <c r="M23" s="7"/>
      <c r="N23" s="7"/>
      <c r="P23" s="7"/>
      <c r="Q23" s="7"/>
      <c r="R23" s="7" t="s">
        <v>1332</v>
      </c>
      <c r="S23" s="7" t="s">
        <v>511</v>
      </c>
      <c r="T23" s="7" t="s">
        <v>1331</v>
      </c>
      <c r="U23" s="7" t="s">
        <v>1330</v>
      </c>
    </row>
    <row r="24" spans="1:21" x14ac:dyDescent="0.25">
      <c r="A24" s="7"/>
      <c r="B24" s="7"/>
      <c r="C24" s="7"/>
      <c r="E24" s="7"/>
      <c r="F24" s="7"/>
      <c r="G24" s="7"/>
      <c r="H24" s="7"/>
      <c r="K24" s="7"/>
      <c r="L24" s="7"/>
      <c r="M24" s="7"/>
      <c r="N24" s="7"/>
      <c r="P24" s="7"/>
      <c r="Q24" s="7"/>
      <c r="R24" s="7" t="s">
        <v>1329</v>
      </c>
      <c r="S24" s="7" t="s">
        <v>511</v>
      </c>
      <c r="T24" s="7" t="s">
        <v>1328</v>
      </c>
      <c r="U24" s="7" t="s">
        <v>1327</v>
      </c>
    </row>
    <row r="25" spans="1:21" x14ac:dyDescent="0.25">
      <c r="A25" s="7"/>
      <c r="B25" s="7"/>
      <c r="C25" s="7"/>
      <c r="E25" s="7"/>
      <c r="F25" s="7"/>
      <c r="G25" s="7"/>
      <c r="H25" s="7"/>
      <c r="K25" s="7"/>
      <c r="L25" s="7"/>
      <c r="M25" s="7"/>
      <c r="N25" s="7"/>
      <c r="P25" s="7"/>
      <c r="Q25" s="7"/>
      <c r="R25" s="7" t="s">
        <v>1326</v>
      </c>
      <c r="S25" s="7" t="s">
        <v>511</v>
      </c>
      <c r="T25" s="7" t="s">
        <v>1325</v>
      </c>
      <c r="U25" s="7" t="s">
        <v>1324</v>
      </c>
    </row>
    <row r="26" spans="1:21" x14ac:dyDescent="0.25">
      <c r="A26" s="7"/>
      <c r="B26" s="7"/>
      <c r="C26" s="7"/>
      <c r="E26" s="7"/>
      <c r="F26" s="7"/>
      <c r="G26" s="7"/>
      <c r="H26" s="7"/>
      <c r="K26" s="7"/>
      <c r="L26" s="7"/>
      <c r="M26" s="7"/>
      <c r="N26" s="7"/>
      <c r="P26" s="7"/>
      <c r="Q26" s="7"/>
      <c r="R26" s="7" t="s">
        <v>1323</v>
      </c>
      <c r="S26" s="7" t="s">
        <v>511</v>
      </c>
      <c r="T26" s="7" t="s">
        <v>1322</v>
      </c>
      <c r="U26" s="7" t="s">
        <v>1321</v>
      </c>
    </row>
    <row r="27" spans="1:21" x14ac:dyDescent="0.25">
      <c r="A27" s="7"/>
      <c r="B27" s="7"/>
      <c r="C27" s="7"/>
      <c r="E27" s="7"/>
      <c r="F27" s="7"/>
      <c r="G27" s="7"/>
      <c r="H27" s="7"/>
      <c r="K27" s="7"/>
      <c r="L27" s="7"/>
      <c r="M27" s="7"/>
      <c r="N27" s="7"/>
      <c r="P27" s="7"/>
      <c r="Q27" s="7"/>
      <c r="R27" s="7" t="s">
        <v>1320</v>
      </c>
      <c r="S27" s="7" t="s">
        <v>511</v>
      </c>
      <c r="T27" s="7" t="s">
        <v>1319</v>
      </c>
      <c r="U27" s="7" t="s">
        <v>1318</v>
      </c>
    </row>
    <row r="28" spans="1:21" x14ac:dyDescent="0.25">
      <c r="A28" s="7"/>
      <c r="B28" s="7"/>
      <c r="C28" s="7"/>
      <c r="E28" s="7"/>
      <c r="F28" s="7"/>
      <c r="G28" s="7"/>
      <c r="H28" s="7"/>
      <c r="K28" s="7"/>
      <c r="L28" s="7"/>
      <c r="M28" s="7"/>
      <c r="N28" s="7"/>
      <c r="P28" s="7"/>
      <c r="Q28" s="7"/>
      <c r="R28" s="7" t="s">
        <v>1317</v>
      </c>
      <c r="S28" s="7" t="s">
        <v>511</v>
      </c>
      <c r="T28" s="7" t="s">
        <v>1316</v>
      </c>
      <c r="U28" s="7" t="s">
        <v>1315</v>
      </c>
    </row>
    <row r="29" spans="1:21" x14ac:dyDescent="0.25">
      <c r="A29" s="7"/>
      <c r="B29" s="7"/>
      <c r="C29" s="7"/>
      <c r="E29" s="7"/>
      <c r="F29" s="7"/>
      <c r="G29" s="7"/>
      <c r="H29" s="7"/>
      <c r="K29" s="7"/>
      <c r="L29" s="7"/>
      <c r="M29" s="7"/>
      <c r="N29" s="7"/>
      <c r="P29" s="7"/>
      <c r="Q29" s="7"/>
      <c r="R29" s="7" t="s">
        <v>1314</v>
      </c>
      <c r="S29" s="7" t="s">
        <v>511</v>
      </c>
      <c r="T29" s="7" t="s">
        <v>1313</v>
      </c>
      <c r="U29" s="7" t="s">
        <v>1310</v>
      </c>
    </row>
    <row r="30" spans="1:21" x14ac:dyDescent="0.25">
      <c r="A30" s="7"/>
      <c r="B30" s="7"/>
      <c r="C30" s="7"/>
      <c r="E30" s="7"/>
      <c r="F30" s="7"/>
      <c r="G30" s="7"/>
      <c r="H30" s="7"/>
      <c r="K30" s="7"/>
      <c r="L30" s="7"/>
      <c r="M30" s="7"/>
      <c r="N30" s="7"/>
      <c r="P30" s="7"/>
      <c r="Q30" s="7"/>
      <c r="R30" s="7" t="s">
        <v>1312</v>
      </c>
      <c r="S30" s="7" t="s">
        <v>511</v>
      </c>
      <c r="T30" s="7" t="s">
        <v>1311</v>
      </c>
      <c r="U30" s="7" t="s">
        <v>1310</v>
      </c>
    </row>
    <row r="31" spans="1:21" x14ac:dyDescent="0.25">
      <c r="A31" s="7"/>
      <c r="B31" s="7"/>
      <c r="C31" s="7"/>
      <c r="E31" s="7"/>
      <c r="F31" s="7"/>
      <c r="G31" s="7"/>
      <c r="H31" s="7"/>
      <c r="K31" s="7"/>
      <c r="L31" s="7"/>
      <c r="M31" s="7"/>
      <c r="N31" s="7"/>
      <c r="P31" s="7"/>
      <c r="Q31" s="7"/>
      <c r="R31" s="7" t="s">
        <v>1309</v>
      </c>
      <c r="S31" s="7" t="s">
        <v>511</v>
      </c>
      <c r="T31" s="7" t="s">
        <v>1308</v>
      </c>
      <c r="U31" s="7"/>
    </row>
    <row r="32" spans="1:21" x14ac:dyDescent="0.25">
      <c r="A32" s="7"/>
      <c r="B32" s="7"/>
      <c r="C32" s="7"/>
      <c r="E32" s="7"/>
      <c r="F32" s="7"/>
      <c r="G32" s="7"/>
      <c r="H32" s="7"/>
      <c r="K32" s="7"/>
      <c r="L32" s="7"/>
      <c r="M32" s="7"/>
      <c r="N32" s="7"/>
      <c r="P32" s="7"/>
      <c r="Q32" s="7"/>
      <c r="R32" s="7" t="s">
        <v>1307</v>
      </c>
      <c r="S32" s="7" t="s">
        <v>511</v>
      </c>
      <c r="T32" s="7" t="s">
        <v>1306</v>
      </c>
      <c r="U32" s="7" t="s">
        <v>1305</v>
      </c>
    </row>
    <row r="33" spans="1:21" x14ac:dyDescent="0.25">
      <c r="A33" s="7"/>
      <c r="B33" s="7"/>
      <c r="C33" s="7"/>
      <c r="E33" s="7"/>
      <c r="F33" s="7"/>
      <c r="G33" s="7"/>
      <c r="H33" s="7"/>
      <c r="K33" s="7"/>
      <c r="L33" s="7"/>
      <c r="M33" s="7"/>
      <c r="N33" s="7"/>
      <c r="P33" s="7"/>
      <c r="Q33" s="7"/>
      <c r="R33" s="7" t="s">
        <v>1304</v>
      </c>
      <c r="S33" s="7" t="s">
        <v>511</v>
      </c>
      <c r="T33" s="7" t="s">
        <v>1303</v>
      </c>
      <c r="U33" s="7"/>
    </row>
    <row r="34" spans="1:21" x14ac:dyDescent="0.25">
      <c r="A34" s="7"/>
      <c r="B34" s="7"/>
      <c r="C34" s="7"/>
      <c r="E34" s="7"/>
      <c r="F34" s="7"/>
      <c r="G34" s="7"/>
      <c r="H34" s="7"/>
      <c r="K34" s="7"/>
      <c r="L34" s="7"/>
      <c r="M34" s="7"/>
      <c r="N34" s="7"/>
      <c r="P34" s="7"/>
      <c r="Q34" s="7"/>
      <c r="R34" s="7" t="s">
        <v>1302</v>
      </c>
      <c r="S34" s="7" t="s">
        <v>511</v>
      </c>
      <c r="T34" s="7" t="s">
        <v>1301</v>
      </c>
      <c r="U34" s="7"/>
    </row>
    <row r="35" spans="1:21" x14ac:dyDescent="0.25">
      <c r="A35" s="7"/>
      <c r="B35" s="7"/>
      <c r="C35" s="7"/>
      <c r="E35" s="7"/>
      <c r="F35" s="7"/>
      <c r="G35" s="7"/>
      <c r="H35" s="7"/>
      <c r="K35" s="7"/>
      <c r="L35" s="7"/>
      <c r="M35" s="7"/>
      <c r="N35" s="7"/>
      <c r="P35" s="7"/>
      <c r="Q35" s="7"/>
      <c r="R35" s="7" t="s">
        <v>1300</v>
      </c>
      <c r="S35" s="7" t="s">
        <v>511</v>
      </c>
      <c r="T35" s="7" t="s">
        <v>1299</v>
      </c>
      <c r="U35" s="7"/>
    </row>
    <row r="36" spans="1:21" x14ac:dyDescent="0.25">
      <c r="A36" s="7"/>
      <c r="B36" s="7"/>
      <c r="C36" s="7"/>
      <c r="E36" s="7"/>
      <c r="F36" s="7"/>
      <c r="G36" s="7"/>
      <c r="H36" s="7"/>
      <c r="K36" s="7"/>
      <c r="L36" s="7"/>
      <c r="M36" s="7"/>
      <c r="N36" s="7"/>
      <c r="P36" s="7"/>
      <c r="Q36" s="7"/>
      <c r="R36" s="7" t="s">
        <v>1298</v>
      </c>
      <c r="S36" s="7" t="s">
        <v>511</v>
      </c>
      <c r="T36" s="7" t="s">
        <v>1297</v>
      </c>
      <c r="U36" s="7" t="s">
        <v>1296</v>
      </c>
    </row>
    <row r="37" spans="1:21" x14ac:dyDescent="0.25">
      <c r="A37" s="7"/>
      <c r="B37" s="7"/>
      <c r="C37" s="7"/>
      <c r="E37" s="7"/>
      <c r="F37" s="7"/>
      <c r="G37" s="7"/>
      <c r="H37" s="7"/>
      <c r="K37" s="7"/>
      <c r="L37" s="7"/>
      <c r="M37" s="7"/>
      <c r="N37" s="7"/>
      <c r="P37" s="7"/>
      <c r="Q37" s="7"/>
      <c r="R37" s="7" t="s">
        <v>1295</v>
      </c>
      <c r="S37" s="7" t="s">
        <v>511</v>
      </c>
      <c r="T37" s="7" t="s">
        <v>1294</v>
      </c>
      <c r="U37" s="7" t="s">
        <v>1293</v>
      </c>
    </row>
    <row r="38" spans="1:21" x14ac:dyDescent="0.25">
      <c r="A38" s="7"/>
      <c r="B38" s="7"/>
      <c r="C38" s="7"/>
      <c r="E38" s="7"/>
      <c r="F38" s="7"/>
      <c r="G38" s="7"/>
      <c r="H38" s="7"/>
      <c r="K38" s="7"/>
      <c r="L38" s="7"/>
      <c r="M38" s="7"/>
      <c r="N38" s="7"/>
      <c r="P38" s="7"/>
      <c r="Q38" s="7"/>
      <c r="R38" s="7" t="s">
        <v>1292</v>
      </c>
      <c r="S38" s="7" t="s">
        <v>511</v>
      </c>
      <c r="T38" s="7" t="s">
        <v>1291</v>
      </c>
      <c r="U38" s="7"/>
    </row>
    <row r="39" spans="1:21" x14ac:dyDescent="0.25">
      <c r="A39" s="7"/>
      <c r="B39" s="7"/>
      <c r="C39" s="7"/>
      <c r="E39" s="7"/>
      <c r="F39" s="7"/>
      <c r="G39" s="7"/>
      <c r="H39" s="7"/>
      <c r="K39" s="7"/>
      <c r="L39" s="7"/>
      <c r="M39" s="7"/>
      <c r="N39" s="7"/>
      <c r="P39" s="7"/>
      <c r="Q39" s="7"/>
      <c r="R39" s="7" t="s">
        <v>1290</v>
      </c>
      <c r="S39" s="7" t="s">
        <v>511</v>
      </c>
      <c r="T39" s="7" t="s">
        <v>1289</v>
      </c>
      <c r="U39" s="7"/>
    </row>
    <row r="40" spans="1:21" x14ac:dyDescent="0.25">
      <c r="A40" s="7"/>
      <c r="B40" s="7"/>
      <c r="C40" s="7"/>
      <c r="E40" s="7"/>
      <c r="F40" s="7"/>
      <c r="G40" s="7"/>
      <c r="H40" s="7"/>
      <c r="K40" s="7"/>
      <c r="L40" s="7"/>
      <c r="M40" s="7"/>
      <c r="N40" s="7"/>
      <c r="P40" s="7"/>
      <c r="Q40" s="7"/>
      <c r="R40" s="7" t="s">
        <v>1288</v>
      </c>
      <c r="S40" s="7" t="s">
        <v>511</v>
      </c>
      <c r="T40" s="7" t="s">
        <v>1287</v>
      </c>
      <c r="U40" s="7"/>
    </row>
    <row r="41" spans="1:21" x14ac:dyDescent="0.25">
      <c r="A41" s="7"/>
      <c r="B41" s="7"/>
      <c r="C41" s="7"/>
      <c r="E41" s="7"/>
      <c r="F41" s="7"/>
      <c r="G41" s="7"/>
      <c r="H41" s="7"/>
      <c r="K41" s="7"/>
      <c r="L41" s="7"/>
      <c r="M41" s="7"/>
      <c r="N41" s="7"/>
      <c r="P41" s="7"/>
      <c r="Q41" s="7"/>
      <c r="R41" s="7" t="s">
        <v>1286</v>
      </c>
      <c r="S41" s="7" t="s">
        <v>511</v>
      </c>
      <c r="T41" s="7" t="s">
        <v>1285</v>
      </c>
      <c r="U41" s="7"/>
    </row>
    <row r="42" spans="1:21" x14ac:dyDescent="0.25">
      <c r="A42" s="7"/>
      <c r="B42" s="7"/>
      <c r="C42" s="7"/>
      <c r="E42" s="7"/>
      <c r="F42" s="7"/>
      <c r="G42" s="7"/>
      <c r="H42" s="7"/>
      <c r="K42" s="7"/>
      <c r="L42" s="7"/>
      <c r="M42" s="7"/>
      <c r="N42" s="7"/>
      <c r="P42" s="7"/>
      <c r="Q42" s="7"/>
      <c r="R42" s="7" t="s">
        <v>1284</v>
      </c>
      <c r="S42" s="7" t="s">
        <v>511</v>
      </c>
      <c r="T42" s="7" t="s">
        <v>1283</v>
      </c>
      <c r="U42" s="7" t="s">
        <v>1245</v>
      </c>
    </row>
    <row r="43" spans="1:21" x14ac:dyDescent="0.25">
      <c r="A43" s="7"/>
      <c r="B43" s="7"/>
      <c r="C43" s="7"/>
      <c r="E43" s="7"/>
      <c r="F43" s="7"/>
      <c r="G43" s="7"/>
      <c r="H43" s="7"/>
      <c r="K43" s="7"/>
      <c r="L43" s="7"/>
      <c r="M43" s="7"/>
      <c r="N43" s="7"/>
      <c r="P43" s="7"/>
      <c r="Q43" s="7"/>
      <c r="R43" s="7" t="s">
        <v>1282</v>
      </c>
      <c r="S43" s="7" t="s">
        <v>511</v>
      </c>
      <c r="T43" s="7" t="s">
        <v>1281</v>
      </c>
      <c r="U43" s="7" t="s">
        <v>1245</v>
      </c>
    </row>
    <row r="44" spans="1:21" x14ac:dyDescent="0.25">
      <c r="A44" s="7"/>
      <c r="B44" s="7"/>
      <c r="C44" s="7"/>
      <c r="E44" s="7"/>
      <c r="F44" s="7"/>
      <c r="G44" s="7"/>
      <c r="H44" s="7"/>
      <c r="K44" s="7"/>
      <c r="L44" s="7"/>
      <c r="M44" s="7"/>
      <c r="N44" s="7"/>
      <c r="P44" s="7"/>
      <c r="Q44" s="7"/>
      <c r="R44" s="7" t="s">
        <v>1280</v>
      </c>
      <c r="S44" s="7" t="s">
        <v>511</v>
      </c>
      <c r="T44" s="7" t="s">
        <v>1279</v>
      </c>
      <c r="U44" s="7" t="s">
        <v>1245</v>
      </c>
    </row>
    <row r="45" spans="1:21" x14ac:dyDescent="0.25">
      <c r="A45" s="7"/>
      <c r="B45" s="7"/>
      <c r="C45" s="7"/>
      <c r="E45" s="7"/>
      <c r="F45" s="7"/>
      <c r="G45" s="7"/>
      <c r="H45" s="7"/>
      <c r="K45" s="7"/>
      <c r="L45" s="7"/>
      <c r="M45" s="7"/>
      <c r="N45" s="7"/>
      <c r="P45" s="7"/>
      <c r="Q45" s="7"/>
      <c r="R45" s="7" t="s">
        <v>1278</v>
      </c>
      <c r="S45" s="7" t="s">
        <v>511</v>
      </c>
      <c r="T45" s="7" t="s">
        <v>1277</v>
      </c>
      <c r="U45" s="7" t="s">
        <v>1276</v>
      </c>
    </row>
    <row r="46" spans="1:21" x14ac:dyDescent="0.25">
      <c r="A46" s="7"/>
      <c r="B46" s="7"/>
      <c r="C46" s="7"/>
      <c r="E46" s="7"/>
      <c r="F46" s="7"/>
      <c r="G46" s="7"/>
      <c r="H46" s="7"/>
      <c r="K46" s="7"/>
      <c r="L46" s="7"/>
      <c r="M46" s="7"/>
      <c r="N46" s="7"/>
      <c r="P46" s="7"/>
      <c r="Q46" s="7"/>
      <c r="R46" s="7" t="s">
        <v>1275</v>
      </c>
      <c r="S46" s="7" t="s">
        <v>511</v>
      </c>
      <c r="T46" s="7" t="s">
        <v>1274</v>
      </c>
      <c r="U46" s="7"/>
    </row>
    <row r="47" spans="1:21" x14ac:dyDescent="0.25">
      <c r="A47" s="7"/>
      <c r="B47" s="7"/>
      <c r="C47" s="7"/>
      <c r="E47" s="7"/>
      <c r="F47" s="7"/>
      <c r="G47" s="7"/>
      <c r="H47" s="7"/>
      <c r="K47" s="7"/>
      <c r="L47" s="7"/>
      <c r="M47" s="7"/>
      <c r="N47" s="7"/>
      <c r="P47" s="7"/>
      <c r="Q47" s="7"/>
      <c r="R47" s="7" t="s">
        <v>1273</v>
      </c>
      <c r="S47" s="7" t="s">
        <v>511</v>
      </c>
      <c r="T47" s="7" t="s">
        <v>1272</v>
      </c>
      <c r="U47" s="7" t="s">
        <v>1245</v>
      </c>
    </row>
    <row r="48" spans="1:21" x14ac:dyDescent="0.25">
      <c r="A48" s="7"/>
      <c r="B48" s="7"/>
      <c r="C48" s="7"/>
      <c r="E48" s="7"/>
      <c r="F48" s="7"/>
      <c r="G48" s="7"/>
      <c r="H48" s="7"/>
      <c r="K48" s="7"/>
      <c r="L48" s="7"/>
      <c r="M48" s="7"/>
      <c r="N48" s="7"/>
      <c r="P48" s="7"/>
      <c r="Q48" s="7"/>
      <c r="R48" s="7" t="s">
        <v>1271</v>
      </c>
      <c r="S48" s="7" t="s">
        <v>511</v>
      </c>
      <c r="T48" s="7" t="s">
        <v>1270</v>
      </c>
      <c r="U48" s="7" t="s">
        <v>1191</v>
      </c>
    </row>
    <row r="49" spans="1:21" x14ac:dyDescent="0.25">
      <c r="A49" s="7"/>
      <c r="B49" s="7"/>
      <c r="C49" s="7"/>
      <c r="E49" s="7"/>
      <c r="F49" s="7"/>
      <c r="G49" s="7"/>
      <c r="H49" s="7"/>
      <c r="K49" s="7"/>
      <c r="L49" s="7"/>
      <c r="M49" s="7"/>
      <c r="N49" s="7"/>
      <c r="P49" s="7"/>
      <c r="Q49" s="7"/>
      <c r="R49" s="7" t="s">
        <v>1269</v>
      </c>
      <c r="S49" s="7" t="s">
        <v>511</v>
      </c>
      <c r="T49" s="7" t="s">
        <v>1268</v>
      </c>
      <c r="U49" s="7" t="s">
        <v>1245</v>
      </c>
    </row>
    <row r="50" spans="1:21" x14ac:dyDescent="0.25">
      <c r="A50" s="7"/>
      <c r="B50" s="7"/>
      <c r="C50" s="7"/>
      <c r="E50" s="7"/>
      <c r="F50" s="7"/>
      <c r="G50" s="7"/>
      <c r="H50" s="7"/>
      <c r="K50" s="7"/>
      <c r="L50" s="7"/>
      <c r="M50" s="7"/>
      <c r="N50" s="7"/>
      <c r="P50" s="7"/>
      <c r="Q50" s="7"/>
      <c r="R50" s="7" t="s">
        <v>1267</v>
      </c>
      <c r="S50" s="7" t="s">
        <v>511</v>
      </c>
      <c r="T50" s="7" t="s">
        <v>1266</v>
      </c>
      <c r="U50" s="7" t="s">
        <v>1209</v>
      </c>
    </row>
    <row r="51" spans="1:21" x14ac:dyDescent="0.25">
      <c r="A51" s="7"/>
      <c r="B51" s="7"/>
      <c r="C51" s="7"/>
      <c r="E51" s="7"/>
      <c r="F51" s="7"/>
      <c r="G51" s="7"/>
      <c r="H51" s="7"/>
      <c r="K51" s="7"/>
      <c r="L51" s="7"/>
      <c r="M51" s="7"/>
      <c r="N51" s="7"/>
      <c r="P51" s="7"/>
      <c r="Q51" s="7"/>
      <c r="R51" s="7" t="s">
        <v>1265</v>
      </c>
      <c r="S51" s="7" t="s">
        <v>511</v>
      </c>
      <c r="T51" s="7" t="s">
        <v>1264</v>
      </c>
      <c r="U51" s="7" t="s">
        <v>1209</v>
      </c>
    </row>
    <row r="52" spans="1:21" x14ac:dyDescent="0.25">
      <c r="A52" s="7"/>
      <c r="B52" s="7"/>
      <c r="C52" s="7"/>
      <c r="E52" s="7"/>
      <c r="F52" s="7"/>
      <c r="G52" s="7"/>
      <c r="H52" s="7"/>
      <c r="K52" s="7"/>
      <c r="L52" s="7"/>
      <c r="M52" s="7"/>
      <c r="N52" s="7"/>
      <c r="P52" s="7"/>
      <c r="Q52" s="7"/>
      <c r="R52" s="7" t="s">
        <v>1263</v>
      </c>
      <c r="S52" s="7" t="s">
        <v>511</v>
      </c>
      <c r="T52" s="7" t="s">
        <v>1262</v>
      </c>
      <c r="U52" s="7" t="s">
        <v>1209</v>
      </c>
    </row>
    <row r="53" spans="1:21" x14ac:dyDescent="0.25">
      <c r="A53" s="7"/>
      <c r="B53" s="7"/>
      <c r="C53" s="7"/>
      <c r="E53" s="7"/>
      <c r="F53" s="7"/>
      <c r="G53" s="7"/>
      <c r="H53" s="7"/>
      <c r="K53" s="7"/>
      <c r="L53" s="7"/>
      <c r="M53" s="7"/>
      <c r="N53" s="7"/>
      <c r="P53" s="7"/>
      <c r="Q53" s="7"/>
      <c r="R53" s="7" t="s">
        <v>1261</v>
      </c>
      <c r="S53" s="7" t="s">
        <v>511</v>
      </c>
      <c r="T53" s="7" t="s">
        <v>1260</v>
      </c>
      <c r="U53" s="7" t="s">
        <v>1209</v>
      </c>
    </row>
    <row r="54" spans="1:21" x14ac:dyDescent="0.25">
      <c r="A54" s="7"/>
      <c r="B54" s="7"/>
      <c r="C54" s="7"/>
      <c r="E54" s="7"/>
      <c r="F54" s="7"/>
      <c r="G54" s="7"/>
      <c r="H54" s="7"/>
      <c r="K54" s="7"/>
      <c r="L54" s="7"/>
      <c r="M54" s="7"/>
      <c r="N54" s="7"/>
      <c r="P54" s="7"/>
      <c r="Q54" s="7"/>
      <c r="R54" s="7" t="s">
        <v>1259</v>
      </c>
      <c r="S54" s="7" t="s">
        <v>511</v>
      </c>
      <c r="T54" s="7" t="s">
        <v>1258</v>
      </c>
      <c r="U54" s="7" t="s">
        <v>1245</v>
      </c>
    </row>
    <row r="55" spans="1:21" x14ac:dyDescent="0.25">
      <c r="A55" s="7"/>
      <c r="B55" s="7"/>
      <c r="C55" s="7"/>
      <c r="E55" s="7"/>
      <c r="F55" s="7"/>
      <c r="G55" s="7"/>
      <c r="H55" s="7"/>
      <c r="K55" s="7"/>
      <c r="L55" s="7"/>
      <c r="M55" s="7"/>
      <c r="N55" s="7"/>
      <c r="P55" s="7"/>
      <c r="Q55" s="7"/>
      <c r="R55" s="7" t="s">
        <v>1257</v>
      </c>
      <c r="S55" s="7" t="s">
        <v>511</v>
      </c>
      <c r="T55" s="7" t="s">
        <v>1256</v>
      </c>
      <c r="U55" s="7" t="s">
        <v>1245</v>
      </c>
    </row>
    <row r="56" spans="1:21" x14ac:dyDescent="0.25">
      <c r="A56" s="7"/>
      <c r="B56" s="7"/>
      <c r="C56" s="7"/>
      <c r="E56" s="7"/>
      <c r="F56" s="7"/>
      <c r="G56" s="7"/>
      <c r="H56" s="7"/>
      <c r="K56" s="7"/>
      <c r="L56" s="7"/>
      <c r="M56" s="7"/>
      <c r="N56" s="7"/>
      <c r="P56" s="7"/>
      <c r="Q56" s="7"/>
      <c r="R56" s="7" t="s">
        <v>1255</v>
      </c>
      <c r="S56" s="7" t="s">
        <v>511</v>
      </c>
      <c r="T56" s="7" t="s">
        <v>1254</v>
      </c>
      <c r="U56" s="7" t="s">
        <v>1245</v>
      </c>
    </row>
    <row r="57" spans="1:21" x14ac:dyDescent="0.25">
      <c r="A57" s="7"/>
      <c r="B57" s="7"/>
      <c r="C57" s="7"/>
      <c r="E57" s="7"/>
      <c r="F57" s="7"/>
      <c r="G57" s="7"/>
      <c r="H57" s="7"/>
      <c r="K57" s="7"/>
      <c r="L57" s="7"/>
      <c r="M57" s="7"/>
      <c r="N57" s="7"/>
      <c r="P57" s="7"/>
      <c r="Q57" s="7"/>
      <c r="R57" s="7" t="s">
        <v>1253</v>
      </c>
      <c r="S57" s="7" t="s">
        <v>511</v>
      </c>
      <c r="T57" s="7" t="s">
        <v>1252</v>
      </c>
      <c r="U57" s="7" t="s">
        <v>1245</v>
      </c>
    </row>
    <row r="58" spans="1:21" x14ac:dyDescent="0.25">
      <c r="A58" s="7"/>
      <c r="B58" s="7"/>
      <c r="C58" s="7"/>
      <c r="E58" s="7"/>
      <c r="F58" s="7"/>
      <c r="G58" s="7"/>
      <c r="H58" s="7"/>
      <c r="K58" s="7"/>
      <c r="L58" s="7"/>
      <c r="M58" s="7"/>
      <c r="N58" s="7"/>
      <c r="P58" s="7"/>
      <c r="Q58" s="7"/>
      <c r="R58" s="7" t="s">
        <v>1251</v>
      </c>
      <c r="S58" s="7" t="s">
        <v>511</v>
      </c>
      <c r="T58" s="7" t="s">
        <v>1250</v>
      </c>
      <c r="U58" s="7" t="s">
        <v>1245</v>
      </c>
    </row>
    <row r="59" spans="1:21" x14ac:dyDescent="0.25">
      <c r="A59" s="7"/>
      <c r="B59" s="7"/>
      <c r="C59" s="7"/>
      <c r="E59" s="7"/>
      <c r="F59" s="7"/>
      <c r="G59" s="7"/>
      <c r="H59" s="7"/>
      <c r="K59" s="7"/>
      <c r="L59" s="7"/>
      <c r="M59" s="7"/>
      <c r="N59" s="7"/>
      <c r="P59" s="7"/>
      <c r="Q59" s="7"/>
      <c r="R59" s="7" t="s">
        <v>1249</v>
      </c>
      <c r="S59" s="7" t="s">
        <v>511</v>
      </c>
      <c r="T59" s="7" t="s">
        <v>1248</v>
      </c>
      <c r="U59" s="7" t="s">
        <v>1245</v>
      </c>
    </row>
    <row r="60" spans="1:21" x14ac:dyDescent="0.25">
      <c r="A60" s="7"/>
      <c r="B60" s="7"/>
      <c r="C60" s="7"/>
      <c r="E60" s="7"/>
      <c r="F60" s="7"/>
      <c r="G60" s="7"/>
      <c r="H60" s="7"/>
      <c r="K60" s="7"/>
      <c r="L60" s="7"/>
      <c r="M60" s="7"/>
      <c r="N60" s="7"/>
      <c r="P60" s="7"/>
      <c r="Q60" s="7"/>
      <c r="R60" s="7" t="s">
        <v>1247</v>
      </c>
      <c r="S60" s="7" t="s">
        <v>511</v>
      </c>
      <c r="T60" s="7" t="s">
        <v>1246</v>
      </c>
      <c r="U60" s="7" t="s">
        <v>1245</v>
      </c>
    </row>
    <row r="61" spans="1:21" x14ac:dyDescent="0.25">
      <c r="A61" s="7"/>
      <c r="B61" s="7"/>
      <c r="C61" s="7"/>
      <c r="E61" s="7"/>
      <c r="F61" s="7"/>
      <c r="G61" s="7"/>
      <c r="H61" s="7"/>
      <c r="K61" s="7"/>
      <c r="L61" s="7"/>
      <c r="M61" s="7"/>
      <c r="N61" s="7"/>
      <c r="P61" s="7"/>
      <c r="Q61" s="7"/>
      <c r="R61" s="7" t="s">
        <v>1244</v>
      </c>
      <c r="S61" s="7" t="s">
        <v>511</v>
      </c>
      <c r="T61" s="7" t="s">
        <v>1243</v>
      </c>
      <c r="U61" s="7"/>
    </row>
    <row r="62" spans="1:21" x14ac:dyDescent="0.25">
      <c r="A62" s="7"/>
      <c r="B62" s="7"/>
      <c r="C62" s="7"/>
      <c r="E62" s="7"/>
      <c r="F62" s="7"/>
      <c r="G62" s="7"/>
      <c r="H62" s="7"/>
      <c r="K62" s="7"/>
      <c r="L62" s="7"/>
      <c r="M62" s="7"/>
      <c r="N62" s="7"/>
      <c r="P62" s="7"/>
      <c r="Q62" s="7"/>
      <c r="R62" s="7" t="s">
        <v>1242</v>
      </c>
      <c r="S62" s="7" t="s">
        <v>511</v>
      </c>
      <c r="T62" s="7" t="s">
        <v>1241</v>
      </c>
      <c r="U62" s="7"/>
    </row>
    <row r="63" spans="1:21" x14ac:dyDescent="0.25">
      <c r="A63" s="7"/>
      <c r="B63" s="7"/>
      <c r="C63" s="7"/>
      <c r="E63" s="7"/>
      <c r="F63" s="7"/>
      <c r="G63" s="7"/>
      <c r="H63" s="7"/>
      <c r="K63" s="7"/>
      <c r="L63" s="7"/>
      <c r="M63" s="7"/>
      <c r="N63" s="7"/>
      <c r="P63" s="7"/>
      <c r="Q63" s="7"/>
      <c r="R63" s="7" t="s">
        <v>1240</v>
      </c>
      <c r="S63" s="7" t="s">
        <v>511</v>
      </c>
      <c r="T63" s="7" t="s">
        <v>1239</v>
      </c>
      <c r="U63" s="7"/>
    </row>
    <row r="64" spans="1:21" x14ac:dyDescent="0.25">
      <c r="A64" s="7"/>
      <c r="B64" s="7"/>
      <c r="C64" s="7"/>
      <c r="E64" s="7"/>
      <c r="F64" s="7"/>
      <c r="G64" s="7"/>
      <c r="H64" s="7"/>
      <c r="K64" s="7"/>
      <c r="L64" s="7"/>
      <c r="M64" s="7"/>
      <c r="N64" s="7"/>
      <c r="P64" s="7"/>
      <c r="Q64" s="7"/>
      <c r="R64" s="7" t="s">
        <v>1238</v>
      </c>
      <c r="S64" s="7" t="s">
        <v>511</v>
      </c>
      <c r="T64" s="7" t="s">
        <v>1237</v>
      </c>
      <c r="U64" s="7"/>
    </row>
    <row r="65" spans="1:21" x14ac:dyDescent="0.25">
      <c r="A65" s="7"/>
      <c r="B65" s="7"/>
      <c r="C65" s="7"/>
      <c r="E65" s="7"/>
      <c r="F65" s="7"/>
      <c r="G65" s="7"/>
      <c r="H65" s="7"/>
      <c r="K65" s="7"/>
      <c r="L65" s="7"/>
      <c r="M65" s="7"/>
      <c r="N65" s="7"/>
      <c r="P65" s="7"/>
      <c r="Q65" s="7"/>
      <c r="R65" s="7" t="s">
        <v>1236</v>
      </c>
      <c r="S65" s="7" t="s">
        <v>511</v>
      </c>
      <c r="T65" s="7" t="s">
        <v>1235</v>
      </c>
      <c r="U65" s="7" t="s">
        <v>1234</v>
      </c>
    </row>
    <row r="66" spans="1:21" x14ac:dyDescent="0.25">
      <c r="A66" s="7"/>
      <c r="B66" s="7"/>
      <c r="C66" s="7"/>
      <c r="E66" s="7"/>
      <c r="F66" s="7"/>
      <c r="G66" s="7"/>
      <c r="H66" s="7"/>
      <c r="K66" s="7"/>
      <c r="L66" s="7"/>
      <c r="M66" s="7"/>
      <c r="N66" s="7"/>
      <c r="P66" s="7"/>
      <c r="Q66" s="7"/>
      <c r="R66" s="7" t="s">
        <v>1233</v>
      </c>
      <c r="S66" s="7" t="s">
        <v>511</v>
      </c>
      <c r="T66" s="7" t="s">
        <v>1232</v>
      </c>
      <c r="U66" s="7"/>
    </row>
    <row r="67" spans="1:21" x14ac:dyDescent="0.25">
      <c r="A67" s="7"/>
      <c r="B67" s="7"/>
      <c r="C67" s="7"/>
      <c r="E67" s="7"/>
      <c r="F67" s="7"/>
      <c r="G67" s="7"/>
      <c r="H67" s="7"/>
      <c r="K67" s="7"/>
      <c r="L67" s="7"/>
      <c r="M67" s="7"/>
      <c r="N67" s="7"/>
      <c r="P67" s="7"/>
      <c r="Q67" s="7"/>
      <c r="R67" s="7" t="s">
        <v>1231</v>
      </c>
      <c r="S67" s="7" t="s">
        <v>511</v>
      </c>
      <c r="T67" s="7" t="s">
        <v>1230</v>
      </c>
      <c r="U67" s="7"/>
    </row>
    <row r="68" spans="1:21" x14ac:dyDescent="0.25">
      <c r="A68" s="7"/>
      <c r="B68" s="7"/>
      <c r="C68" s="7"/>
      <c r="E68" s="7"/>
      <c r="F68" s="7"/>
      <c r="G68" s="7"/>
      <c r="H68" s="7"/>
      <c r="K68" s="7"/>
      <c r="L68" s="7"/>
      <c r="M68" s="7"/>
      <c r="N68" s="7"/>
      <c r="P68" s="7"/>
      <c r="Q68" s="7"/>
      <c r="R68" s="7" t="s">
        <v>1229</v>
      </c>
      <c r="S68" s="7" t="s">
        <v>511</v>
      </c>
      <c r="T68" s="7" t="s">
        <v>1228</v>
      </c>
      <c r="U68" s="7"/>
    </row>
    <row r="69" spans="1:21" x14ac:dyDescent="0.25">
      <c r="A69" s="7"/>
      <c r="B69" s="7"/>
      <c r="C69" s="7"/>
      <c r="E69" s="7"/>
      <c r="F69" s="7"/>
      <c r="G69" s="7"/>
      <c r="H69" s="7"/>
      <c r="K69" s="7"/>
      <c r="L69" s="7"/>
      <c r="M69" s="7"/>
      <c r="N69" s="7"/>
      <c r="P69" s="7"/>
      <c r="Q69" s="7"/>
      <c r="R69" s="7" t="s">
        <v>1227</v>
      </c>
      <c r="S69" s="7" t="s">
        <v>511</v>
      </c>
      <c r="T69" s="7" t="s">
        <v>1226</v>
      </c>
      <c r="U69" s="7" t="s">
        <v>1223</v>
      </c>
    </row>
    <row r="70" spans="1:21" x14ac:dyDescent="0.25">
      <c r="A70" s="7"/>
      <c r="B70" s="7"/>
      <c r="C70" s="7"/>
      <c r="E70" s="7"/>
      <c r="F70" s="7"/>
      <c r="G70" s="7"/>
      <c r="H70" s="7"/>
      <c r="K70" s="7"/>
      <c r="L70" s="7"/>
      <c r="M70" s="7"/>
      <c r="N70" s="7"/>
      <c r="P70" s="7"/>
      <c r="Q70" s="7"/>
      <c r="R70" s="7" t="s">
        <v>1225</v>
      </c>
      <c r="S70" s="7" t="s">
        <v>511</v>
      </c>
      <c r="T70" s="7" t="s">
        <v>1224</v>
      </c>
      <c r="U70" s="7" t="s">
        <v>1223</v>
      </c>
    </row>
    <row r="71" spans="1:21" x14ac:dyDescent="0.25">
      <c r="A71" s="7"/>
      <c r="B71" s="7"/>
      <c r="C71" s="7"/>
      <c r="E71" s="7"/>
      <c r="F71" s="7"/>
      <c r="G71" s="7"/>
      <c r="H71" s="7"/>
      <c r="K71" s="7"/>
      <c r="L71" s="7"/>
      <c r="M71" s="7"/>
      <c r="N71" s="7"/>
      <c r="P71" s="7"/>
      <c r="Q71" s="7"/>
      <c r="R71" s="7" t="s">
        <v>1222</v>
      </c>
      <c r="S71" s="7" t="s">
        <v>511</v>
      </c>
      <c r="T71" s="7" t="s">
        <v>1221</v>
      </c>
      <c r="U71" s="7" t="s">
        <v>1220</v>
      </c>
    </row>
    <row r="72" spans="1:21" x14ac:dyDescent="0.25">
      <c r="A72" s="7"/>
      <c r="B72" s="7"/>
      <c r="C72" s="7"/>
      <c r="E72" s="7"/>
      <c r="F72" s="7"/>
      <c r="G72" s="7"/>
      <c r="H72" s="7"/>
      <c r="K72" s="7"/>
      <c r="L72" s="7"/>
      <c r="M72" s="7"/>
      <c r="N72" s="7"/>
      <c r="P72" s="7"/>
      <c r="Q72" s="7"/>
      <c r="R72" s="7" t="s">
        <v>1219</v>
      </c>
      <c r="S72" s="7" t="s">
        <v>511</v>
      </c>
      <c r="T72" s="7" t="s">
        <v>1218</v>
      </c>
      <c r="U72" s="7" t="s">
        <v>1217</v>
      </c>
    </row>
    <row r="73" spans="1:21" x14ac:dyDescent="0.25">
      <c r="A73" s="7"/>
      <c r="B73" s="7"/>
      <c r="C73" s="7"/>
      <c r="E73" s="7"/>
      <c r="F73" s="7"/>
      <c r="G73" s="7"/>
      <c r="H73" s="7"/>
      <c r="K73" s="7"/>
      <c r="L73" s="7"/>
      <c r="M73" s="7"/>
      <c r="N73" s="7"/>
      <c r="P73" s="7"/>
      <c r="Q73" s="7"/>
      <c r="R73" s="7" t="s">
        <v>1216</v>
      </c>
      <c r="S73" s="7" t="s">
        <v>511</v>
      </c>
      <c r="T73" s="7" t="s">
        <v>1215</v>
      </c>
      <c r="U73" s="7" t="s">
        <v>1214</v>
      </c>
    </row>
    <row r="74" spans="1:21" x14ac:dyDescent="0.25">
      <c r="A74" s="7"/>
      <c r="B74" s="7"/>
      <c r="C74" s="7"/>
      <c r="E74" s="7"/>
      <c r="F74" s="7"/>
      <c r="G74" s="7"/>
      <c r="H74" s="7"/>
      <c r="K74" s="7"/>
      <c r="L74" s="7"/>
      <c r="M74" s="7"/>
      <c r="N74" s="7"/>
      <c r="P74" s="7"/>
      <c r="Q74" s="7"/>
      <c r="R74" s="7" t="s">
        <v>1213</v>
      </c>
      <c r="S74" s="7" t="s">
        <v>511</v>
      </c>
      <c r="T74" s="7" t="s">
        <v>1212</v>
      </c>
      <c r="U74" s="7"/>
    </row>
    <row r="75" spans="1:21" x14ac:dyDescent="0.25">
      <c r="A75" s="7"/>
      <c r="B75" s="7"/>
      <c r="C75" s="7"/>
      <c r="E75" s="7"/>
      <c r="F75" s="7"/>
      <c r="G75" s="7"/>
      <c r="H75" s="7"/>
      <c r="K75" s="7"/>
      <c r="L75" s="7"/>
      <c r="M75" s="7"/>
      <c r="N75" s="7"/>
      <c r="P75" s="7"/>
      <c r="Q75" s="7"/>
      <c r="R75" s="7" t="s">
        <v>1211</v>
      </c>
      <c r="S75" s="7" t="s">
        <v>511</v>
      </c>
      <c r="T75" s="7" t="s">
        <v>1210</v>
      </c>
      <c r="U75" s="7" t="s">
        <v>1209</v>
      </c>
    </row>
    <row r="76" spans="1:21" x14ac:dyDescent="0.25">
      <c r="A76" s="7"/>
      <c r="B76" s="7"/>
      <c r="C76" s="7"/>
      <c r="E76" s="7"/>
      <c r="F76" s="7"/>
      <c r="G76" s="7"/>
      <c r="H76" s="7"/>
      <c r="K76" s="7"/>
      <c r="L76" s="7"/>
      <c r="M76" s="7"/>
      <c r="N76" s="7"/>
      <c r="P76" s="7"/>
      <c r="Q76" s="7"/>
      <c r="R76" s="7" t="s">
        <v>1208</v>
      </c>
      <c r="S76" s="7" t="s">
        <v>511</v>
      </c>
      <c r="T76" s="7" t="s">
        <v>1207</v>
      </c>
      <c r="U76" s="7" t="s">
        <v>1206</v>
      </c>
    </row>
    <row r="77" spans="1:21" x14ac:dyDescent="0.25">
      <c r="A77" s="7"/>
      <c r="B77" s="7"/>
      <c r="C77" s="7"/>
      <c r="E77" s="7"/>
      <c r="F77" s="7"/>
      <c r="G77" s="7"/>
      <c r="H77" s="7"/>
      <c r="K77" s="7"/>
      <c r="L77" s="7"/>
      <c r="M77" s="7"/>
      <c r="N77" s="7"/>
      <c r="P77" s="7"/>
      <c r="Q77" s="7"/>
      <c r="R77" s="7" t="s">
        <v>1205</v>
      </c>
      <c r="S77" s="7" t="s">
        <v>511</v>
      </c>
      <c r="T77" s="7" t="s">
        <v>1204</v>
      </c>
      <c r="U77" s="7" t="s">
        <v>1191</v>
      </c>
    </row>
    <row r="78" spans="1:21" x14ac:dyDescent="0.25">
      <c r="A78" s="7"/>
      <c r="B78" s="7"/>
      <c r="C78" s="7"/>
      <c r="E78" s="7"/>
      <c r="F78" s="7"/>
      <c r="G78" s="7"/>
      <c r="H78" s="7"/>
      <c r="K78" s="7"/>
      <c r="L78" s="7"/>
      <c r="M78" s="7"/>
      <c r="N78" s="7"/>
      <c r="P78" s="7"/>
      <c r="Q78" s="7"/>
      <c r="R78" s="7" t="s">
        <v>1203</v>
      </c>
      <c r="S78" s="7" t="s">
        <v>511</v>
      </c>
      <c r="T78" s="7" t="s">
        <v>1202</v>
      </c>
      <c r="U78" s="7" t="s">
        <v>1191</v>
      </c>
    </row>
    <row r="79" spans="1:21" x14ac:dyDescent="0.25">
      <c r="A79" s="7"/>
      <c r="B79" s="7"/>
      <c r="C79" s="7"/>
      <c r="E79" s="7"/>
      <c r="F79" s="7"/>
      <c r="G79" s="7"/>
      <c r="H79" s="7"/>
      <c r="K79" s="7"/>
      <c r="L79" s="7"/>
      <c r="M79" s="7"/>
      <c r="N79" s="7"/>
      <c r="P79" s="7"/>
      <c r="Q79" s="7"/>
      <c r="R79" s="7" t="s">
        <v>1201</v>
      </c>
      <c r="S79" s="7" t="s">
        <v>511</v>
      </c>
      <c r="T79" s="7" t="s">
        <v>1200</v>
      </c>
      <c r="U79" s="7" t="s">
        <v>1191</v>
      </c>
    </row>
    <row r="80" spans="1:21" x14ac:dyDescent="0.25">
      <c r="A80" s="7"/>
      <c r="B80" s="7"/>
      <c r="C80" s="7"/>
      <c r="E80" s="7"/>
      <c r="F80" s="7"/>
      <c r="G80" s="7"/>
      <c r="H80" s="7"/>
      <c r="K80" s="7"/>
      <c r="L80" s="7"/>
      <c r="M80" s="7"/>
      <c r="N80" s="7"/>
      <c r="P80" s="7"/>
      <c r="Q80" s="7"/>
      <c r="R80" s="7" t="s">
        <v>1199</v>
      </c>
      <c r="S80" s="7" t="s">
        <v>511</v>
      </c>
      <c r="T80" s="7" t="s">
        <v>1198</v>
      </c>
      <c r="U80" s="7" t="s">
        <v>1197</v>
      </c>
    </row>
    <row r="81" spans="1:21" x14ac:dyDescent="0.25">
      <c r="A81" s="7"/>
      <c r="B81" s="7"/>
      <c r="C81" s="7"/>
      <c r="E81" s="7"/>
      <c r="F81" s="7"/>
      <c r="G81" s="7"/>
      <c r="H81" s="7"/>
      <c r="K81" s="7"/>
      <c r="L81" s="7"/>
      <c r="M81" s="7"/>
      <c r="N81" s="7"/>
      <c r="P81" s="7"/>
      <c r="Q81" s="7"/>
      <c r="R81" s="7" t="s">
        <v>1196</v>
      </c>
      <c r="S81" s="7" t="s">
        <v>511</v>
      </c>
      <c r="T81" s="7" t="s">
        <v>1195</v>
      </c>
      <c r="U81" s="7" t="s">
        <v>1194</v>
      </c>
    </row>
    <row r="82" spans="1:21" x14ac:dyDescent="0.25">
      <c r="A82" s="7"/>
      <c r="B82" s="7"/>
      <c r="C82" s="7"/>
      <c r="E82" s="7"/>
      <c r="F82" s="7"/>
      <c r="G82" s="7"/>
      <c r="H82" s="7"/>
      <c r="K82" s="7"/>
      <c r="L82" s="7"/>
      <c r="M82" s="7"/>
      <c r="N82" s="7"/>
      <c r="P82" s="7"/>
      <c r="Q82" s="7"/>
      <c r="R82" s="7" t="s">
        <v>1193</v>
      </c>
      <c r="S82" s="7" t="s">
        <v>511</v>
      </c>
      <c r="T82" s="7" t="s">
        <v>1192</v>
      </c>
      <c r="U82" s="7" t="s">
        <v>1191</v>
      </c>
    </row>
    <row r="83" spans="1:21" x14ac:dyDescent="0.25">
      <c r="A83" s="7"/>
      <c r="B83" s="7"/>
      <c r="C83" s="7"/>
      <c r="E83" s="7"/>
      <c r="F83" s="7"/>
      <c r="G83" s="7"/>
      <c r="H83" s="7"/>
      <c r="K83" s="7"/>
      <c r="L83" s="7"/>
      <c r="M83" s="7"/>
      <c r="N83" s="7"/>
      <c r="P83" s="7"/>
      <c r="Q83" s="7"/>
      <c r="R83" s="7" t="s">
        <v>1190</v>
      </c>
      <c r="S83" s="7" t="s">
        <v>511</v>
      </c>
      <c r="T83" s="7" t="s">
        <v>1189</v>
      </c>
      <c r="U83" s="7" t="s">
        <v>1188</v>
      </c>
    </row>
    <row r="84" spans="1:21" x14ac:dyDescent="0.25">
      <c r="A84" s="7"/>
      <c r="B84" s="7"/>
      <c r="C84" s="7"/>
      <c r="E84" s="7"/>
      <c r="F84" s="7"/>
      <c r="G84" s="7"/>
      <c r="H84" s="7"/>
      <c r="K84" s="7"/>
      <c r="L84" s="7"/>
      <c r="M84" s="7"/>
      <c r="N84" s="7"/>
      <c r="P84" s="7"/>
      <c r="Q84" s="7"/>
      <c r="R84" s="7" t="s">
        <v>1187</v>
      </c>
      <c r="S84" s="7" t="s">
        <v>511</v>
      </c>
      <c r="T84" s="7" t="s">
        <v>1186</v>
      </c>
      <c r="U84" s="7"/>
    </row>
    <row r="85" spans="1:21" x14ac:dyDescent="0.25">
      <c r="A85" s="7"/>
      <c r="B85" s="7"/>
      <c r="C85" s="7"/>
      <c r="E85" s="7"/>
      <c r="F85" s="7"/>
      <c r="G85" s="7"/>
      <c r="H85" s="7"/>
      <c r="K85" s="7"/>
      <c r="L85" s="7"/>
      <c r="M85" s="7"/>
      <c r="N85" s="7"/>
      <c r="P85" s="7"/>
      <c r="Q85" s="7"/>
      <c r="R85" s="7" t="s">
        <v>1185</v>
      </c>
      <c r="S85" s="7" t="s">
        <v>511</v>
      </c>
      <c r="T85" s="7" t="s">
        <v>1184</v>
      </c>
      <c r="U85" s="7" t="s">
        <v>1183</v>
      </c>
    </row>
    <row r="86" spans="1:21" x14ac:dyDescent="0.25">
      <c r="A86" s="7"/>
      <c r="B86" s="7"/>
      <c r="C86" s="7"/>
      <c r="E86" s="7"/>
      <c r="F86" s="7"/>
      <c r="G86" s="7"/>
      <c r="H86" s="7"/>
      <c r="K86" s="7"/>
      <c r="L86" s="7"/>
      <c r="M86" s="7"/>
      <c r="N86" s="7"/>
      <c r="P86" s="7"/>
      <c r="Q86" s="7"/>
      <c r="R86" s="7" t="s">
        <v>1182</v>
      </c>
      <c r="S86" s="7" t="s">
        <v>511</v>
      </c>
      <c r="T86" s="7" t="s">
        <v>1181</v>
      </c>
      <c r="U86" s="7" t="s">
        <v>1180</v>
      </c>
    </row>
    <row r="87" spans="1:21" x14ac:dyDescent="0.25">
      <c r="A87" s="7"/>
      <c r="B87" s="7"/>
      <c r="C87" s="7"/>
      <c r="E87" s="7"/>
      <c r="F87" s="7"/>
      <c r="G87" s="7"/>
      <c r="H87" s="7"/>
      <c r="K87" s="7"/>
      <c r="L87" s="7"/>
      <c r="M87" s="7"/>
      <c r="N87" s="7"/>
      <c r="P87" s="7"/>
      <c r="Q87" s="7"/>
      <c r="R87" s="7" t="s">
        <v>1179</v>
      </c>
      <c r="S87" s="7" t="s">
        <v>511</v>
      </c>
      <c r="T87" s="7" t="s">
        <v>1178</v>
      </c>
      <c r="U87" s="7" t="s">
        <v>1177</v>
      </c>
    </row>
    <row r="88" spans="1:21" x14ac:dyDescent="0.25">
      <c r="A88" s="7"/>
      <c r="B88" s="7"/>
      <c r="C88" s="7"/>
      <c r="E88" s="7"/>
      <c r="F88" s="7"/>
      <c r="G88" s="7"/>
      <c r="H88" s="7"/>
      <c r="K88" s="7"/>
      <c r="L88" s="7"/>
      <c r="M88" s="7"/>
      <c r="N88" s="7"/>
      <c r="P88" s="7"/>
      <c r="Q88" s="7"/>
      <c r="R88" s="7" t="s">
        <v>1176</v>
      </c>
      <c r="S88" s="7" t="s">
        <v>511</v>
      </c>
      <c r="T88" s="7" t="s">
        <v>1175</v>
      </c>
      <c r="U88" s="7"/>
    </row>
    <row r="89" spans="1:21" x14ac:dyDescent="0.25">
      <c r="A89" s="7"/>
      <c r="B89" s="7"/>
      <c r="C89" s="7"/>
      <c r="E89" s="7"/>
      <c r="F89" s="7"/>
      <c r="G89" s="7"/>
      <c r="H89" s="7"/>
      <c r="K89" s="7"/>
      <c r="L89" s="7"/>
      <c r="M89" s="7"/>
      <c r="N89" s="7"/>
      <c r="P89" s="7"/>
      <c r="Q89" s="7"/>
      <c r="R89" s="7" t="s">
        <v>1174</v>
      </c>
      <c r="S89" s="7" t="s">
        <v>511</v>
      </c>
      <c r="T89" s="7" t="s">
        <v>1173</v>
      </c>
      <c r="U89" s="7"/>
    </row>
    <row r="90" spans="1:21" x14ac:dyDescent="0.25">
      <c r="A90" s="7"/>
      <c r="B90" s="7"/>
      <c r="C90" s="7"/>
      <c r="E90" s="7"/>
      <c r="F90" s="7"/>
      <c r="G90" s="7"/>
      <c r="H90" s="7"/>
      <c r="K90" s="7"/>
      <c r="L90" s="7"/>
      <c r="M90" s="7"/>
      <c r="N90" s="7"/>
      <c r="P90" s="7"/>
      <c r="Q90" s="7"/>
      <c r="R90" s="7" t="s">
        <v>1172</v>
      </c>
      <c r="S90" s="7" t="s">
        <v>511</v>
      </c>
      <c r="T90" s="7" t="s">
        <v>1171</v>
      </c>
      <c r="U90" s="7"/>
    </row>
    <row r="91" spans="1:21" x14ac:dyDescent="0.25">
      <c r="A91" s="7"/>
      <c r="B91" s="7"/>
      <c r="C91" s="7"/>
      <c r="E91" s="7"/>
      <c r="F91" s="7"/>
      <c r="G91" s="7"/>
      <c r="H91" s="7"/>
      <c r="K91" s="7"/>
      <c r="L91" s="7"/>
      <c r="M91" s="7"/>
      <c r="N91" s="7"/>
      <c r="P91" s="7"/>
      <c r="Q91" s="7"/>
      <c r="R91" s="7" t="s">
        <v>1170</v>
      </c>
      <c r="S91" s="7" t="s">
        <v>511</v>
      </c>
      <c r="T91" s="7" t="s">
        <v>1169</v>
      </c>
      <c r="U91" s="7"/>
    </row>
    <row r="92" spans="1:21" x14ac:dyDescent="0.25">
      <c r="A92" s="7"/>
      <c r="B92" s="7"/>
      <c r="C92" s="7"/>
      <c r="E92" s="7"/>
      <c r="F92" s="7"/>
      <c r="G92" s="7"/>
      <c r="H92" s="7"/>
      <c r="K92" s="7"/>
      <c r="L92" s="7"/>
      <c r="M92" s="7"/>
      <c r="N92" s="7"/>
      <c r="P92" s="7"/>
      <c r="Q92" s="7"/>
      <c r="R92" s="7" t="s">
        <v>1168</v>
      </c>
      <c r="S92" s="7" t="s">
        <v>511</v>
      </c>
      <c r="T92" s="7" t="s">
        <v>1167</v>
      </c>
      <c r="U92" s="7"/>
    </row>
    <row r="93" spans="1:21" x14ac:dyDescent="0.25">
      <c r="A93" s="7"/>
      <c r="B93" s="7"/>
      <c r="C93" s="7"/>
      <c r="E93" s="7"/>
      <c r="F93" s="7"/>
      <c r="G93" s="7"/>
      <c r="H93" s="7"/>
      <c r="K93" s="7"/>
      <c r="L93" s="7"/>
      <c r="M93" s="7"/>
      <c r="N93" s="7"/>
      <c r="P93" s="7"/>
      <c r="Q93" s="7"/>
      <c r="R93" s="7" t="s">
        <v>1166</v>
      </c>
      <c r="S93" s="7" t="s">
        <v>511</v>
      </c>
      <c r="T93" s="7" t="s">
        <v>1165</v>
      </c>
      <c r="U93" s="7"/>
    </row>
    <row r="94" spans="1:21" x14ac:dyDescent="0.25">
      <c r="A94" s="7"/>
      <c r="B94" s="7"/>
      <c r="C94" s="7"/>
      <c r="E94" s="7"/>
      <c r="F94" s="7"/>
      <c r="G94" s="7"/>
      <c r="H94" s="7"/>
      <c r="K94" s="7"/>
      <c r="L94" s="7"/>
      <c r="M94" s="7"/>
      <c r="N94" s="7"/>
      <c r="P94" s="7"/>
      <c r="Q94" s="7"/>
      <c r="R94" s="7" t="s">
        <v>1164</v>
      </c>
      <c r="S94" s="7" t="s">
        <v>511</v>
      </c>
      <c r="T94" s="7" t="s">
        <v>1163</v>
      </c>
      <c r="U94" s="7"/>
    </row>
    <row r="95" spans="1:21" x14ac:dyDescent="0.25">
      <c r="A95" s="7"/>
      <c r="B95" s="7"/>
      <c r="C95" s="7"/>
      <c r="E95" s="7"/>
      <c r="F95" s="7"/>
      <c r="G95" s="7"/>
      <c r="H95" s="7"/>
      <c r="K95" s="7"/>
      <c r="L95" s="7"/>
      <c r="M95" s="7"/>
      <c r="N95" s="7"/>
      <c r="P95" s="7"/>
      <c r="Q95" s="7"/>
      <c r="R95" s="7" t="s">
        <v>1162</v>
      </c>
      <c r="S95" s="7" t="s">
        <v>511</v>
      </c>
      <c r="T95" s="7" t="s">
        <v>1161</v>
      </c>
      <c r="U95" s="7"/>
    </row>
    <row r="96" spans="1:21" x14ac:dyDescent="0.25">
      <c r="A96" s="7"/>
      <c r="B96" s="7"/>
      <c r="C96" s="7"/>
      <c r="E96" s="7"/>
      <c r="F96" s="7"/>
      <c r="G96" s="7"/>
      <c r="H96" s="7"/>
      <c r="K96" s="7"/>
      <c r="L96" s="7"/>
      <c r="M96" s="7"/>
      <c r="N96" s="7"/>
      <c r="P96" s="7"/>
      <c r="Q96" s="7"/>
      <c r="R96" s="7" t="s">
        <v>1160</v>
      </c>
      <c r="S96" s="7" t="s">
        <v>511</v>
      </c>
      <c r="T96" s="7" t="s">
        <v>1159</v>
      </c>
      <c r="U96" s="7"/>
    </row>
    <row r="97" spans="1:21" x14ac:dyDescent="0.25">
      <c r="A97" s="7"/>
      <c r="B97" s="7"/>
      <c r="C97" s="7"/>
      <c r="E97" s="7"/>
      <c r="F97" s="7"/>
      <c r="G97" s="7"/>
      <c r="H97" s="7"/>
      <c r="K97" s="7"/>
      <c r="L97" s="7"/>
      <c r="M97" s="7"/>
      <c r="N97" s="7"/>
      <c r="P97" s="7"/>
      <c r="Q97" s="7"/>
      <c r="R97" s="7" t="s">
        <v>1158</v>
      </c>
      <c r="S97" s="7" t="s">
        <v>511</v>
      </c>
      <c r="T97" s="7" t="s">
        <v>1157</v>
      </c>
      <c r="U97" s="7" t="s">
        <v>1156</v>
      </c>
    </row>
    <row r="98" spans="1:21" x14ac:dyDescent="0.25">
      <c r="A98" s="7"/>
      <c r="B98" s="7"/>
      <c r="C98" s="7"/>
      <c r="E98" s="7"/>
      <c r="F98" s="7"/>
      <c r="G98" s="7"/>
      <c r="H98" s="7"/>
      <c r="K98" s="7"/>
      <c r="L98" s="7"/>
      <c r="M98" s="7"/>
      <c r="N98" s="7"/>
      <c r="P98" s="7"/>
      <c r="Q98" s="7"/>
      <c r="R98" s="7" t="s">
        <v>1155</v>
      </c>
      <c r="S98" s="7" t="s">
        <v>511</v>
      </c>
      <c r="T98" s="7" t="s">
        <v>1154</v>
      </c>
      <c r="U98" s="7"/>
    </row>
    <row r="99" spans="1:21" x14ac:dyDescent="0.25">
      <c r="A99" s="7"/>
      <c r="B99" s="7"/>
      <c r="C99" s="7"/>
      <c r="E99" s="7"/>
      <c r="F99" s="7"/>
      <c r="G99" s="7"/>
      <c r="H99" s="7"/>
      <c r="K99" s="7"/>
      <c r="L99" s="7"/>
      <c r="M99" s="7"/>
      <c r="N99" s="7"/>
      <c r="P99" s="7"/>
      <c r="Q99" s="7"/>
      <c r="R99" s="7" t="s">
        <v>1153</v>
      </c>
      <c r="S99" s="7" t="s">
        <v>511</v>
      </c>
      <c r="T99" s="7" t="s">
        <v>1152</v>
      </c>
      <c r="U99" s="7"/>
    </row>
    <row r="100" spans="1:21" x14ac:dyDescent="0.25">
      <c r="A100" s="7"/>
      <c r="B100" s="7"/>
      <c r="C100" s="7"/>
      <c r="E100" s="7"/>
      <c r="F100" s="7"/>
      <c r="G100" s="7"/>
      <c r="H100" s="7"/>
      <c r="K100" s="7"/>
      <c r="L100" s="7"/>
      <c r="M100" s="7"/>
      <c r="N100" s="7"/>
      <c r="P100" s="7"/>
      <c r="Q100" s="7"/>
      <c r="R100" s="7" t="s">
        <v>1151</v>
      </c>
      <c r="S100" s="7" t="s">
        <v>511</v>
      </c>
      <c r="T100" s="7" t="s">
        <v>1150</v>
      </c>
      <c r="U100" s="7"/>
    </row>
    <row r="101" spans="1:21" x14ac:dyDescent="0.25">
      <c r="A101" s="7"/>
      <c r="B101" s="7"/>
      <c r="C101" s="7"/>
      <c r="E101" s="7"/>
      <c r="F101" s="7"/>
      <c r="G101" s="7"/>
      <c r="H101" s="7"/>
      <c r="K101" s="7"/>
      <c r="L101" s="7"/>
      <c r="M101" s="7"/>
      <c r="N101" s="7"/>
      <c r="P101" s="7"/>
      <c r="Q101" s="7"/>
      <c r="R101" s="7" t="s">
        <v>1149</v>
      </c>
      <c r="S101" s="7" t="s">
        <v>511</v>
      </c>
      <c r="T101" s="7" t="s">
        <v>1148</v>
      </c>
      <c r="U101" s="7" t="s">
        <v>1145</v>
      </c>
    </row>
    <row r="102" spans="1:21" x14ac:dyDescent="0.25">
      <c r="A102" s="7"/>
      <c r="B102" s="7"/>
      <c r="C102" s="7"/>
      <c r="E102" s="7"/>
      <c r="F102" s="7"/>
      <c r="G102" s="7"/>
      <c r="H102" s="7"/>
      <c r="K102" s="7"/>
      <c r="L102" s="7"/>
      <c r="M102" s="7"/>
      <c r="N102" s="7"/>
      <c r="P102" s="7"/>
      <c r="Q102" s="7"/>
      <c r="R102" s="7" t="s">
        <v>1147</v>
      </c>
      <c r="S102" s="7" t="s">
        <v>511</v>
      </c>
      <c r="T102" s="7" t="s">
        <v>1146</v>
      </c>
      <c r="U102" s="7" t="s">
        <v>1145</v>
      </c>
    </row>
    <row r="103" spans="1:21" x14ac:dyDescent="0.25">
      <c r="A103" s="7"/>
      <c r="B103" s="7"/>
      <c r="C103" s="7"/>
      <c r="E103" s="7"/>
      <c r="F103" s="7"/>
      <c r="G103" s="7"/>
      <c r="H103" s="7"/>
      <c r="K103" s="7"/>
      <c r="L103" s="7"/>
      <c r="M103" s="7"/>
      <c r="N103" s="7"/>
      <c r="P103" s="7"/>
      <c r="Q103" s="7"/>
      <c r="R103" s="7" t="s">
        <v>1144</v>
      </c>
      <c r="S103" s="7" t="s">
        <v>511</v>
      </c>
      <c r="T103" s="7" t="s">
        <v>1143</v>
      </c>
      <c r="U103" s="7"/>
    </row>
    <row r="104" spans="1:21" x14ac:dyDescent="0.25">
      <c r="A104" s="7"/>
      <c r="B104" s="7"/>
      <c r="C104" s="7"/>
      <c r="E104" s="7"/>
      <c r="F104" s="7"/>
      <c r="G104" s="7"/>
      <c r="H104" s="7"/>
      <c r="K104" s="7"/>
      <c r="L104" s="7"/>
      <c r="M104" s="7"/>
      <c r="N104" s="7"/>
      <c r="P104" s="7"/>
      <c r="Q104" s="7"/>
      <c r="R104" s="7" t="s">
        <v>1142</v>
      </c>
      <c r="S104" s="7" t="s">
        <v>511</v>
      </c>
      <c r="T104" s="7" t="s">
        <v>1141</v>
      </c>
      <c r="U104" s="7"/>
    </row>
    <row r="105" spans="1:21" x14ac:dyDescent="0.25">
      <c r="A105" s="7"/>
      <c r="B105" s="7"/>
      <c r="C105" s="7"/>
      <c r="E105" s="7"/>
      <c r="F105" s="7"/>
      <c r="G105" s="7"/>
      <c r="H105" s="7"/>
      <c r="K105" s="7"/>
      <c r="L105" s="7"/>
      <c r="M105" s="7"/>
      <c r="N105" s="7"/>
      <c r="P105" s="7"/>
      <c r="Q105" s="7"/>
      <c r="R105" s="7" t="s">
        <v>1140</v>
      </c>
      <c r="S105" s="7" t="s">
        <v>511</v>
      </c>
      <c r="T105" s="7" t="s">
        <v>1139</v>
      </c>
      <c r="U105" s="7" t="s">
        <v>1138</v>
      </c>
    </row>
    <row r="106" spans="1:21" x14ac:dyDescent="0.25">
      <c r="A106" s="7"/>
      <c r="B106" s="7"/>
      <c r="C106" s="7"/>
      <c r="E106" s="7"/>
      <c r="F106" s="7"/>
      <c r="G106" s="7"/>
      <c r="H106" s="7"/>
      <c r="K106" s="7"/>
      <c r="L106" s="7"/>
      <c r="M106" s="7"/>
      <c r="N106" s="7"/>
      <c r="P106" s="7"/>
      <c r="Q106" s="7"/>
      <c r="R106" s="7" t="s">
        <v>1137</v>
      </c>
      <c r="S106" s="7" t="s">
        <v>511</v>
      </c>
      <c r="T106" s="7" t="s">
        <v>1136</v>
      </c>
      <c r="U106" s="7" t="s">
        <v>1135</v>
      </c>
    </row>
    <row r="107" spans="1:21" x14ac:dyDescent="0.25">
      <c r="A107" s="7"/>
      <c r="B107" s="7"/>
      <c r="C107" s="7"/>
      <c r="E107" s="7"/>
      <c r="F107" s="7"/>
      <c r="G107" s="7"/>
      <c r="H107" s="7"/>
      <c r="K107" s="7"/>
      <c r="L107" s="7"/>
      <c r="M107" s="7"/>
      <c r="N107" s="7"/>
      <c r="P107" s="7"/>
      <c r="Q107" s="7"/>
      <c r="R107" s="7" t="s">
        <v>1134</v>
      </c>
      <c r="S107" s="7" t="s">
        <v>511</v>
      </c>
      <c r="T107" s="7" t="s">
        <v>1133</v>
      </c>
      <c r="U107" s="7"/>
    </row>
    <row r="108" spans="1:21" x14ac:dyDescent="0.25">
      <c r="A108" s="7"/>
      <c r="B108" s="7"/>
      <c r="C108" s="7"/>
      <c r="E108" s="7"/>
      <c r="F108" s="7"/>
      <c r="G108" s="7"/>
      <c r="H108" s="7"/>
      <c r="K108" s="7"/>
      <c r="L108" s="7"/>
      <c r="M108" s="7"/>
      <c r="N108" s="7"/>
      <c r="P108" s="7"/>
      <c r="Q108" s="7"/>
      <c r="R108" s="7" t="s">
        <v>1132</v>
      </c>
      <c r="S108" s="7" t="s">
        <v>511</v>
      </c>
      <c r="T108" s="7" t="s">
        <v>1131</v>
      </c>
      <c r="U108" s="7" t="s">
        <v>1130</v>
      </c>
    </row>
    <row r="109" spans="1:21" x14ac:dyDescent="0.25">
      <c r="A109" s="7"/>
      <c r="B109" s="7"/>
      <c r="C109" s="7"/>
      <c r="E109" s="7"/>
      <c r="F109" s="7"/>
      <c r="G109" s="7"/>
      <c r="H109" s="7"/>
      <c r="K109" s="7"/>
      <c r="L109" s="7"/>
      <c r="M109" s="7"/>
      <c r="N109" s="7"/>
      <c r="P109" s="7"/>
      <c r="Q109" s="7"/>
      <c r="R109" s="7" t="s">
        <v>1129</v>
      </c>
      <c r="S109" s="7" t="s">
        <v>511</v>
      </c>
      <c r="T109" s="7" t="s">
        <v>1128</v>
      </c>
      <c r="U109" s="7"/>
    </row>
    <row r="110" spans="1:21" x14ac:dyDescent="0.25">
      <c r="A110" s="7"/>
      <c r="B110" s="7"/>
      <c r="C110" s="7"/>
      <c r="E110" s="7"/>
      <c r="F110" s="7"/>
      <c r="G110" s="7"/>
      <c r="H110" s="7"/>
      <c r="K110" s="7"/>
      <c r="L110" s="7"/>
      <c r="M110" s="7"/>
      <c r="N110" s="7"/>
      <c r="P110" s="7"/>
      <c r="Q110" s="7"/>
      <c r="R110" s="7" t="s">
        <v>1127</v>
      </c>
      <c r="S110" s="7" t="s">
        <v>511</v>
      </c>
      <c r="T110" s="7" t="s">
        <v>1126</v>
      </c>
      <c r="U110" s="7"/>
    </row>
    <row r="111" spans="1:21" x14ac:dyDescent="0.25">
      <c r="A111" s="7"/>
      <c r="B111" s="7"/>
      <c r="C111" s="7"/>
      <c r="E111" s="7"/>
      <c r="F111" s="7"/>
      <c r="G111" s="7"/>
      <c r="H111" s="7"/>
      <c r="K111" s="7"/>
      <c r="L111" s="7"/>
      <c r="M111" s="7"/>
      <c r="N111" s="7"/>
      <c r="P111" s="7"/>
      <c r="Q111" s="7"/>
      <c r="R111" s="7" t="s">
        <v>1125</v>
      </c>
      <c r="S111" s="7" t="s">
        <v>511</v>
      </c>
      <c r="T111" s="7" t="s">
        <v>1124</v>
      </c>
      <c r="U111" s="7"/>
    </row>
    <row r="112" spans="1:21" x14ac:dyDescent="0.25">
      <c r="A112" s="7"/>
      <c r="B112" s="7"/>
      <c r="C112" s="7"/>
      <c r="E112" s="7"/>
      <c r="F112" s="7"/>
      <c r="G112" s="7"/>
      <c r="H112" s="7"/>
      <c r="K112" s="7"/>
      <c r="L112" s="7"/>
      <c r="M112" s="7"/>
      <c r="N112" s="7"/>
      <c r="P112" s="7"/>
      <c r="Q112" s="7"/>
      <c r="R112" s="7" t="s">
        <v>1123</v>
      </c>
      <c r="S112" s="7" t="s">
        <v>511</v>
      </c>
      <c r="T112" s="7" t="s">
        <v>1122</v>
      </c>
      <c r="U112" s="7"/>
    </row>
    <row r="113" spans="1:21" x14ac:dyDescent="0.25">
      <c r="A113" s="7"/>
      <c r="B113" s="7"/>
      <c r="C113" s="7"/>
      <c r="E113" s="7"/>
      <c r="F113" s="7"/>
      <c r="G113" s="7"/>
      <c r="H113" s="7"/>
      <c r="K113" s="7"/>
      <c r="L113" s="7"/>
      <c r="M113" s="7"/>
      <c r="N113" s="7"/>
      <c r="P113" s="7"/>
      <c r="Q113" s="7"/>
      <c r="R113" s="7" t="s">
        <v>1121</v>
      </c>
      <c r="S113" s="7" t="s">
        <v>511</v>
      </c>
      <c r="T113" s="7" t="s">
        <v>1120</v>
      </c>
      <c r="U113" s="7"/>
    </row>
    <row r="114" spans="1:21" x14ac:dyDescent="0.25">
      <c r="A114" s="7"/>
      <c r="B114" s="7"/>
      <c r="C114" s="7"/>
      <c r="E114" s="7"/>
      <c r="F114" s="7"/>
      <c r="G114" s="7"/>
      <c r="H114" s="7"/>
      <c r="K114" s="7"/>
      <c r="L114" s="7"/>
      <c r="M114" s="7"/>
      <c r="N114" s="7"/>
      <c r="P114" s="7"/>
      <c r="Q114" s="7"/>
      <c r="R114" s="7" t="s">
        <v>1119</v>
      </c>
      <c r="S114" s="7" t="s">
        <v>511</v>
      </c>
      <c r="T114" s="7" t="s">
        <v>1118</v>
      </c>
      <c r="U114" s="7"/>
    </row>
    <row r="115" spans="1:21" x14ac:dyDescent="0.25">
      <c r="A115" s="7"/>
      <c r="B115" s="7"/>
      <c r="C115" s="7"/>
      <c r="E115" s="7"/>
      <c r="F115" s="7"/>
      <c r="G115" s="7"/>
      <c r="H115" s="7"/>
      <c r="K115" s="7"/>
      <c r="L115" s="7"/>
      <c r="M115" s="7"/>
      <c r="N115" s="7"/>
      <c r="P115" s="7"/>
      <c r="Q115" s="7"/>
      <c r="R115" s="7" t="s">
        <v>1117</v>
      </c>
      <c r="S115" s="7" t="s">
        <v>511</v>
      </c>
      <c r="T115" s="7" t="s">
        <v>1116</v>
      </c>
      <c r="U115" s="7"/>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s>
  <pageMargins left="0.7" right="0.7" top="0.75" bottom="0.75" header="0.3" footer="0.3"/>
  <pageSetup orientation="portrait" horizontalDpi="0" verticalDpi="0" r:id="rId16"/>
  <tableParts count="1">
    <tablePart r:id="rId17"/>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pane xSplit="4" ySplit="1" topLeftCell="E2" activePane="bottomRight" state="frozen"/>
      <selection pane="topRight" activeCell="C1" sqref="C1"/>
      <selection pane="bottomLeft" activeCell="A2" sqref="A2"/>
      <selection pane="bottomRight"/>
    </sheetView>
  </sheetViews>
  <sheetFormatPr defaultRowHeight="15" x14ac:dyDescent="0.25"/>
  <cols>
    <col min="1" max="1" width="33.625" bestFit="1" customWidth="1"/>
    <col min="2" max="2" width="20.125" bestFit="1" customWidth="1"/>
    <col min="3" max="3" width="6.875" bestFit="1" customWidth="1"/>
    <col min="4" max="4" width="30.5" bestFit="1" customWidth="1"/>
    <col min="5" max="5" width="23.25" bestFit="1" customWidth="1"/>
    <col min="6" max="6" width="131.5" bestFit="1" customWidth="1"/>
    <col min="7" max="7" width="26.375" bestFit="1" customWidth="1"/>
    <col min="8" max="8" width="23.25" bestFit="1" customWidth="1"/>
    <col min="9" max="9" width="6.125" bestFit="1" customWidth="1"/>
    <col min="10" max="10" width="50.625" customWidth="1"/>
  </cols>
  <sheetData>
    <row r="1" spans="1:10" ht="18" x14ac:dyDescent="0.25">
      <c r="A1" s="202" t="s">
        <v>1372</v>
      </c>
      <c r="B1" s="202" t="s">
        <v>14</v>
      </c>
      <c r="C1" s="203" t="s">
        <v>13</v>
      </c>
      <c r="D1" s="202" t="s">
        <v>1373</v>
      </c>
      <c r="E1" s="202" t="s">
        <v>1389</v>
      </c>
      <c r="F1" s="202" t="s">
        <v>1377</v>
      </c>
      <c r="G1" s="202" t="s">
        <v>945</v>
      </c>
      <c r="H1" s="202" t="s">
        <v>704</v>
      </c>
      <c r="I1" s="203" t="s">
        <v>17</v>
      </c>
      <c r="J1" s="202" t="s">
        <v>1385</v>
      </c>
    </row>
    <row r="2" spans="1:10" x14ac:dyDescent="0.25">
      <c r="A2" s="316" t="s">
        <v>1367</v>
      </c>
      <c r="B2" s="206">
        <f>[1]!dtmFileDateInfo(CONCATENATE([1]!AddBackslash(DLLServices2_Test_Stand_Progrm_Directory),$A2))</f>
        <v>42973.662418981483</v>
      </c>
      <c r="C2" s="209">
        <f>[1]!lngFileSize(CONCATENATE([1]!AddBackslash(DLLServices2_Test_Stand_Progrm_Directory),$A2))</f>
        <v>13986</v>
      </c>
      <c r="D2" s="316" t="s">
        <v>1371</v>
      </c>
      <c r="E2" s="214"/>
      <c r="F2" s="212" t="s">
        <v>1375</v>
      </c>
      <c r="G2" s="204" t="s">
        <v>1374</v>
      </c>
      <c r="H2" s="204" t="s">
        <v>981</v>
      </c>
      <c r="I2" s="204">
        <v>378</v>
      </c>
      <c r="J2" s="215"/>
    </row>
    <row r="3" spans="1:10" x14ac:dyDescent="0.25">
      <c r="A3" s="309"/>
      <c r="B3" s="207"/>
      <c r="C3" s="210"/>
      <c r="D3" s="309"/>
      <c r="E3" s="204"/>
      <c r="F3" s="212" t="s">
        <v>1376</v>
      </c>
      <c r="G3" s="204" t="s">
        <v>1374</v>
      </c>
      <c r="H3" s="204" t="s">
        <v>981</v>
      </c>
      <c r="I3" s="204">
        <v>379</v>
      </c>
      <c r="J3" s="215"/>
    </row>
    <row r="4" spans="1:10" x14ac:dyDescent="0.25">
      <c r="A4" s="205" t="s">
        <v>1368</v>
      </c>
      <c r="B4" s="208">
        <f>[1]!dtmFileDateInfo(CONCATENATE([1]!AddBackslash(DLLServices2_Test_Stand_Progrm_Directory),$A4))</f>
        <v>42790.664340277777</v>
      </c>
      <c r="C4" s="211">
        <f>[1]!lngFileSize(CONCATENATE([1]!AddBackslash(DLLServices2_Test_Stand_Progrm_Directory),$A4))</f>
        <v>36950</v>
      </c>
      <c r="D4" s="205" t="s">
        <v>1378</v>
      </c>
      <c r="E4" s="205"/>
      <c r="F4" s="213" t="s">
        <v>1379</v>
      </c>
      <c r="G4" s="205"/>
      <c r="H4" s="205"/>
      <c r="I4" s="205"/>
      <c r="J4" s="216"/>
    </row>
    <row r="5" spans="1:10" x14ac:dyDescent="0.25">
      <c r="A5" s="205" t="s">
        <v>1369</v>
      </c>
      <c r="B5" s="208">
        <f>[1]!dtmFileDateInfo(CONCATENATE([1]!AddBackslash(DLLServices2_Test_Stand_Progrm_Directory),$A5))</f>
        <v>42950.934675925928</v>
      </c>
      <c r="C5" s="211">
        <f>[1]!lngFileSize(CONCATENATE([1]!AddBackslash(DLLServices2_Test_Stand_Progrm_Directory),$A5))</f>
        <v>7581</v>
      </c>
      <c r="D5" s="205" t="s">
        <v>1380</v>
      </c>
      <c r="E5" s="205"/>
      <c r="F5" s="213" t="s">
        <v>1381</v>
      </c>
      <c r="G5" s="204" t="s">
        <v>1374</v>
      </c>
      <c r="H5" s="204" t="s">
        <v>1136</v>
      </c>
      <c r="I5" s="205">
        <v>748</v>
      </c>
      <c r="J5" s="215"/>
    </row>
    <row r="6" spans="1:10" x14ac:dyDescent="0.25">
      <c r="A6" s="205" t="s">
        <v>1370</v>
      </c>
      <c r="B6" s="208">
        <f>[1]!dtmFileDateInfo(CONCATENATE([1]!AddBackslash(DLLServices2_Test_Stand_Progrm_Directory),$A6))</f>
        <v>42973.668668981481</v>
      </c>
      <c r="C6" s="211">
        <f>[1]!lngFileSize(CONCATENATE([1]!AddBackslash(DLLServices2_Test_Stand_Progrm_Directory),$A6))</f>
        <v>17090</v>
      </c>
      <c r="D6" s="205" t="s">
        <v>1382</v>
      </c>
      <c r="E6" s="205"/>
      <c r="F6" s="213" t="s">
        <v>1383</v>
      </c>
      <c r="G6" s="205" t="s">
        <v>1374</v>
      </c>
      <c r="H6" s="205" t="s">
        <v>981</v>
      </c>
      <c r="I6" s="205">
        <v>676</v>
      </c>
      <c r="J6" s="216" t="s">
        <v>1384</v>
      </c>
    </row>
    <row r="7" spans="1:10" ht="28.5" x14ac:dyDescent="0.25">
      <c r="A7" s="307" t="s">
        <v>979</v>
      </c>
      <c r="B7" s="310">
        <f>[1]!dtmFileDateInfo(CONCATENATE([1]!AddBackslash(DLLServices2_Test_Stand_Progrm_Directory),$A7))</f>
        <v>42985.984351851854</v>
      </c>
      <c r="C7" s="313">
        <f>[1]!lngFileSize(CONCATENATE([1]!AddBackslash(DLLServices2_Test_Stand_Progrm_Directory),$A7))</f>
        <v>19159</v>
      </c>
      <c r="D7" s="307" t="s">
        <v>1386</v>
      </c>
      <c r="E7" s="205" t="s">
        <v>1387</v>
      </c>
      <c r="F7" s="213"/>
      <c r="G7" s="205"/>
      <c r="H7" s="205"/>
      <c r="I7" s="205"/>
      <c r="J7" s="216" t="s">
        <v>1391</v>
      </c>
    </row>
    <row r="8" spans="1:10" x14ac:dyDescent="0.25">
      <c r="A8" s="308"/>
      <c r="B8" s="311"/>
      <c r="C8" s="314"/>
      <c r="D8" s="308"/>
      <c r="E8" s="205" t="s">
        <v>1388</v>
      </c>
      <c r="F8" s="213"/>
      <c r="G8" s="205"/>
      <c r="H8" s="205"/>
      <c r="I8" s="205"/>
      <c r="J8" s="216"/>
    </row>
    <row r="9" spans="1:10" x14ac:dyDescent="0.25">
      <c r="A9" s="309"/>
      <c r="B9" s="312"/>
      <c r="C9" s="315"/>
      <c r="D9" s="309"/>
      <c r="E9" s="205" t="s">
        <v>1390</v>
      </c>
      <c r="F9" s="213"/>
      <c r="G9" s="205"/>
      <c r="H9" s="205"/>
      <c r="I9" s="205"/>
      <c r="J9" s="216"/>
    </row>
    <row r="10" spans="1:10" x14ac:dyDescent="0.25">
      <c r="A10" s="205" t="s">
        <v>977</v>
      </c>
      <c r="B10" s="208">
        <f>[1]!dtmFileDateInfo(CONCATENATE([1]!AddBackslash(DLLServices2_Test_Stand_Progrm_Directory),$A10))</f>
        <v>42976.773969907408</v>
      </c>
      <c r="C10" s="211">
        <f>[1]!lngFileSize(CONCATENATE([1]!AddBackslash(DLLServices2_Test_Stand_Progrm_Directory),$A10))</f>
        <v>11408</v>
      </c>
      <c r="D10" s="205" t="s">
        <v>1392</v>
      </c>
      <c r="E10" s="205" t="s">
        <v>1393</v>
      </c>
      <c r="F10" s="216" t="s">
        <v>1417</v>
      </c>
      <c r="G10" s="205"/>
      <c r="H10" s="205"/>
      <c r="I10" s="205"/>
      <c r="J10" s="216"/>
    </row>
    <row r="11" spans="1:10" ht="28.5" x14ac:dyDescent="0.25">
      <c r="A11" s="205" t="s">
        <v>975</v>
      </c>
      <c r="B11" s="208">
        <f>[1]!dtmFileDateInfo(CONCATENATE([1]!AddBackslash(DLLServices2_Test_Stand_Progrm_Directory),$A11))</f>
        <v>42973.933935185189</v>
      </c>
      <c r="C11" s="211">
        <f>[1]!lngFileSize(CONCATENATE([1]!AddBackslash(DLLServices2_Test_Stand_Progrm_Directory),$A11))</f>
        <v>18269</v>
      </c>
      <c r="D11" s="205" t="s">
        <v>1394</v>
      </c>
      <c r="E11" s="205" t="s">
        <v>1393</v>
      </c>
      <c r="F11" s="217" t="s">
        <v>1418</v>
      </c>
      <c r="G11" s="205"/>
      <c r="H11" s="205"/>
      <c r="I11" s="205"/>
      <c r="J11" s="216" t="s">
        <v>1395</v>
      </c>
    </row>
    <row r="12" spans="1:10" x14ac:dyDescent="0.25">
      <c r="A12" s="205" t="s">
        <v>436</v>
      </c>
      <c r="B12" s="208">
        <f>[1]!dtmFileDateInfo(CONCATENATE([1]!AddBackslash(DLLServices2_Test_Stand_Progrm_Directory),$A12))</f>
        <v>42995.968090277776</v>
      </c>
      <c r="C12" s="211">
        <f>[1]!lngFileSize(CONCATENATE([1]!AddBackslash(DLLServices2_Test_Stand_Progrm_Directory),$A12))</f>
        <v>95685</v>
      </c>
      <c r="D12" s="205" t="s">
        <v>1396</v>
      </c>
      <c r="E12" s="205" t="s">
        <v>1397</v>
      </c>
      <c r="F12" s="213" t="s">
        <v>1398</v>
      </c>
      <c r="G12" s="205"/>
      <c r="H12" s="205"/>
      <c r="I12" s="205"/>
      <c r="J12" s="216" t="s">
        <v>1399</v>
      </c>
    </row>
    <row r="13" spans="1:10" x14ac:dyDescent="0.25">
      <c r="A13" s="205" t="s">
        <v>496</v>
      </c>
      <c r="B13" s="208">
        <f>[1]!dtmFileDateInfo(CONCATENATE([1]!AddBackslash(DLLServices2_Test_Stand_Progrm_Directory),$A13))</f>
        <v>42988.721446759257</v>
      </c>
      <c r="C13" s="211">
        <f>[1]!lngFileSize(CONCATENATE([1]!AddBackslash(DLLServices2_Test_Stand_Progrm_Directory),$A13))</f>
        <v>63469</v>
      </c>
      <c r="D13" s="205" t="s">
        <v>1400</v>
      </c>
      <c r="E13" s="205" t="s">
        <v>981</v>
      </c>
      <c r="F13" s="213" t="s">
        <v>1401</v>
      </c>
      <c r="G13" s="205"/>
      <c r="H13" s="205"/>
      <c r="I13" s="205"/>
      <c r="J13" s="216" t="s">
        <v>1402</v>
      </c>
    </row>
    <row r="14" spans="1:10" x14ac:dyDescent="0.25">
      <c r="A14" s="307" t="s">
        <v>973</v>
      </c>
      <c r="B14" s="310">
        <f>[1]!dtmFileDateInfo(CONCATENATE([1]!AddBackslash(DLLServices2_Test_Stand_Progrm_Directory),$A14))</f>
        <v>42974.121967592589</v>
      </c>
      <c r="C14" s="313">
        <f>[1]!lngFileSize(CONCATENATE([1]!AddBackslash(DLLServices2_Test_Stand_Progrm_Directory),$A14))</f>
        <v>7095</v>
      </c>
      <c r="D14" s="307" t="s">
        <v>1403</v>
      </c>
      <c r="E14" s="307" t="s">
        <v>1404</v>
      </c>
      <c r="F14" s="213" t="s">
        <v>1406</v>
      </c>
      <c r="G14" s="205" t="s">
        <v>977</v>
      </c>
      <c r="H14" s="205" t="s">
        <v>1393</v>
      </c>
      <c r="I14" s="205">
        <v>159</v>
      </c>
      <c r="J14" s="304" t="s">
        <v>1405</v>
      </c>
    </row>
    <row r="15" spans="1:10" x14ac:dyDescent="0.25">
      <c r="A15" s="308"/>
      <c r="B15" s="311"/>
      <c r="C15" s="314"/>
      <c r="D15" s="308"/>
      <c r="E15" s="308"/>
      <c r="F15" s="213" t="s">
        <v>1407</v>
      </c>
      <c r="G15" s="205" t="s">
        <v>977</v>
      </c>
      <c r="H15" s="205" t="s">
        <v>1393</v>
      </c>
      <c r="I15" s="205">
        <v>160</v>
      </c>
      <c r="J15" s="305"/>
    </row>
    <row r="16" spans="1:10" x14ac:dyDescent="0.25">
      <c r="A16" s="308"/>
      <c r="B16" s="311"/>
      <c r="C16" s="314"/>
      <c r="D16" s="308"/>
      <c r="E16" s="308"/>
      <c r="F16" s="213" t="s">
        <v>1408</v>
      </c>
      <c r="G16" s="205" t="s">
        <v>977</v>
      </c>
      <c r="H16" s="205" t="s">
        <v>1393</v>
      </c>
      <c r="I16" s="205">
        <v>161</v>
      </c>
      <c r="J16" s="306"/>
    </row>
    <row r="17" spans="1:10" ht="28.5" x14ac:dyDescent="0.25">
      <c r="A17" s="308"/>
      <c r="B17" s="311"/>
      <c r="C17" s="314"/>
      <c r="D17" s="308"/>
      <c r="E17" s="308"/>
      <c r="F17" s="213" t="s">
        <v>1409</v>
      </c>
      <c r="G17" s="205" t="s">
        <v>977</v>
      </c>
      <c r="H17" s="205" t="s">
        <v>1393</v>
      </c>
      <c r="I17" s="205">
        <v>168</v>
      </c>
      <c r="J17" s="216" t="s">
        <v>1414</v>
      </c>
    </row>
    <row r="18" spans="1:10" x14ac:dyDescent="0.25">
      <c r="A18" s="308"/>
      <c r="B18" s="311"/>
      <c r="C18" s="314"/>
      <c r="D18" s="308"/>
      <c r="E18" s="308"/>
      <c r="F18" s="213" t="s">
        <v>1410</v>
      </c>
      <c r="G18" s="205" t="s">
        <v>977</v>
      </c>
      <c r="H18" s="205" t="s">
        <v>1411</v>
      </c>
      <c r="I18" s="205">
        <v>293</v>
      </c>
      <c r="J18" s="216" t="s">
        <v>1415</v>
      </c>
    </row>
    <row r="19" spans="1:10" x14ac:dyDescent="0.25">
      <c r="A19" s="308"/>
      <c r="B19" s="311"/>
      <c r="C19" s="314"/>
      <c r="D19" s="308"/>
      <c r="E19" s="308"/>
      <c r="F19" s="213" t="s">
        <v>1412</v>
      </c>
      <c r="G19" s="205" t="s">
        <v>977</v>
      </c>
      <c r="H19" s="205" t="s">
        <v>1411</v>
      </c>
      <c r="I19" s="205">
        <v>312</v>
      </c>
      <c r="J19" s="304" t="s">
        <v>1416</v>
      </c>
    </row>
    <row r="20" spans="1:10" x14ac:dyDescent="0.25">
      <c r="A20" s="309"/>
      <c r="B20" s="312"/>
      <c r="C20" s="315"/>
      <c r="D20" s="309"/>
      <c r="E20" s="309"/>
      <c r="F20" s="213" t="s">
        <v>1413</v>
      </c>
      <c r="G20" s="205" t="s">
        <v>977</v>
      </c>
      <c r="H20" s="205" t="s">
        <v>1411</v>
      </c>
      <c r="I20" s="205">
        <v>359</v>
      </c>
      <c r="J20" s="306"/>
    </row>
  </sheetData>
  <mergeCells count="13">
    <mergeCell ref="A2:A3"/>
    <mergeCell ref="D2:D3"/>
    <mergeCell ref="A7:A9"/>
    <mergeCell ref="B7:B9"/>
    <mergeCell ref="C7:C9"/>
    <mergeCell ref="D7:D9"/>
    <mergeCell ref="J14:J16"/>
    <mergeCell ref="J19:J20"/>
    <mergeCell ref="A14:A20"/>
    <mergeCell ref="B14:B20"/>
    <mergeCell ref="C14:C20"/>
    <mergeCell ref="D14:D20"/>
    <mergeCell ref="E14:E20"/>
  </mergeCells>
  <pageMargins left="0.7" right="0.7" top="0.75" bottom="0.75" header="0.3" footer="0.3"/>
  <pageSetup orientation="portrait" horizontalDpi="0" verticalDpi="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D197"/>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16.75" bestFit="1" customWidth="1"/>
    <col min="2" max="2" width="16.75" customWidth="1"/>
    <col min="3" max="3" width="91.75" bestFit="1" customWidth="1"/>
    <col min="4" max="4" width="45.625" bestFit="1" customWidth="1"/>
  </cols>
  <sheetData>
    <row r="1" spans="1:4" ht="15.75" thickBot="1" x14ac:dyDescent="0.3">
      <c r="A1" s="253" t="s">
        <v>1733</v>
      </c>
      <c r="B1" s="253" t="s">
        <v>715</v>
      </c>
      <c r="C1" s="253" t="s">
        <v>732</v>
      </c>
      <c r="D1" s="253" t="s">
        <v>1734</v>
      </c>
    </row>
    <row r="2" spans="1:4" ht="15.75" thickBot="1" x14ac:dyDescent="0.3">
      <c r="A2" s="254" t="s">
        <v>1735</v>
      </c>
      <c r="B2" s="254">
        <f>LEN(A2)</f>
        <v>1</v>
      </c>
      <c r="C2" s="255" t="s">
        <v>1736</v>
      </c>
      <c r="D2" s="254" t="str">
        <f>CONCATENATE("DisplayKeys ( Keys.",A2,",twKeysInfo);")</f>
        <v>DisplayKeys ( Keys.A,twKeysInfo);</v>
      </c>
    </row>
    <row r="3" spans="1:4" ht="15.75" thickBot="1" x14ac:dyDescent="0.3">
      <c r="A3" s="254" t="s">
        <v>1737</v>
      </c>
      <c r="B3" s="254">
        <f t="shared" ref="B3:B66" si="0">LEN(A3)</f>
        <v>3</v>
      </c>
      <c r="C3" s="255" t="s">
        <v>1738</v>
      </c>
      <c r="D3" s="254" t="str">
        <f t="shared" ref="D3:D66" si="1">CONCATENATE("DisplayKeys ( Keys.",A3,",twKeysInfo);")</f>
        <v>DisplayKeys ( Keys.Add,twKeysInfo);</v>
      </c>
    </row>
    <row r="4" spans="1:4" ht="15.75" thickBot="1" x14ac:dyDescent="0.3">
      <c r="A4" s="254" t="s">
        <v>1739</v>
      </c>
      <c r="B4" s="254">
        <f t="shared" si="0"/>
        <v>3</v>
      </c>
      <c r="C4" s="255" t="s">
        <v>1740</v>
      </c>
      <c r="D4" s="254" t="str">
        <f t="shared" si="1"/>
        <v>DisplayKeys ( Keys.Alt,twKeysInfo);</v>
      </c>
    </row>
    <row r="5" spans="1:4" ht="15.75" thickBot="1" x14ac:dyDescent="0.3">
      <c r="A5" s="254" t="s">
        <v>1741</v>
      </c>
      <c r="B5" s="254">
        <f t="shared" si="0"/>
        <v>4</v>
      </c>
      <c r="C5" s="255" t="s">
        <v>1742</v>
      </c>
      <c r="D5" s="254" t="str">
        <f t="shared" si="1"/>
        <v>DisplayKeys ( Keys.Apps,twKeysInfo);</v>
      </c>
    </row>
    <row r="6" spans="1:4" ht="15.75" thickBot="1" x14ac:dyDescent="0.3">
      <c r="A6" s="254" t="s">
        <v>1743</v>
      </c>
      <c r="B6" s="254">
        <f t="shared" si="0"/>
        <v>4</v>
      </c>
      <c r="C6" s="255" t="s">
        <v>1744</v>
      </c>
      <c r="D6" s="254" t="str">
        <f t="shared" si="1"/>
        <v>DisplayKeys ( Keys.Attn,twKeysInfo);</v>
      </c>
    </row>
    <row r="7" spans="1:4" ht="15.75" thickBot="1" x14ac:dyDescent="0.3">
      <c r="A7" s="254" t="s">
        <v>1745</v>
      </c>
      <c r="B7" s="254">
        <f t="shared" si="0"/>
        <v>1</v>
      </c>
      <c r="C7" s="255" t="s">
        <v>1746</v>
      </c>
      <c r="D7" s="254" t="str">
        <f t="shared" si="1"/>
        <v>DisplayKeys ( Keys.B,twKeysInfo);</v>
      </c>
    </row>
    <row r="8" spans="1:4" ht="15.75" thickBot="1" x14ac:dyDescent="0.3">
      <c r="A8" s="254" t="s">
        <v>1747</v>
      </c>
      <c r="B8" s="254">
        <f t="shared" si="0"/>
        <v>4</v>
      </c>
      <c r="C8" s="255" t="s">
        <v>1748</v>
      </c>
      <c r="D8" s="254" t="str">
        <f t="shared" si="1"/>
        <v>DisplayKeys ( Keys.Back,twKeysInfo);</v>
      </c>
    </row>
    <row r="9" spans="1:4" ht="15.75" thickBot="1" x14ac:dyDescent="0.3">
      <c r="A9" s="254" t="s">
        <v>1749</v>
      </c>
      <c r="B9" s="254">
        <f t="shared" si="0"/>
        <v>11</v>
      </c>
      <c r="C9" s="255" t="s">
        <v>1750</v>
      </c>
      <c r="D9" s="254" t="str">
        <f t="shared" si="1"/>
        <v>DisplayKeys ( Keys.BrowserBack,twKeysInfo);</v>
      </c>
    </row>
    <row r="10" spans="1:4" ht="15.75" thickBot="1" x14ac:dyDescent="0.3">
      <c r="A10" s="254" t="s">
        <v>1751</v>
      </c>
      <c r="B10" s="254">
        <f t="shared" si="0"/>
        <v>16</v>
      </c>
      <c r="C10" s="255" t="s">
        <v>1752</v>
      </c>
      <c r="D10" s="254" t="str">
        <f t="shared" si="1"/>
        <v>DisplayKeys ( Keys.BrowserFavorites,twKeysInfo);</v>
      </c>
    </row>
    <row r="11" spans="1:4" ht="15.75" thickBot="1" x14ac:dyDescent="0.3">
      <c r="A11" s="254" t="s">
        <v>1753</v>
      </c>
      <c r="B11" s="254">
        <f t="shared" si="0"/>
        <v>14</v>
      </c>
      <c r="C11" s="255" t="s">
        <v>1754</v>
      </c>
      <c r="D11" s="254" t="str">
        <f t="shared" si="1"/>
        <v>DisplayKeys ( Keys.BrowserForward,twKeysInfo);</v>
      </c>
    </row>
    <row r="12" spans="1:4" ht="15.75" thickBot="1" x14ac:dyDescent="0.3">
      <c r="A12" s="254" t="s">
        <v>1755</v>
      </c>
      <c r="B12" s="254">
        <f t="shared" si="0"/>
        <v>11</v>
      </c>
      <c r="C12" s="255" t="s">
        <v>1756</v>
      </c>
      <c r="D12" s="254" t="str">
        <f t="shared" si="1"/>
        <v>DisplayKeys ( Keys.BrowserHome,twKeysInfo);</v>
      </c>
    </row>
    <row r="13" spans="1:4" ht="15.75" thickBot="1" x14ac:dyDescent="0.3">
      <c r="A13" s="254" t="s">
        <v>1757</v>
      </c>
      <c r="B13" s="254">
        <f t="shared" si="0"/>
        <v>14</v>
      </c>
      <c r="C13" s="255" t="s">
        <v>1758</v>
      </c>
      <c r="D13" s="254" t="str">
        <f t="shared" si="1"/>
        <v>DisplayKeys ( Keys.BrowserRefresh,twKeysInfo);</v>
      </c>
    </row>
    <row r="14" spans="1:4" ht="15.75" thickBot="1" x14ac:dyDescent="0.3">
      <c r="A14" s="254" t="s">
        <v>1759</v>
      </c>
      <c r="B14" s="254">
        <f t="shared" si="0"/>
        <v>13</v>
      </c>
      <c r="C14" s="255" t="s">
        <v>1760</v>
      </c>
      <c r="D14" s="254" t="str">
        <f t="shared" si="1"/>
        <v>DisplayKeys ( Keys.BrowserSearch,twKeysInfo);</v>
      </c>
    </row>
    <row r="15" spans="1:4" ht="15.75" thickBot="1" x14ac:dyDescent="0.3">
      <c r="A15" s="254" t="s">
        <v>1761</v>
      </c>
      <c r="B15" s="254">
        <f t="shared" si="0"/>
        <v>11</v>
      </c>
      <c r="C15" s="255" t="s">
        <v>1762</v>
      </c>
      <c r="D15" s="254" t="str">
        <f t="shared" si="1"/>
        <v>DisplayKeys ( Keys.BrowserStop,twKeysInfo);</v>
      </c>
    </row>
    <row r="16" spans="1:4" ht="15.75" thickBot="1" x14ac:dyDescent="0.3">
      <c r="A16" s="254" t="s">
        <v>1763</v>
      </c>
      <c r="B16" s="254">
        <f t="shared" si="0"/>
        <v>1</v>
      </c>
      <c r="C16" s="255" t="s">
        <v>1764</v>
      </c>
      <c r="D16" s="254" t="str">
        <f t="shared" si="1"/>
        <v>DisplayKeys ( Keys.C,twKeysInfo);</v>
      </c>
    </row>
    <row r="17" spans="1:4" ht="15.75" thickBot="1" x14ac:dyDescent="0.3">
      <c r="A17" s="254" t="s">
        <v>1765</v>
      </c>
      <c r="B17" s="254">
        <f t="shared" si="0"/>
        <v>6</v>
      </c>
      <c r="C17" s="255" t="s">
        <v>1766</v>
      </c>
      <c r="D17" s="254" t="str">
        <f t="shared" si="1"/>
        <v>DisplayKeys ( Keys.Cancel,twKeysInfo);</v>
      </c>
    </row>
    <row r="18" spans="1:4" ht="15.75" thickBot="1" x14ac:dyDescent="0.3">
      <c r="A18" s="254" t="s">
        <v>1767</v>
      </c>
      <c r="B18" s="254">
        <f t="shared" si="0"/>
        <v>7</v>
      </c>
      <c r="C18" s="255" t="s">
        <v>1768</v>
      </c>
      <c r="D18" s="254" t="str">
        <f t="shared" si="1"/>
        <v>DisplayKeys ( Keys.Capital,twKeysInfo);</v>
      </c>
    </row>
    <row r="19" spans="1:4" ht="15.75" thickBot="1" x14ac:dyDescent="0.3">
      <c r="A19" s="254" t="s">
        <v>1769</v>
      </c>
      <c r="B19" s="254">
        <f t="shared" si="0"/>
        <v>8</v>
      </c>
      <c r="C19" s="255" t="s">
        <v>1768</v>
      </c>
      <c r="D19" s="254" t="str">
        <f t="shared" si="1"/>
        <v>DisplayKeys ( Keys.CapsLock,twKeysInfo);</v>
      </c>
    </row>
    <row r="20" spans="1:4" ht="15.75" thickBot="1" x14ac:dyDescent="0.3">
      <c r="A20" s="254" t="s">
        <v>1770</v>
      </c>
      <c r="B20" s="254">
        <f t="shared" si="0"/>
        <v>5</v>
      </c>
      <c r="C20" s="255" t="s">
        <v>1771</v>
      </c>
      <c r="D20" s="254" t="str">
        <f t="shared" si="1"/>
        <v>DisplayKeys ( Keys.Clear,twKeysInfo);</v>
      </c>
    </row>
    <row r="21" spans="1:4" ht="15.75" thickBot="1" x14ac:dyDescent="0.3">
      <c r="A21" s="254" t="s">
        <v>1772</v>
      </c>
      <c r="B21" s="254">
        <f t="shared" si="0"/>
        <v>7</v>
      </c>
      <c r="C21" s="255" t="s">
        <v>1773</v>
      </c>
      <c r="D21" s="254" t="str">
        <f t="shared" si="1"/>
        <v>DisplayKeys ( Keys.Control,twKeysInfo);</v>
      </c>
    </row>
    <row r="22" spans="1:4" ht="15.75" thickBot="1" x14ac:dyDescent="0.3">
      <c r="A22" s="254" t="s">
        <v>1774</v>
      </c>
      <c r="B22" s="254">
        <f t="shared" si="0"/>
        <v>10</v>
      </c>
      <c r="C22" s="255" t="s">
        <v>1775</v>
      </c>
      <c r="D22" s="254" t="str">
        <f t="shared" si="1"/>
        <v>DisplayKeys ( Keys.ControlKey,twKeysInfo);</v>
      </c>
    </row>
    <row r="23" spans="1:4" ht="15.75" thickBot="1" x14ac:dyDescent="0.3">
      <c r="A23" s="254" t="s">
        <v>1776</v>
      </c>
      <c r="B23" s="254">
        <f t="shared" si="0"/>
        <v>5</v>
      </c>
      <c r="C23" s="255" t="s">
        <v>1777</v>
      </c>
      <c r="D23" s="254" t="str">
        <f t="shared" si="1"/>
        <v>DisplayKeys ( Keys.Crsel,twKeysInfo);</v>
      </c>
    </row>
    <row r="24" spans="1:4" ht="15.75" thickBot="1" x14ac:dyDescent="0.3">
      <c r="A24" s="254" t="s">
        <v>1778</v>
      </c>
      <c r="B24" s="254">
        <f t="shared" si="0"/>
        <v>1</v>
      </c>
      <c r="C24" s="255" t="s">
        <v>1779</v>
      </c>
      <c r="D24" s="254" t="str">
        <f t="shared" si="1"/>
        <v>DisplayKeys ( Keys.D,twKeysInfo);</v>
      </c>
    </row>
    <row r="25" spans="1:4" ht="15.75" thickBot="1" x14ac:dyDescent="0.3">
      <c r="A25" s="254" t="s">
        <v>1780</v>
      </c>
      <c r="B25" s="254">
        <f t="shared" si="0"/>
        <v>2</v>
      </c>
      <c r="C25" s="255" t="s">
        <v>1781</v>
      </c>
      <c r="D25" s="254" t="str">
        <f t="shared" si="1"/>
        <v>DisplayKeys ( Keys.D0,twKeysInfo);</v>
      </c>
    </row>
    <row r="26" spans="1:4" ht="15.75" thickBot="1" x14ac:dyDescent="0.3">
      <c r="A26" s="254" t="s">
        <v>1782</v>
      </c>
      <c r="B26" s="254">
        <f t="shared" si="0"/>
        <v>2</v>
      </c>
      <c r="C26" s="255" t="s">
        <v>1783</v>
      </c>
      <c r="D26" s="254" t="str">
        <f t="shared" si="1"/>
        <v>DisplayKeys ( Keys.D1,twKeysInfo);</v>
      </c>
    </row>
    <row r="27" spans="1:4" ht="15.75" thickBot="1" x14ac:dyDescent="0.3">
      <c r="A27" s="254" t="s">
        <v>1784</v>
      </c>
      <c r="B27" s="254">
        <f t="shared" si="0"/>
        <v>2</v>
      </c>
      <c r="C27" s="255" t="s">
        <v>1785</v>
      </c>
      <c r="D27" s="254" t="str">
        <f t="shared" si="1"/>
        <v>DisplayKeys ( Keys.D2,twKeysInfo);</v>
      </c>
    </row>
    <row r="28" spans="1:4" ht="15.75" thickBot="1" x14ac:dyDescent="0.3">
      <c r="A28" s="254" t="s">
        <v>1786</v>
      </c>
      <c r="B28" s="254">
        <f t="shared" si="0"/>
        <v>2</v>
      </c>
      <c r="C28" s="255" t="s">
        <v>1787</v>
      </c>
      <c r="D28" s="254" t="str">
        <f t="shared" si="1"/>
        <v>DisplayKeys ( Keys.D3,twKeysInfo);</v>
      </c>
    </row>
    <row r="29" spans="1:4" ht="15.75" thickBot="1" x14ac:dyDescent="0.3">
      <c r="A29" s="254" t="s">
        <v>1788</v>
      </c>
      <c r="B29" s="254">
        <f t="shared" si="0"/>
        <v>2</v>
      </c>
      <c r="C29" s="255" t="s">
        <v>1789</v>
      </c>
      <c r="D29" s="254" t="str">
        <f t="shared" si="1"/>
        <v>DisplayKeys ( Keys.D4,twKeysInfo);</v>
      </c>
    </row>
    <row r="30" spans="1:4" ht="15.75" thickBot="1" x14ac:dyDescent="0.3">
      <c r="A30" s="254" t="s">
        <v>1790</v>
      </c>
      <c r="B30" s="254">
        <f t="shared" si="0"/>
        <v>2</v>
      </c>
      <c r="C30" s="255" t="s">
        <v>1791</v>
      </c>
      <c r="D30" s="254" t="str">
        <f t="shared" si="1"/>
        <v>DisplayKeys ( Keys.D5,twKeysInfo);</v>
      </c>
    </row>
    <row r="31" spans="1:4" ht="15.75" thickBot="1" x14ac:dyDescent="0.3">
      <c r="A31" s="254" t="s">
        <v>1792</v>
      </c>
      <c r="B31" s="254">
        <f t="shared" si="0"/>
        <v>2</v>
      </c>
      <c r="C31" s="255" t="s">
        <v>1793</v>
      </c>
      <c r="D31" s="254" t="str">
        <f t="shared" si="1"/>
        <v>DisplayKeys ( Keys.D6,twKeysInfo);</v>
      </c>
    </row>
    <row r="32" spans="1:4" ht="15.75" thickBot="1" x14ac:dyDescent="0.3">
      <c r="A32" s="254" t="s">
        <v>1794</v>
      </c>
      <c r="B32" s="254">
        <f t="shared" si="0"/>
        <v>2</v>
      </c>
      <c r="C32" s="255" t="s">
        <v>1795</v>
      </c>
      <c r="D32" s="254" t="str">
        <f t="shared" si="1"/>
        <v>DisplayKeys ( Keys.D7,twKeysInfo);</v>
      </c>
    </row>
    <row r="33" spans="1:4" ht="15.75" thickBot="1" x14ac:dyDescent="0.3">
      <c r="A33" s="254" t="s">
        <v>1796</v>
      </c>
      <c r="B33" s="254">
        <f t="shared" si="0"/>
        <v>2</v>
      </c>
      <c r="C33" s="255" t="s">
        <v>1797</v>
      </c>
      <c r="D33" s="254" t="str">
        <f t="shared" si="1"/>
        <v>DisplayKeys ( Keys.D8,twKeysInfo);</v>
      </c>
    </row>
    <row r="34" spans="1:4" ht="15.75" thickBot="1" x14ac:dyDescent="0.3">
      <c r="A34" s="254" t="s">
        <v>1798</v>
      </c>
      <c r="B34" s="254">
        <f t="shared" si="0"/>
        <v>2</v>
      </c>
      <c r="C34" s="255" t="s">
        <v>1799</v>
      </c>
      <c r="D34" s="254" t="str">
        <f t="shared" si="1"/>
        <v>DisplayKeys ( Keys.D9,twKeysInfo);</v>
      </c>
    </row>
    <row r="35" spans="1:4" ht="15.75" thickBot="1" x14ac:dyDescent="0.3">
      <c r="A35" s="254" t="s">
        <v>1800</v>
      </c>
      <c r="B35" s="254">
        <f t="shared" si="0"/>
        <v>7</v>
      </c>
      <c r="C35" s="255" t="s">
        <v>1801</v>
      </c>
      <c r="D35" s="254" t="str">
        <f t="shared" si="1"/>
        <v>DisplayKeys ( Keys.Decimal,twKeysInfo);</v>
      </c>
    </row>
    <row r="36" spans="1:4" ht="15.75" thickBot="1" x14ac:dyDescent="0.3">
      <c r="A36" s="254" t="s">
        <v>1802</v>
      </c>
      <c r="B36" s="254">
        <f t="shared" si="0"/>
        <v>6</v>
      </c>
      <c r="C36" s="255" t="s">
        <v>1803</v>
      </c>
      <c r="D36" s="254" t="str">
        <f t="shared" si="1"/>
        <v>DisplayKeys ( Keys.Delete,twKeysInfo);</v>
      </c>
    </row>
    <row r="37" spans="1:4" ht="15.75" thickBot="1" x14ac:dyDescent="0.3">
      <c r="A37" s="254" t="s">
        <v>1804</v>
      </c>
      <c r="B37" s="254">
        <f t="shared" si="0"/>
        <v>6</v>
      </c>
      <c r="C37" s="255" t="s">
        <v>1805</v>
      </c>
      <c r="D37" s="254" t="str">
        <f t="shared" si="1"/>
        <v>DisplayKeys ( Keys.Divide,twKeysInfo);</v>
      </c>
    </row>
    <row r="38" spans="1:4" ht="15.75" thickBot="1" x14ac:dyDescent="0.3">
      <c r="A38" s="254" t="s">
        <v>1806</v>
      </c>
      <c r="B38" s="254">
        <f t="shared" si="0"/>
        <v>4</v>
      </c>
      <c r="C38" s="255" t="s">
        <v>1807</v>
      </c>
      <c r="D38" s="254" t="str">
        <f t="shared" si="1"/>
        <v>DisplayKeys ( Keys.Down,twKeysInfo);</v>
      </c>
    </row>
    <row r="39" spans="1:4" ht="15.75" thickBot="1" x14ac:dyDescent="0.3">
      <c r="A39" s="254" t="s">
        <v>1808</v>
      </c>
      <c r="B39" s="254">
        <f t="shared" si="0"/>
        <v>1</v>
      </c>
      <c r="C39" s="255" t="s">
        <v>1809</v>
      </c>
      <c r="D39" s="254" t="str">
        <f t="shared" si="1"/>
        <v>DisplayKeys ( Keys.E,twKeysInfo);</v>
      </c>
    </row>
    <row r="40" spans="1:4" ht="15.75" thickBot="1" x14ac:dyDescent="0.3">
      <c r="A40" s="254" t="s">
        <v>1810</v>
      </c>
      <c r="B40" s="254">
        <f t="shared" si="0"/>
        <v>3</v>
      </c>
      <c r="C40" s="255" t="s">
        <v>1811</v>
      </c>
      <c r="D40" s="254" t="str">
        <f t="shared" si="1"/>
        <v>DisplayKeys ( Keys.End,twKeysInfo);</v>
      </c>
    </row>
    <row r="41" spans="1:4" ht="15.75" thickBot="1" x14ac:dyDescent="0.3">
      <c r="A41" s="254" t="s">
        <v>1812</v>
      </c>
      <c r="B41" s="254">
        <f t="shared" si="0"/>
        <v>5</v>
      </c>
      <c r="C41" s="255" t="s">
        <v>1813</v>
      </c>
      <c r="D41" s="254" t="str">
        <f t="shared" si="1"/>
        <v>DisplayKeys ( Keys.Enter,twKeysInfo);</v>
      </c>
    </row>
    <row r="42" spans="1:4" ht="15.75" thickBot="1" x14ac:dyDescent="0.3">
      <c r="A42" s="254" t="s">
        <v>1814</v>
      </c>
      <c r="B42" s="254">
        <f t="shared" si="0"/>
        <v>8</v>
      </c>
      <c r="C42" s="255" t="s">
        <v>1815</v>
      </c>
      <c r="D42" s="254" t="str">
        <f t="shared" si="1"/>
        <v>DisplayKeys ( Keys.EraseEof,twKeysInfo);</v>
      </c>
    </row>
    <row r="43" spans="1:4" ht="15.75" thickBot="1" x14ac:dyDescent="0.3">
      <c r="A43" s="254" t="s">
        <v>1816</v>
      </c>
      <c r="B43" s="254">
        <f t="shared" si="0"/>
        <v>6</v>
      </c>
      <c r="C43" s="255" t="s">
        <v>1817</v>
      </c>
      <c r="D43" s="254" t="str">
        <f t="shared" si="1"/>
        <v>DisplayKeys ( Keys.Escape,twKeysInfo);</v>
      </c>
    </row>
    <row r="44" spans="1:4" ht="15.75" thickBot="1" x14ac:dyDescent="0.3">
      <c r="A44" s="254" t="s">
        <v>1818</v>
      </c>
      <c r="B44" s="254">
        <f t="shared" si="0"/>
        <v>7</v>
      </c>
      <c r="C44" s="255" t="s">
        <v>1819</v>
      </c>
      <c r="D44" s="254" t="str">
        <f t="shared" si="1"/>
        <v>DisplayKeys ( Keys.Execute,twKeysInfo);</v>
      </c>
    </row>
    <row r="45" spans="1:4" ht="15.75" thickBot="1" x14ac:dyDescent="0.3">
      <c r="A45" s="254" t="s">
        <v>1820</v>
      </c>
      <c r="B45" s="254">
        <f t="shared" si="0"/>
        <v>5</v>
      </c>
      <c r="C45" s="255" t="s">
        <v>1821</v>
      </c>
      <c r="D45" s="254" t="str">
        <f t="shared" si="1"/>
        <v>DisplayKeys ( Keys.Exsel,twKeysInfo);</v>
      </c>
    </row>
    <row r="46" spans="1:4" ht="15.75" thickBot="1" x14ac:dyDescent="0.3">
      <c r="A46" s="254" t="s">
        <v>1822</v>
      </c>
      <c r="B46" s="254">
        <f t="shared" si="0"/>
        <v>1</v>
      </c>
      <c r="C46" s="255" t="s">
        <v>1823</v>
      </c>
      <c r="D46" s="254" t="str">
        <f t="shared" si="1"/>
        <v>DisplayKeys ( Keys.F,twKeysInfo);</v>
      </c>
    </row>
    <row r="47" spans="1:4" ht="15.75" thickBot="1" x14ac:dyDescent="0.3">
      <c r="A47" s="254" t="s">
        <v>1824</v>
      </c>
      <c r="B47" s="254">
        <f t="shared" si="0"/>
        <v>2</v>
      </c>
      <c r="C47" s="255" t="s">
        <v>1825</v>
      </c>
      <c r="D47" s="254" t="str">
        <f t="shared" si="1"/>
        <v>DisplayKeys ( Keys.F1,twKeysInfo);</v>
      </c>
    </row>
    <row r="48" spans="1:4" ht="15.75" thickBot="1" x14ac:dyDescent="0.3">
      <c r="A48" s="254" t="s">
        <v>1826</v>
      </c>
      <c r="B48" s="254">
        <f t="shared" si="0"/>
        <v>3</v>
      </c>
      <c r="C48" s="255" t="s">
        <v>1827</v>
      </c>
      <c r="D48" s="254" t="str">
        <f t="shared" si="1"/>
        <v>DisplayKeys ( Keys.F10,twKeysInfo);</v>
      </c>
    </row>
    <row r="49" spans="1:4" ht="15.75" thickBot="1" x14ac:dyDescent="0.3">
      <c r="A49" s="254" t="s">
        <v>1828</v>
      </c>
      <c r="B49" s="254">
        <f t="shared" si="0"/>
        <v>3</v>
      </c>
      <c r="C49" s="255" t="s">
        <v>1829</v>
      </c>
      <c r="D49" s="254" t="str">
        <f t="shared" si="1"/>
        <v>DisplayKeys ( Keys.F11,twKeysInfo);</v>
      </c>
    </row>
    <row r="50" spans="1:4" ht="15.75" thickBot="1" x14ac:dyDescent="0.3">
      <c r="A50" s="254" t="s">
        <v>1830</v>
      </c>
      <c r="B50" s="254">
        <f t="shared" si="0"/>
        <v>3</v>
      </c>
      <c r="C50" s="255" t="s">
        <v>1831</v>
      </c>
      <c r="D50" s="254" t="str">
        <f t="shared" si="1"/>
        <v>DisplayKeys ( Keys.F12,twKeysInfo);</v>
      </c>
    </row>
    <row r="51" spans="1:4" ht="15.75" thickBot="1" x14ac:dyDescent="0.3">
      <c r="A51" s="254" t="s">
        <v>1832</v>
      </c>
      <c r="B51" s="254">
        <f t="shared" si="0"/>
        <v>3</v>
      </c>
      <c r="C51" s="255" t="s">
        <v>1833</v>
      </c>
      <c r="D51" s="254" t="str">
        <f t="shared" si="1"/>
        <v>DisplayKeys ( Keys.F13,twKeysInfo);</v>
      </c>
    </row>
    <row r="52" spans="1:4" ht="15.75" thickBot="1" x14ac:dyDescent="0.3">
      <c r="A52" s="254" t="s">
        <v>1834</v>
      </c>
      <c r="B52" s="254">
        <f t="shared" si="0"/>
        <v>3</v>
      </c>
      <c r="C52" s="255" t="s">
        <v>1835</v>
      </c>
      <c r="D52" s="254" t="str">
        <f t="shared" si="1"/>
        <v>DisplayKeys ( Keys.F14,twKeysInfo);</v>
      </c>
    </row>
    <row r="53" spans="1:4" ht="15.75" thickBot="1" x14ac:dyDescent="0.3">
      <c r="A53" s="254" t="s">
        <v>1836</v>
      </c>
      <c r="B53" s="254">
        <f t="shared" si="0"/>
        <v>3</v>
      </c>
      <c r="C53" s="255" t="s">
        <v>1837</v>
      </c>
      <c r="D53" s="254" t="str">
        <f t="shared" si="1"/>
        <v>DisplayKeys ( Keys.F15,twKeysInfo);</v>
      </c>
    </row>
    <row r="54" spans="1:4" ht="15.75" thickBot="1" x14ac:dyDescent="0.3">
      <c r="A54" s="254" t="s">
        <v>1838</v>
      </c>
      <c r="B54" s="254">
        <f t="shared" si="0"/>
        <v>3</v>
      </c>
      <c r="C54" s="255" t="s">
        <v>1839</v>
      </c>
      <c r="D54" s="254" t="str">
        <f t="shared" si="1"/>
        <v>DisplayKeys ( Keys.F16,twKeysInfo);</v>
      </c>
    </row>
    <row r="55" spans="1:4" ht="15.75" thickBot="1" x14ac:dyDescent="0.3">
      <c r="A55" s="254" t="s">
        <v>1840</v>
      </c>
      <c r="B55" s="254">
        <f t="shared" si="0"/>
        <v>3</v>
      </c>
      <c r="C55" s="255" t="s">
        <v>1841</v>
      </c>
      <c r="D55" s="254" t="str">
        <f t="shared" si="1"/>
        <v>DisplayKeys ( Keys.F17,twKeysInfo);</v>
      </c>
    </row>
    <row r="56" spans="1:4" ht="15.75" thickBot="1" x14ac:dyDescent="0.3">
      <c r="A56" s="254" t="s">
        <v>1842</v>
      </c>
      <c r="B56" s="254">
        <f t="shared" si="0"/>
        <v>3</v>
      </c>
      <c r="C56" s="255" t="s">
        <v>1843</v>
      </c>
      <c r="D56" s="254" t="str">
        <f t="shared" si="1"/>
        <v>DisplayKeys ( Keys.F18,twKeysInfo);</v>
      </c>
    </row>
    <row r="57" spans="1:4" ht="15.75" thickBot="1" x14ac:dyDescent="0.3">
      <c r="A57" s="254" t="s">
        <v>1844</v>
      </c>
      <c r="B57" s="254">
        <f t="shared" si="0"/>
        <v>3</v>
      </c>
      <c r="C57" s="255" t="s">
        <v>1845</v>
      </c>
      <c r="D57" s="254" t="str">
        <f t="shared" si="1"/>
        <v>DisplayKeys ( Keys.F19,twKeysInfo);</v>
      </c>
    </row>
    <row r="58" spans="1:4" ht="15.75" thickBot="1" x14ac:dyDescent="0.3">
      <c r="A58" s="254" t="s">
        <v>1846</v>
      </c>
      <c r="B58" s="254">
        <f t="shared" si="0"/>
        <v>2</v>
      </c>
      <c r="C58" s="255" t="s">
        <v>1847</v>
      </c>
      <c r="D58" s="254" t="str">
        <f t="shared" si="1"/>
        <v>DisplayKeys ( Keys.F2,twKeysInfo);</v>
      </c>
    </row>
    <row r="59" spans="1:4" ht="15.75" thickBot="1" x14ac:dyDescent="0.3">
      <c r="A59" s="254" t="s">
        <v>1848</v>
      </c>
      <c r="B59" s="254">
        <f t="shared" si="0"/>
        <v>3</v>
      </c>
      <c r="C59" s="255" t="s">
        <v>1849</v>
      </c>
      <c r="D59" s="254" t="str">
        <f t="shared" si="1"/>
        <v>DisplayKeys ( Keys.F20,twKeysInfo);</v>
      </c>
    </row>
    <row r="60" spans="1:4" ht="15.75" thickBot="1" x14ac:dyDescent="0.3">
      <c r="A60" s="254" t="s">
        <v>1850</v>
      </c>
      <c r="B60" s="254">
        <f t="shared" si="0"/>
        <v>3</v>
      </c>
      <c r="C60" s="255" t="s">
        <v>1851</v>
      </c>
      <c r="D60" s="254" t="str">
        <f t="shared" si="1"/>
        <v>DisplayKeys ( Keys.F21,twKeysInfo);</v>
      </c>
    </row>
    <row r="61" spans="1:4" ht="15.75" thickBot="1" x14ac:dyDescent="0.3">
      <c r="A61" s="254" t="s">
        <v>1852</v>
      </c>
      <c r="B61" s="254">
        <f t="shared" si="0"/>
        <v>3</v>
      </c>
      <c r="C61" s="255" t="s">
        <v>1853</v>
      </c>
      <c r="D61" s="254" t="str">
        <f t="shared" si="1"/>
        <v>DisplayKeys ( Keys.F22,twKeysInfo);</v>
      </c>
    </row>
    <row r="62" spans="1:4" ht="15.75" thickBot="1" x14ac:dyDescent="0.3">
      <c r="A62" s="254" t="s">
        <v>1854</v>
      </c>
      <c r="B62" s="254">
        <f t="shared" si="0"/>
        <v>3</v>
      </c>
      <c r="C62" s="255" t="s">
        <v>1855</v>
      </c>
      <c r="D62" s="254" t="str">
        <f t="shared" si="1"/>
        <v>DisplayKeys ( Keys.F23,twKeysInfo);</v>
      </c>
    </row>
    <row r="63" spans="1:4" ht="15.75" thickBot="1" x14ac:dyDescent="0.3">
      <c r="A63" s="254" t="s">
        <v>1856</v>
      </c>
      <c r="B63" s="254">
        <f t="shared" si="0"/>
        <v>3</v>
      </c>
      <c r="C63" s="255" t="s">
        <v>1857</v>
      </c>
      <c r="D63" s="254" t="str">
        <f t="shared" si="1"/>
        <v>DisplayKeys ( Keys.F24,twKeysInfo);</v>
      </c>
    </row>
    <row r="64" spans="1:4" ht="15.75" thickBot="1" x14ac:dyDescent="0.3">
      <c r="A64" s="254" t="s">
        <v>1858</v>
      </c>
      <c r="B64" s="254">
        <f t="shared" si="0"/>
        <v>2</v>
      </c>
      <c r="C64" s="255" t="s">
        <v>1859</v>
      </c>
      <c r="D64" s="254" t="str">
        <f t="shared" si="1"/>
        <v>DisplayKeys ( Keys.F3,twKeysInfo);</v>
      </c>
    </row>
    <row r="65" spans="1:4" ht="15.75" thickBot="1" x14ac:dyDescent="0.3">
      <c r="A65" s="254" t="s">
        <v>1860</v>
      </c>
      <c r="B65" s="254">
        <f t="shared" si="0"/>
        <v>2</v>
      </c>
      <c r="C65" s="255" t="s">
        <v>1861</v>
      </c>
      <c r="D65" s="254" t="str">
        <f t="shared" si="1"/>
        <v>DisplayKeys ( Keys.F4,twKeysInfo);</v>
      </c>
    </row>
    <row r="66" spans="1:4" ht="15.75" thickBot="1" x14ac:dyDescent="0.3">
      <c r="A66" s="254" t="s">
        <v>1862</v>
      </c>
      <c r="B66" s="254">
        <f t="shared" si="0"/>
        <v>2</v>
      </c>
      <c r="C66" s="255" t="s">
        <v>1863</v>
      </c>
      <c r="D66" s="254" t="str">
        <f t="shared" si="1"/>
        <v>DisplayKeys ( Keys.F5,twKeysInfo);</v>
      </c>
    </row>
    <row r="67" spans="1:4" ht="15.75" thickBot="1" x14ac:dyDescent="0.3">
      <c r="A67" s="254" t="s">
        <v>1864</v>
      </c>
      <c r="B67" s="254">
        <f t="shared" ref="B67:B130" si="2">LEN(A67)</f>
        <v>2</v>
      </c>
      <c r="C67" s="255" t="s">
        <v>1865</v>
      </c>
      <c r="D67" s="254" t="str">
        <f t="shared" ref="D67:D130" si="3">CONCATENATE("DisplayKeys ( Keys.",A67,",twKeysInfo);")</f>
        <v>DisplayKeys ( Keys.F6,twKeysInfo);</v>
      </c>
    </row>
    <row r="68" spans="1:4" ht="15.75" thickBot="1" x14ac:dyDescent="0.3">
      <c r="A68" s="254" t="s">
        <v>1866</v>
      </c>
      <c r="B68" s="254">
        <f t="shared" si="2"/>
        <v>2</v>
      </c>
      <c r="C68" s="255" t="s">
        <v>1867</v>
      </c>
      <c r="D68" s="254" t="str">
        <f t="shared" si="3"/>
        <v>DisplayKeys ( Keys.F7,twKeysInfo);</v>
      </c>
    </row>
    <row r="69" spans="1:4" ht="15.75" thickBot="1" x14ac:dyDescent="0.3">
      <c r="A69" s="254" t="s">
        <v>1868</v>
      </c>
      <c r="B69" s="254">
        <f t="shared" si="2"/>
        <v>2</v>
      </c>
      <c r="C69" s="255" t="s">
        <v>1869</v>
      </c>
      <c r="D69" s="254" t="str">
        <f t="shared" si="3"/>
        <v>DisplayKeys ( Keys.F8,twKeysInfo);</v>
      </c>
    </row>
    <row r="70" spans="1:4" ht="15.75" thickBot="1" x14ac:dyDescent="0.3">
      <c r="A70" s="254" t="s">
        <v>1870</v>
      </c>
      <c r="B70" s="254">
        <f t="shared" si="2"/>
        <v>2</v>
      </c>
      <c r="C70" s="255" t="s">
        <v>1871</v>
      </c>
      <c r="D70" s="254" t="str">
        <f t="shared" si="3"/>
        <v>DisplayKeys ( Keys.F9,twKeysInfo);</v>
      </c>
    </row>
    <row r="71" spans="1:4" ht="15.75" thickBot="1" x14ac:dyDescent="0.3">
      <c r="A71" s="254" t="s">
        <v>1872</v>
      </c>
      <c r="B71" s="254">
        <f t="shared" si="2"/>
        <v>9</v>
      </c>
      <c r="C71" s="255" t="s">
        <v>1873</v>
      </c>
      <c r="D71" s="254" t="str">
        <f t="shared" si="3"/>
        <v>DisplayKeys ( Keys.FinalMode,twKeysInfo);</v>
      </c>
    </row>
    <row r="72" spans="1:4" ht="15.75" thickBot="1" x14ac:dyDescent="0.3">
      <c r="A72" s="254" t="s">
        <v>1874</v>
      </c>
      <c r="B72" s="254">
        <f t="shared" si="2"/>
        <v>1</v>
      </c>
      <c r="C72" s="255" t="s">
        <v>1875</v>
      </c>
      <c r="D72" s="254" t="str">
        <f t="shared" si="3"/>
        <v>DisplayKeys ( Keys.G,twKeysInfo);</v>
      </c>
    </row>
    <row r="73" spans="1:4" ht="15.75" thickBot="1" x14ac:dyDescent="0.3">
      <c r="A73" s="254" t="s">
        <v>1876</v>
      </c>
      <c r="B73" s="254">
        <f t="shared" si="2"/>
        <v>1</v>
      </c>
      <c r="C73" s="255" t="s">
        <v>1877</v>
      </c>
      <c r="D73" s="254" t="str">
        <f t="shared" si="3"/>
        <v>DisplayKeys ( Keys.H,twKeysInfo);</v>
      </c>
    </row>
    <row r="74" spans="1:4" ht="15.75" thickBot="1" x14ac:dyDescent="0.3">
      <c r="A74" s="254" t="s">
        <v>1878</v>
      </c>
      <c r="B74" s="254">
        <f t="shared" si="2"/>
        <v>11</v>
      </c>
      <c r="C74" s="255" t="s">
        <v>1879</v>
      </c>
      <c r="D74" s="254" t="str">
        <f t="shared" si="3"/>
        <v>DisplayKeys ( Keys.HanguelMode,twKeysInfo);</v>
      </c>
    </row>
    <row r="75" spans="1:4" ht="15.75" thickBot="1" x14ac:dyDescent="0.3">
      <c r="A75" s="254" t="s">
        <v>1880</v>
      </c>
      <c r="B75" s="254">
        <f t="shared" si="2"/>
        <v>10</v>
      </c>
      <c r="C75" s="255" t="s">
        <v>1881</v>
      </c>
      <c r="D75" s="254" t="str">
        <f t="shared" si="3"/>
        <v>DisplayKeys ( Keys.HangulMode,twKeysInfo);</v>
      </c>
    </row>
    <row r="76" spans="1:4" ht="15.75" thickBot="1" x14ac:dyDescent="0.3">
      <c r="A76" s="254" t="s">
        <v>1882</v>
      </c>
      <c r="B76" s="254">
        <f t="shared" si="2"/>
        <v>9</v>
      </c>
      <c r="C76" s="255" t="s">
        <v>1883</v>
      </c>
      <c r="D76" s="254" t="str">
        <f t="shared" si="3"/>
        <v>DisplayKeys ( Keys.HanjaMode,twKeysInfo);</v>
      </c>
    </row>
    <row r="77" spans="1:4" ht="15.75" thickBot="1" x14ac:dyDescent="0.3">
      <c r="A77" s="254" t="s">
        <v>1884</v>
      </c>
      <c r="B77" s="254">
        <f t="shared" si="2"/>
        <v>4</v>
      </c>
      <c r="C77" s="255" t="s">
        <v>1885</v>
      </c>
      <c r="D77" s="254" t="str">
        <f t="shared" si="3"/>
        <v>DisplayKeys ( Keys.Help,twKeysInfo);</v>
      </c>
    </row>
    <row r="78" spans="1:4" ht="15.75" thickBot="1" x14ac:dyDescent="0.3">
      <c r="A78" s="254" t="s">
        <v>1886</v>
      </c>
      <c r="B78" s="254">
        <f t="shared" si="2"/>
        <v>4</v>
      </c>
      <c r="C78" s="255" t="s">
        <v>1887</v>
      </c>
      <c r="D78" s="254" t="str">
        <f t="shared" si="3"/>
        <v>DisplayKeys ( Keys.Home,twKeysInfo);</v>
      </c>
    </row>
    <row r="79" spans="1:4" ht="15.75" thickBot="1" x14ac:dyDescent="0.3">
      <c r="A79" s="254" t="s">
        <v>1888</v>
      </c>
      <c r="B79" s="254">
        <f t="shared" si="2"/>
        <v>1</v>
      </c>
      <c r="C79" s="255" t="s">
        <v>1889</v>
      </c>
      <c r="D79" s="254" t="str">
        <f t="shared" si="3"/>
        <v>DisplayKeys ( Keys.I,twKeysInfo);</v>
      </c>
    </row>
    <row r="80" spans="1:4" ht="15.75" thickBot="1" x14ac:dyDescent="0.3">
      <c r="A80" s="254" t="s">
        <v>1890</v>
      </c>
      <c r="B80" s="254">
        <f t="shared" si="2"/>
        <v>9</v>
      </c>
      <c r="C80" s="255" t="s">
        <v>1891</v>
      </c>
      <c r="D80" s="254" t="str">
        <f t="shared" si="3"/>
        <v>DisplayKeys ( Keys.IMEAccept,twKeysInfo);</v>
      </c>
    </row>
    <row r="81" spans="1:4" ht="15.75" thickBot="1" x14ac:dyDescent="0.3">
      <c r="A81" s="254" t="s">
        <v>1892</v>
      </c>
      <c r="B81" s="254">
        <f t="shared" si="2"/>
        <v>9</v>
      </c>
      <c r="C81" s="255" t="s">
        <v>1893</v>
      </c>
      <c r="D81" s="254" t="str">
        <f t="shared" si="3"/>
        <v>DisplayKeys ( Keys.IMEAceept,twKeysInfo);</v>
      </c>
    </row>
    <row r="82" spans="1:4" ht="15.75" thickBot="1" x14ac:dyDescent="0.3">
      <c r="A82" s="254" t="s">
        <v>1894</v>
      </c>
      <c r="B82" s="254">
        <f t="shared" si="2"/>
        <v>10</v>
      </c>
      <c r="C82" s="255" t="s">
        <v>1895</v>
      </c>
      <c r="D82" s="254" t="str">
        <f t="shared" si="3"/>
        <v>DisplayKeys ( Keys.IMEConvert,twKeysInfo);</v>
      </c>
    </row>
    <row r="83" spans="1:4" ht="15.75" thickBot="1" x14ac:dyDescent="0.3">
      <c r="A83" s="254" t="s">
        <v>1896</v>
      </c>
      <c r="B83" s="254">
        <f t="shared" si="2"/>
        <v>13</v>
      </c>
      <c r="C83" s="255" t="s">
        <v>1897</v>
      </c>
      <c r="D83" s="254" t="str">
        <f t="shared" si="3"/>
        <v>DisplayKeys ( Keys.IMEModeChange,twKeysInfo);</v>
      </c>
    </row>
    <row r="84" spans="1:4" ht="15.75" thickBot="1" x14ac:dyDescent="0.3">
      <c r="A84" s="254" t="s">
        <v>1898</v>
      </c>
      <c r="B84" s="254">
        <f t="shared" si="2"/>
        <v>13</v>
      </c>
      <c r="C84" s="255" t="s">
        <v>1899</v>
      </c>
      <c r="D84" s="254" t="str">
        <f t="shared" si="3"/>
        <v>DisplayKeys ( Keys.IMENonconvert,twKeysInfo);</v>
      </c>
    </row>
    <row r="85" spans="1:4" ht="15.75" thickBot="1" x14ac:dyDescent="0.3">
      <c r="A85" s="254" t="s">
        <v>1900</v>
      </c>
      <c r="B85" s="254">
        <f t="shared" si="2"/>
        <v>6</v>
      </c>
      <c r="C85" s="255" t="s">
        <v>1901</v>
      </c>
      <c r="D85" s="254" t="str">
        <f t="shared" si="3"/>
        <v>DisplayKeys ( Keys.Insert,twKeysInfo);</v>
      </c>
    </row>
    <row r="86" spans="1:4" ht="15.75" thickBot="1" x14ac:dyDescent="0.3">
      <c r="A86" s="254" t="s">
        <v>1902</v>
      </c>
      <c r="B86" s="254">
        <f t="shared" si="2"/>
        <v>1</v>
      </c>
      <c r="C86" s="255" t="s">
        <v>1903</v>
      </c>
      <c r="D86" s="254" t="str">
        <f t="shared" si="3"/>
        <v>DisplayKeys ( Keys.J,twKeysInfo);</v>
      </c>
    </row>
    <row r="87" spans="1:4" ht="15.75" thickBot="1" x14ac:dyDescent="0.3">
      <c r="A87" s="254" t="s">
        <v>1904</v>
      </c>
      <c r="B87" s="254">
        <f t="shared" si="2"/>
        <v>9</v>
      </c>
      <c r="C87" s="255" t="s">
        <v>1905</v>
      </c>
      <c r="D87" s="254" t="str">
        <f t="shared" si="3"/>
        <v>DisplayKeys ( Keys.JunjaMode,twKeysInfo);</v>
      </c>
    </row>
    <row r="88" spans="1:4" ht="15.75" thickBot="1" x14ac:dyDescent="0.3">
      <c r="A88" s="254" t="s">
        <v>1906</v>
      </c>
      <c r="B88" s="254">
        <f t="shared" si="2"/>
        <v>1</v>
      </c>
      <c r="C88" s="255" t="s">
        <v>1907</v>
      </c>
      <c r="D88" s="254" t="str">
        <f t="shared" si="3"/>
        <v>DisplayKeys ( Keys.K,twKeysInfo);</v>
      </c>
    </row>
    <row r="89" spans="1:4" ht="15.75" thickBot="1" x14ac:dyDescent="0.3">
      <c r="A89" s="254" t="s">
        <v>1908</v>
      </c>
      <c r="B89" s="254">
        <f t="shared" si="2"/>
        <v>8</v>
      </c>
      <c r="C89" s="255" t="s">
        <v>1909</v>
      </c>
      <c r="D89" s="254" t="str">
        <f t="shared" si="3"/>
        <v>DisplayKeys ( Keys.KanaMode,twKeysInfo);</v>
      </c>
    </row>
    <row r="90" spans="1:4" ht="15.75" thickBot="1" x14ac:dyDescent="0.3">
      <c r="A90" s="254" t="s">
        <v>1910</v>
      </c>
      <c r="B90" s="254">
        <f t="shared" si="2"/>
        <v>9</v>
      </c>
      <c r="C90" s="255" t="s">
        <v>1911</v>
      </c>
      <c r="D90" s="254" t="str">
        <f t="shared" si="3"/>
        <v>DisplayKeys ( Keys.KanjiMode,twKeysInfo);</v>
      </c>
    </row>
    <row r="91" spans="1:4" ht="15.75" thickBot="1" x14ac:dyDescent="0.3">
      <c r="A91" s="254" t="s">
        <v>1912</v>
      </c>
      <c r="B91" s="254">
        <f t="shared" si="2"/>
        <v>7</v>
      </c>
      <c r="C91" s="255" t="s">
        <v>1913</v>
      </c>
      <c r="D91" s="254" t="str">
        <f t="shared" si="3"/>
        <v>DisplayKeys ( Keys.KeyCode,twKeysInfo);</v>
      </c>
    </row>
    <row r="92" spans="1:4" ht="15.75" thickBot="1" x14ac:dyDescent="0.3">
      <c r="A92" s="254" t="s">
        <v>1914</v>
      </c>
      <c r="B92" s="254">
        <f t="shared" si="2"/>
        <v>1</v>
      </c>
      <c r="C92" s="255" t="s">
        <v>1915</v>
      </c>
      <c r="D92" s="254" t="str">
        <f t="shared" si="3"/>
        <v>DisplayKeys ( Keys.L,twKeysInfo);</v>
      </c>
    </row>
    <row r="93" spans="1:4" ht="15.75" thickBot="1" x14ac:dyDescent="0.3">
      <c r="A93" s="254" t="s">
        <v>1916</v>
      </c>
      <c r="B93" s="254">
        <f t="shared" si="2"/>
        <v>18</v>
      </c>
      <c r="C93" s="255" t="s">
        <v>1917</v>
      </c>
      <c r="D93" s="254" t="str">
        <f t="shared" si="3"/>
        <v>DisplayKeys ( Keys.LaunchApplication1,twKeysInfo);</v>
      </c>
    </row>
    <row r="94" spans="1:4" ht="15.75" thickBot="1" x14ac:dyDescent="0.3">
      <c r="A94" s="254" t="s">
        <v>1918</v>
      </c>
      <c r="B94" s="254">
        <f t="shared" si="2"/>
        <v>18</v>
      </c>
      <c r="C94" s="255" t="s">
        <v>1919</v>
      </c>
      <c r="D94" s="254" t="str">
        <f t="shared" si="3"/>
        <v>DisplayKeys ( Keys.LaunchApplication2,twKeysInfo);</v>
      </c>
    </row>
    <row r="95" spans="1:4" ht="15.75" thickBot="1" x14ac:dyDescent="0.3">
      <c r="A95" s="254" t="s">
        <v>1920</v>
      </c>
      <c r="B95" s="254">
        <f t="shared" si="2"/>
        <v>10</v>
      </c>
      <c r="C95" s="255" t="s">
        <v>1921</v>
      </c>
      <c r="D95" s="254" t="str">
        <f t="shared" si="3"/>
        <v>DisplayKeys ( Keys.LaunchMail,twKeysInfo);</v>
      </c>
    </row>
    <row r="96" spans="1:4" ht="15.75" thickBot="1" x14ac:dyDescent="0.3">
      <c r="A96" s="254" t="s">
        <v>1922</v>
      </c>
      <c r="B96" s="254">
        <f t="shared" si="2"/>
        <v>7</v>
      </c>
      <c r="C96" s="255" t="s">
        <v>1923</v>
      </c>
      <c r="D96" s="254" t="str">
        <f t="shared" si="3"/>
        <v>DisplayKeys ( Keys.LButton,twKeysInfo);</v>
      </c>
    </row>
    <row r="97" spans="1:4" ht="15.75" thickBot="1" x14ac:dyDescent="0.3">
      <c r="A97" s="254" t="s">
        <v>1924</v>
      </c>
      <c r="B97" s="254">
        <f t="shared" si="2"/>
        <v>11</v>
      </c>
      <c r="C97" s="255" t="s">
        <v>1925</v>
      </c>
      <c r="D97" s="254" t="str">
        <f t="shared" si="3"/>
        <v>DisplayKeys ( Keys.LControlKey,twKeysInfo);</v>
      </c>
    </row>
    <row r="98" spans="1:4" ht="15.75" thickBot="1" x14ac:dyDescent="0.3">
      <c r="A98" s="254" t="s">
        <v>1926</v>
      </c>
      <c r="B98" s="254">
        <f t="shared" si="2"/>
        <v>4</v>
      </c>
      <c r="C98" s="255" t="s">
        <v>1927</v>
      </c>
      <c r="D98" s="254" t="str">
        <f t="shared" si="3"/>
        <v>DisplayKeys ( Keys.Left,twKeysInfo);</v>
      </c>
    </row>
    <row r="99" spans="1:4" ht="15.75" thickBot="1" x14ac:dyDescent="0.3">
      <c r="A99" s="254" t="s">
        <v>1928</v>
      </c>
      <c r="B99" s="254">
        <f t="shared" si="2"/>
        <v>8</v>
      </c>
      <c r="C99" s="255" t="s">
        <v>1929</v>
      </c>
      <c r="D99" s="254" t="str">
        <f t="shared" si="3"/>
        <v>DisplayKeys ( Keys.LineFeed,twKeysInfo);</v>
      </c>
    </row>
    <row r="100" spans="1:4" ht="15.75" thickBot="1" x14ac:dyDescent="0.3">
      <c r="A100" s="254" t="s">
        <v>1930</v>
      </c>
      <c r="B100" s="254">
        <f t="shared" si="2"/>
        <v>5</v>
      </c>
      <c r="C100" s="255" t="s">
        <v>1931</v>
      </c>
      <c r="D100" s="254" t="str">
        <f t="shared" si="3"/>
        <v>DisplayKeys ( Keys.LMenu,twKeysInfo);</v>
      </c>
    </row>
    <row r="101" spans="1:4" ht="15.75" thickBot="1" x14ac:dyDescent="0.3">
      <c r="A101" s="254" t="s">
        <v>1932</v>
      </c>
      <c r="B101" s="254">
        <f t="shared" si="2"/>
        <v>9</v>
      </c>
      <c r="C101" s="255" t="s">
        <v>1933</v>
      </c>
      <c r="D101" s="254" t="str">
        <f t="shared" si="3"/>
        <v>DisplayKeys ( Keys.LShiftKey,twKeysInfo);</v>
      </c>
    </row>
    <row r="102" spans="1:4" ht="15.75" thickBot="1" x14ac:dyDescent="0.3">
      <c r="A102" s="254" t="s">
        <v>1934</v>
      </c>
      <c r="B102" s="254">
        <f t="shared" si="2"/>
        <v>4</v>
      </c>
      <c r="C102" s="255" t="s">
        <v>1935</v>
      </c>
      <c r="D102" s="254" t="str">
        <f t="shared" si="3"/>
        <v>DisplayKeys ( Keys.LWin,twKeysInfo);</v>
      </c>
    </row>
    <row r="103" spans="1:4" ht="15.75" thickBot="1" x14ac:dyDescent="0.3">
      <c r="A103" s="254" t="s">
        <v>1936</v>
      </c>
      <c r="B103" s="254">
        <f t="shared" si="2"/>
        <v>1</v>
      </c>
      <c r="C103" s="255" t="s">
        <v>1937</v>
      </c>
      <c r="D103" s="254" t="str">
        <f t="shared" si="3"/>
        <v>DisplayKeys ( Keys.M,twKeysInfo);</v>
      </c>
    </row>
    <row r="104" spans="1:4" ht="15.75" thickBot="1" x14ac:dyDescent="0.3">
      <c r="A104" s="254" t="s">
        <v>1938</v>
      </c>
      <c r="B104" s="254">
        <f t="shared" si="2"/>
        <v>7</v>
      </c>
      <c r="C104" s="255" t="s">
        <v>1939</v>
      </c>
      <c r="D104" s="254" t="str">
        <f t="shared" si="3"/>
        <v>DisplayKeys ( Keys.MButton,twKeysInfo);</v>
      </c>
    </row>
    <row r="105" spans="1:4" ht="15.75" thickBot="1" x14ac:dyDescent="0.3">
      <c r="A105" s="254" t="s">
        <v>1940</v>
      </c>
      <c r="B105" s="254">
        <f t="shared" si="2"/>
        <v>14</v>
      </c>
      <c r="C105" s="255" t="s">
        <v>1941</v>
      </c>
      <c r="D105" s="254" t="str">
        <f t="shared" si="3"/>
        <v>DisplayKeys ( Keys.MediaNextTrack,twKeysInfo);</v>
      </c>
    </row>
    <row r="106" spans="1:4" ht="15.75" thickBot="1" x14ac:dyDescent="0.3">
      <c r="A106" s="254" t="s">
        <v>1942</v>
      </c>
      <c r="B106" s="254">
        <f t="shared" si="2"/>
        <v>14</v>
      </c>
      <c r="C106" s="255" t="s">
        <v>1943</v>
      </c>
      <c r="D106" s="254" t="str">
        <f t="shared" si="3"/>
        <v>DisplayKeys ( Keys.MediaPlayPause,twKeysInfo);</v>
      </c>
    </row>
    <row r="107" spans="1:4" ht="15.75" thickBot="1" x14ac:dyDescent="0.3">
      <c r="A107" s="254" t="s">
        <v>1944</v>
      </c>
      <c r="B107" s="254">
        <f t="shared" si="2"/>
        <v>18</v>
      </c>
      <c r="C107" s="255" t="s">
        <v>1945</v>
      </c>
      <c r="D107" s="254" t="str">
        <f t="shared" si="3"/>
        <v>DisplayKeys ( Keys.MediaPreviousTrack,twKeysInfo);</v>
      </c>
    </row>
    <row r="108" spans="1:4" ht="15.75" thickBot="1" x14ac:dyDescent="0.3">
      <c r="A108" s="254" t="s">
        <v>1946</v>
      </c>
      <c r="B108" s="254">
        <f t="shared" si="2"/>
        <v>9</v>
      </c>
      <c r="C108" s="255" t="s">
        <v>1947</v>
      </c>
      <c r="D108" s="254" t="str">
        <f t="shared" si="3"/>
        <v>DisplayKeys ( Keys.MediaStop,twKeysInfo);</v>
      </c>
    </row>
    <row r="109" spans="1:4" ht="15.75" thickBot="1" x14ac:dyDescent="0.3">
      <c r="A109" s="254" t="s">
        <v>1948</v>
      </c>
      <c r="B109" s="254">
        <f t="shared" si="2"/>
        <v>4</v>
      </c>
      <c r="C109" s="255" t="s">
        <v>1949</v>
      </c>
      <c r="D109" s="254" t="str">
        <f t="shared" si="3"/>
        <v>DisplayKeys ( Keys.Menu,twKeysInfo);</v>
      </c>
    </row>
    <row r="110" spans="1:4" ht="15.75" thickBot="1" x14ac:dyDescent="0.3">
      <c r="A110" s="254" t="s">
        <v>1950</v>
      </c>
      <c r="B110" s="254">
        <f t="shared" si="2"/>
        <v>9</v>
      </c>
      <c r="C110" s="255" t="s">
        <v>1951</v>
      </c>
      <c r="D110" s="254" t="str">
        <f t="shared" si="3"/>
        <v>DisplayKeys ( Keys.Modifiers,twKeysInfo);</v>
      </c>
    </row>
    <row r="111" spans="1:4" ht="15.75" thickBot="1" x14ac:dyDescent="0.3">
      <c r="A111" s="254" t="s">
        <v>1952</v>
      </c>
      <c r="B111" s="254">
        <f t="shared" si="2"/>
        <v>8</v>
      </c>
      <c r="C111" s="255" t="s">
        <v>1953</v>
      </c>
      <c r="D111" s="254" t="str">
        <f t="shared" si="3"/>
        <v>DisplayKeys ( Keys.Multiply,twKeysInfo);</v>
      </c>
    </row>
    <row r="112" spans="1:4" ht="15.75" thickBot="1" x14ac:dyDescent="0.3">
      <c r="A112" s="254" t="s">
        <v>1954</v>
      </c>
      <c r="B112" s="254">
        <f t="shared" si="2"/>
        <v>1</v>
      </c>
      <c r="C112" s="255" t="s">
        <v>1955</v>
      </c>
      <c r="D112" s="254" t="str">
        <f t="shared" si="3"/>
        <v>DisplayKeys ( Keys.N,twKeysInfo);</v>
      </c>
    </row>
    <row r="113" spans="1:4" ht="15.75" thickBot="1" x14ac:dyDescent="0.3">
      <c r="A113" s="254" t="s">
        <v>1956</v>
      </c>
      <c r="B113" s="254">
        <f t="shared" si="2"/>
        <v>4</v>
      </c>
      <c r="C113" s="255" t="s">
        <v>1957</v>
      </c>
      <c r="D113" s="254" t="str">
        <f t="shared" si="3"/>
        <v>DisplayKeys ( Keys.Next,twKeysInfo);</v>
      </c>
    </row>
    <row r="114" spans="1:4" ht="15.75" thickBot="1" x14ac:dyDescent="0.3">
      <c r="A114" s="254" t="s">
        <v>1958</v>
      </c>
      <c r="B114" s="254">
        <f t="shared" si="2"/>
        <v>6</v>
      </c>
      <c r="C114" s="255" t="s">
        <v>1959</v>
      </c>
      <c r="D114" s="254" t="str">
        <f t="shared" si="3"/>
        <v>DisplayKeys ( Keys.NoName,twKeysInfo);</v>
      </c>
    </row>
    <row r="115" spans="1:4" ht="15.75" thickBot="1" x14ac:dyDescent="0.3">
      <c r="A115" s="254" t="s">
        <v>1404</v>
      </c>
      <c r="B115" s="254">
        <f t="shared" si="2"/>
        <v>4</v>
      </c>
      <c r="C115" s="255" t="s">
        <v>1960</v>
      </c>
      <c r="D115" s="254" t="str">
        <f t="shared" si="3"/>
        <v>DisplayKeys ( Keys.None,twKeysInfo);</v>
      </c>
    </row>
    <row r="116" spans="1:4" ht="15.75" thickBot="1" x14ac:dyDescent="0.3">
      <c r="A116" s="254" t="s">
        <v>1961</v>
      </c>
      <c r="B116" s="254">
        <f t="shared" si="2"/>
        <v>7</v>
      </c>
      <c r="C116" s="255" t="s">
        <v>1962</v>
      </c>
      <c r="D116" s="254" t="str">
        <f t="shared" si="3"/>
        <v>DisplayKeys ( Keys.NumLock,twKeysInfo);</v>
      </c>
    </row>
    <row r="117" spans="1:4" ht="15.75" thickBot="1" x14ac:dyDescent="0.3">
      <c r="A117" s="254" t="s">
        <v>1963</v>
      </c>
      <c r="B117" s="254">
        <f t="shared" si="2"/>
        <v>7</v>
      </c>
      <c r="C117" s="255" t="s">
        <v>1964</v>
      </c>
      <c r="D117" s="254" t="str">
        <f t="shared" si="3"/>
        <v>DisplayKeys ( Keys.NumPad0,twKeysInfo);</v>
      </c>
    </row>
    <row r="118" spans="1:4" ht="15.75" thickBot="1" x14ac:dyDescent="0.3">
      <c r="A118" s="254" t="s">
        <v>1965</v>
      </c>
      <c r="B118" s="254">
        <f t="shared" si="2"/>
        <v>7</v>
      </c>
      <c r="C118" s="255" t="s">
        <v>1966</v>
      </c>
      <c r="D118" s="254" t="str">
        <f t="shared" si="3"/>
        <v>DisplayKeys ( Keys.NumPad1,twKeysInfo);</v>
      </c>
    </row>
    <row r="119" spans="1:4" ht="15.75" thickBot="1" x14ac:dyDescent="0.3">
      <c r="A119" s="254" t="s">
        <v>1967</v>
      </c>
      <c r="B119" s="254">
        <f t="shared" si="2"/>
        <v>7</v>
      </c>
      <c r="C119" s="255" t="s">
        <v>1968</v>
      </c>
      <c r="D119" s="254" t="str">
        <f t="shared" si="3"/>
        <v>DisplayKeys ( Keys.NumPad2,twKeysInfo);</v>
      </c>
    </row>
    <row r="120" spans="1:4" ht="15.75" thickBot="1" x14ac:dyDescent="0.3">
      <c r="A120" s="254" t="s">
        <v>1969</v>
      </c>
      <c r="B120" s="254">
        <f t="shared" si="2"/>
        <v>7</v>
      </c>
      <c r="C120" s="255" t="s">
        <v>1970</v>
      </c>
      <c r="D120" s="254" t="str">
        <f t="shared" si="3"/>
        <v>DisplayKeys ( Keys.NumPad3,twKeysInfo);</v>
      </c>
    </row>
    <row r="121" spans="1:4" ht="15.75" thickBot="1" x14ac:dyDescent="0.3">
      <c r="A121" s="254" t="s">
        <v>1971</v>
      </c>
      <c r="B121" s="254">
        <f t="shared" si="2"/>
        <v>7</v>
      </c>
      <c r="C121" s="255" t="s">
        <v>1972</v>
      </c>
      <c r="D121" s="254" t="str">
        <f t="shared" si="3"/>
        <v>DisplayKeys ( Keys.NumPad4,twKeysInfo);</v>
      </c>
    </row>
    <row r="122" spans="1:4" ht="15.75" thickBot="1" x14ac:dyDescent="0.3">
      <c r="A122" s="254" t="s">
        <v>1973</v>
      </c>
      <c r="B122" s="254">
        <f t="shared" si="2"/>
        <v>7</v>
      </c>
      <c r="C122" s="255" t="s">
        <v>1974</v>
      </c>
      <c r="D122" s="254" t="str">
        <f t="shared" si="3"/>
        <v>DisplayKeys ( Keys.NumPad5,twKeysInfo);</v>
      </c>
    </row>
    <row r="123" spans="1:4" ht="15.75" thickBot="1" x14ac:dyDescent="0.3">
      <c r="A123" s="254" t="s">
        <v>1975</v>
      </c>
      <c r="B123" s="254">
        <f t="shared" si="2"/>
        <v>7</v>
      </c>
      <c r="C123" s="255" t="s">
        <v>1976</v>
      </c>
      <c r="D123" s="254" t="str">
        <f t="shared" si="3"/>
        <v>DisplayKeys ( Keys.NumPad6,twKeysInfo);</v>
      </c>
    </row>
    <row r="124" spans="1:4" ht="15.75" thickBot="1" x14ac:dyDescent="0.3">
      <c r="A124" s="254" t="s">
        <v>1977</v>
      </c>
      <c r="B124" s="254">
        <f t="shared" si="2"/>
        <v>7</v>
      </c>
      <c r="C124" s="255" t="s">
        <v>1978</v>
      </c>
      <c r="D124" s="254" t="str">
        <f t="shared" si="3"/>
        <v>DisplayKeys ( Keys.NumPad7,twKeysInfo);</v>
      </c>
    </row>
    <row r="125" spans="1:4" ht="15.75" thickBot="1" x14ac:dyDescent="0.3">
      <c r="A125" s="254" t="s">
        <v>1979</v>
      </c>
      <c r="B125" s="254">
        <f t="shared" si="2"/>
        <v>7</v>
      </c>
      <c r="C125" s="255" t="s">
        <v>1980</v>
      </c>
      <c r="D125" s="254" t="str">
        <f t="shared" si="3"/>
        <v>DisplayKeys ( Keys.NumPad8,twKeysInfo);</v>
      </c>
    </row>
    <row r="126" spans="1:4" ht="15.75" thickBot="1" x14ac:dyDescent="0.3">
      <c r="A126" s="254" t="s">
        <v>1981</v>
      </c>
      <c r="B126" s="254">
        <f t="shared" si="2"/>
        <v>7</v>
      </c>
      <c r="C126" s="255" t="s">
        <v>1982</v>
      </c>
      <c r="D126" s="254" t="str">
        <f t="shared" si="3"/>
        <v>DisplayKeys ( Keys.NumPad9,twKeysInfo);</v>
      </c>
    </row>
    <row r="127" spans="1:4" ht="15.75" thickBot="1" x14ac:dyDescent="0.3">
      <c r="A127" s="254" t="s">
        <v>1983</v>
      </c>
      <c r="B127" s="254">
        <f t="shared" si="2"/>
        <v>1</v>
      </c>
      <c r="C127" s="255" t="s">
        <v>1984</v>
      </c>
      <c r="D127" s="254" t="str">
        <f t="shared" si="3"/>
        <v>DisplayKeys ( Keys.O,twKeysInfo);</v>
      </c>
    </row>
    <row r="128" spans="1:4" ht="15.75" thickBot="1" x14ac:dyDescent="0.3">
      <c r="A128" s="254" t="s">
        <v>1985</v>
      </c>
      <c r="B128" s="254">
        <f t="shared" si="2"/>
        <v>4</v>
      </c>
      <c r="C128" s="255" t="s">
        <v>1986</v>
      </c>
      <c r="D128" s="254" t="str">
        <f t="shared" si="3"/>
        <v>DisplayKeys ( Keys.Oem1,twKeysInfo);</v>
      </c>
    </row>
    <row r="129" spans="1:4" ht="15.75" thickBot="1" x14ac:dyDescent="0.3">
      <c r="A129" s="254" t="s">
        <v>1987</v>
      </c>
      <c r="B129" s="254">
        <f t="shared" si="2"/>
        <v>6</v>
      </c>
      <c r="C129" s="255" t="s">
        <v>1988</v>
      </c>
      <c r="D129" s="254" t="str">
        <f t="shared" si="3"/>
        <v>DisplayKeys ( Keys.Oem102,twKeysInfo);</v>
      </c>
    </row>
    <row r="130" spans="1:4" ht="15.75" thickBot="1" x14ac:dyDescent="0.3">
      <c r="A130" s="254" t="s">
        <v>1989</v>
      </c>
      <c r="B130" s="254">
        <f t="shared" si="2"/>
        <v>4</v>
      </c>
      <c r="C130" s="255" t="s">
        <v>1990</v>
      </c>
      <c r="D130" s="254" t="str">
        <f t="shared" si="3"/>
        <v>DisplayKeys ( Keys.Oem2,twKeysInfo);</v>
      </c>
    </row>
    <row r="131" spans="1:4" ht="15.75" thickBot="1" x14ac:dyDescent="0.3">
      <c r="A131" s="254" t="s">
        <v>1991</v>
      </c>
      <c r="B131" s="254">
        <f t="shared" ref="B131:B194" si="4">LEN(A131)</f>
        <v>4</v>
      </c>
      <c r="C131" s="255" t="s">
        <v>1992</v>
      </c>
      <c r="D131" s="254" t="str">
        <f t="shared" ref="D131:D194" si="5">CONCATENATE("DisplayKeys ( Keys.",A131,",twKeysInfo);")</f>
        <v>DisplayKeys ( Keys.Oem3,twKeysInfo);</v>
      </c>
    </row>
    <row r="132" spans="1:4" ht="15.75" thickBot="1" x14ac:dyDescent="0.3">
      <c r="A132" s="254" t="s">
        <v>1993</v>
      </c>
      <c r="B132" s="254">
        <f t="shared" si="4"/>
        <v>4</v>
      </c>
      <c r="C132" s="255" t="s">
        <v>1994</v>
      </c>
      <c r="D132" s="254" t="str">
        <f t="shared" si="5"/>
        <v>DisplayKeys ( Keys.Oem4,twKeysInfo);</v>
      </c>
    </row>
    <row r="133" spans="1:4" ht="15.75" thickBot="1" x14ac:dyDescent="0.3">
      <c r="A133" s="254" t="s">
        <v>1995</v>
      </c>
      <c r="B133" s="254">
        <f t="shared" si="4"/>
        <v>4</v>
      </c>
      <c r="C133" s="255" t="s">
        <v>1996</v>
      </c>
      <c r="D133" s="254" t="str">
        <f t="shared" si="5"/>
        <v>DisplayKeys ( Keys.Oem5,twKeysInfo);</v>
      </c>
    </row>
    <row r="134" spans="1:4" ht="15.75" thickBot="1" x14ac:dyDescent="0.3">
      <c r="A134" s="254" t="s">
        <v>1997</v>
      </c>
      <c r="B134" s="254">
        <f t="shared" si="4"/>
        <v>4</v>
      </c>
      <c r="C134" s="255" t="s">
        <v>1998</v>
      </c>
      <c r="D134" s="254" t="str">
        <f t="shared" si="5"/>
        <v>DisplayKeys ( Keys.Oem6,twKeysInfo);</v>
      </c>
    </row>
    <row r="135" spans="1:4" ht="15.75" thickBot="1" x14ac:dyDescent="0.3">
      <c r="A135" s="254" t="s">
        <v>1999</v>
      </c>
      <c r="B135" s="254">
        <f t="shared" si="4"/>
        <v>4</v>
      </c>
      <c r="C135" s="255" t="s">
        <v>2000</v>
      </c>
      <c r="D135" s="254" t="str">
        <f t="shared" si="5"/>
        <v>DisplayKeys ( Keys.Oem7,twKeysInfo);</v>
      </c>
    </row>
    <row r="136" spans="1:4" ht="15.75" thickBot="1" x14ac:dyDescent="0.3">
      <c r="A136" s="254" t="s">
        <v>2001</v>
      </c>
      <c r="B136" s="254">
        <f t="shared" si="4"/>
        <v>4</v>
      </c>
      <c r="C136" s="255" t="s">
        <v>2002</v>
      </c>
      <c r="D136" s="254" t="str">
        <f t="shared" si="5"/>
        <v>DisplayKeys ( Keys.Oem8,twKeysInfo);</v>
      </c>
    </row>
    <row r="137" spans="1:4" ht="15.75" thickBot="1" x14ac:dyDescent="0.3">
      <c r="A137" s="254" t="s">
        <v>2003</v>
      </c>
      <c r="B137" s="254">
        <f t="shared" si="4"/>
        <v>12</v>
      </c>
      <c r="C137" s="255" t="s">
        <v>2004</v>
      </c>
      <c r="D137" s="254" t="str">
        <f t="shared" si="5"/>
        <v>DisplayKeys ( Keys.OemBackslash,twKeysInfo);</v>
      </c>
    </row>
    <row r="138" spans="1:4" ht="15.75" thickBot="1" x14ac:dyDescent="0.3">
      <c r="A138" s="254" t="s">
        <v>2005</v>
      </c>
      <c r="B138" s="254">
        <f t="shared" si="4"/>
        <v>8</v>
      </c>
      <c r="C138" s="255" t="s">
        <v>1771</v>
      </c>
      <c r="D138" s="254" t="str">
        <f t="shared" si="5"/>
        <v>DisplayKeys ( Keys.OemClear,twKeysInfo);</v>
      </c>
    </row>
    <row r="139" spans="1:4" ht="15.75" thickBot="1" x14ac:dyDescent="0.3">
      <c r="A139" s="254" t="s">
        <v>2006</v>
      </c>
      <c r="B139" s="254">
        <f t="shared" si="4"/>
        <v>16</v>
      </c>
      <c r="C139" s="255" t="s">
        <v>2007</v>
      </c>
      <c r="D139" s="254" t="str">
        <f t="shared" si="5"/>
        <v>DisplayKeys ( Keys.OemCloseBrackets,twKeysInfo);</v>
      </c>
    </row>
    <row r="140" spans="1:4" ht="15.75" thickBot="1" x14ac:dyDescent="0.3">
      <c r="A140" s="254" t="s">
        <v>2008</v>
      </c>
      <c r="B140" s="254">
        <f t="shared" si="4"/>
        <v>8</v>
      </c>
      <c r="C140" s="255" t="s">
        <v>2009</v>
      </c>
      <c r="D140" s="254" t="str">
        <f t="shared" si="5"/>
        <v>DisplayKeys ( Keys.Oemcomma,twKeysInfo);</v>
      </c>
    </row>
    <row r="141" spans="1:4" ht="15.75" thickBot="1" x14ac:dyDescent="0.3">
      <c r="A141" s="254" t="s">
        <v>2010</v>
      </c>
      <c r="B141" s="254">
        <f t="shared" si="4"/>
        <v>8</v>
      </c>
      <c r="C141" s="255" t="s">
        <v>2011</v>
      </c>
      <c r="D141" s="254" t="str">
        <f t="shared" si="5"/>
        <v>DisplayKeys ( Keys.OemMinus,twKeysInfo);</v>
      </c>
    </row>
    <row r="142" spans="1:4" ht="15.75" thickBot="1" x14ac:dyDescent="0.3">
      <c r="A142" s="254" t="s">
        <v>2012</v>
      </c>
      <c r="B142" s="254">
        <f t="shared" si="4"/>
        <v>15</v>
      </c>
      <c r="C142" s="255" t="s">
        <v>2013</v>
      </c>
      <c r="D142" s="254" t="str">
        <f t="shared" si="5"/>
        <v>DisplayKeys ( Keys.OemOpenBrackets,twKeysInfo);</v>
      </c>
    </row>
    <row r="143" spans="1:4" ht="15.75" thickBot="1" x14ac:dyDescent="0.3">
      <c r="A143" s="254" t="s">
        <v>2014</v>
      </c>
      <c r="B143" s="254">
        <f t="shared" si="4"/>
        <v>9</v>
      </c>
      <c r="C143" s="255" t="s">
        <v>2015</v>
      </c>
      <c r="D143" s="254" t="str">
        <f t="shared" si="5"/>
        <v>DisplayKeys ( Keys.OemPeriod,twKeysInfo);</v>
      </c>
    </row>
    <row r="144" spans="1:4" ht="15.75" thickBot="1" x14ac:dyDescent="0.3">
      <c r="A144" s="254" t="s">
        <v>2016</v>
      </c>
      <c r="B144" s="254">
        <f t="shared" si="4"/>
        <v>7</v>
      </c>
      <c r="C144" s="255" t="s">
        <v>2017</v>
      </c>
      <c r="D144" s="254" t="str">
        <f t="shared" si="5"/>
        <v>DisplayKeys ( Keys.OemPipe,twKeysInfo);</v>
      </c>
    </row>
    <row r="145" spans="1:4" ht="15.75" thickBot="1" x14ac:dyDescent="0.3">
      <c r="A145" s="254" t="s">
        <v>2018</v>
      </c>
      <c r="B145" s="254">
        <f t="shared" si="4"/>
        <v>7</v>
      </c>
      <c r="C145" s="255" t="s">
        <v>2019</v>
      </c>
      <c r="D145" s="254" t="str">
        <f t="shared" si="5"/>
        <v>DisplayKeys ( Keys.Oemplus,twKeysInfo);</v>
      </c>
    </row>
    <row r="146" spans="1:4" ht="15.75" thickBot="1" x14ac:dyDescent="0.3">
      <c r="A146" s="254" t="s">
        <v>2020</v>
      </c>
      <c r="B146" s="254">
        <f t="shared" si="4"/>
        <v>11</v>
      </c>
      <c r="C146" s="255" t="s">
        <v>2021</v>
      </c>
      <c r="D146" s="254" t="str">
        <f t="shared" si="5"/>
        <v>DisplayKeys ( Keys.OemQuestion,twKeysInfo);</v>
      </c>
    </row>
    <row r="147" spans="1:4" ht="15.75" thickBot="1" x14ac:dyDescent="0.3">
      <c r="A147" s="254" t="s">
        <v>2022</v>
      </c>
      <c r="B147" s="254">
        <f t="shared" si="4"/>
        <v>9</v>
      </c>
      <c r="C147" s="255" t="s">
        <v>2023</v>
      </c>
      <c r="D147" s="254" t="str">
        <f t="shared" si="5"/>
        <v>DisplayKeys ( Keys.OemQuotes,twKeysInfo);</v>
      </c>
    </row>
    <row r="148" spans="1:4" ht="15.75" thickBot="1" x14ac:dyDescent="0.3">
      <c r="A148" s="254" t="s">
        <v>2024</v>
      </c>
      <c r="B148" s="254">
        <f t="shared" si="4"/>
        <v>12</v>
      </c>
      <c r="C148" s="255" t="s">
        <v>2025</v>
      </c>
      <c r="D148" s="254" t="str">
        <f t="shared" si="5"/>
        <v>DisplayKeys ( Keys.OemSemicolon,twKeysInfo);</v>
      </c>
    </row>
    <row r="149" spans="1:4" ht="15.75" thickBot="1" x14ac:dyDescent="0.3">
      <c r="A149" s="254" t="s">
        <v>2026</v>
      </c>
      <c r="B149" s="254">
        <f t="shared" si="4"/>
        <v>8</v>
      </c>
      <c r="C149" s="255" t="s">
        <v>2027</v>
      </c>
      <c r="D149" s="254" t="str">
        <f t="shared" si="5"/>
        <v>DisplayKeys ( Keys.Oemtilde,twKeysInfo);</v>
      </c>
    </row>
    <row r="150" spans="1:4" ht="15.75" thickBot="1" x14ac:dyDescent="0.3">
      <c r="A150" s="254" t="s">
        <v>2028</v>
      </c>
      <c r="B150" s="254">
        <f t="shared" si="4"/>
        <v>1</v>
      </c>
      <c r="C150" s="255" t="s">
        <v>2029</v>
      </c>
      <c r="D150" s="254" t="str">
        <f t="shared" si="5"/>
        <v>DisplayKeys ( Keys.P,twKeysInfo);</v>
      </c>
    </row>
    <row r="151" spans="1:4" ht="15.75" thickBot="1" x14ac:dyDescent="0.3">
      <c r="A151" s="254" t="s">
        <v>2030</v>
      </c>
      <c r="B151" s="254">
        <f t="shared" si="4"/>
        <v>3</v>
      </c>
      <c r="C151" s="255" t="s">
        <v>2031</v>
      </c>
      <c r="D151" s="254" t="str">
        <f t="shared" si="5"/>
        <v>DisplayKeys ( Keys.Pa1,twKeysInfo);</v>
      </c>
    </row>
    <row r="152" spans="1:4" ht="26.25" thickBot="1" x14ac:dyDescent="0.3">
      <c r="A152" s="254" t="s">
        <v>2032</v>
      </c>
      <c r="B152" s="254">
        <f t="shared" si="4"/>
        <v>6</v>
      </c>
      <c r="C152" s="255" t="s">
        <v>2033</v>
      </c>
      <c r="D152" s="254" t="str">
        <f t="shared" si="5"/>
        <v>DisplayKeys ( Keys.Packet,twKeysInfo);</v>
      </c>
    </row>
    <row r="153" spans="1:4" ht="15.75" thickBot="1" x14ac:dyDescent="0.3">
      <c r="A153" s="254" t="s">
        <v>2034</v>
      </c>
      <c r="B153" s="254">
        <f t="shared" si="4"/>
        <v>8</v>
      </c>
      <c r="C153" s="255" t="s">
        <v>1957</v>
      </c>
      <c r="D153" s="254" t="str">
        <f t="shared" si="5"/>
        <v>DisplayKeys ( Keys.PageDown,twKeysInfo);</v>
      </c>
    </row>
    <row r="154" spans="1:4" ht="15.75" thickBot="1" x14ac:dyDescent="0.3">
      <c r="A154" s="254" t="s">
        <v>2035</v>
      </c>
      <c r="B154" s="254">
        <f t="shared" si="4"/>
        <v>6</v>
      </c>
      <c r="C154" s="255" t="s">
        <v>2036</v>
      </c>
      <c r="D154" s="254" t="str">
        <f t="shared" si="5"/>
        <v>DisplayKeys ( Keys.PageUp,twKeysInfo);</v>
      </c>
    </row>
    <row r="155" spans="1:4" ht="15.75" thickBot="1" x14ac:dyDescent="0.3">
      <c r="A155" s="254" t="s">
        <v>2037</v>
      </c>
      <c r="B155" s="254">
        <f t="shared" si="4"/>
        <v>5</v>
      </c>
      <c r="C155" s="255" t="s">
        <v>2038</v>
      </c>
      <c r="D155" s="254" t="str">
        <f t="shared" si="5"/>
        <v>DisplayKeys ( Keys.Pause,twKeysInfo);</v>
      </c>
    </row>
    <row r="156" spans="1:4" ht="15.75" thickBot="1" x14ac:dyDescent="0.3">
      <c r="A156" s="254" t="s">
        <v>2039</v>
      </c>
      <c r="B156" s="254">
        <f t="shared" si="4"/>
        <v>4</v>
      </c>
      <c r="C156" s="255" t="s">
        <v>2040</v>
      </c>
      <c r="D156" s="254" t="str">
        <f t="shared" si="5"/>
        <v>DisplayKeys ( Keys.Play,twKeysInfo);</v>
      </c>
    </row>
    <row r="157" spans="1:4" ht="15.75" thickBot="1" x14ac:dyDescent="0.3">
      <c r="A157" s="254" t="s">
        <v>2041</v>
      </c>
      <c r="B157" s="254">
        <f t="shared" si="4"/>
        <v>5</v>
      </c>
      <c r="C157" s="255" t="s">
        <v>2042</v>
      </c>
      <c r="D157" s="254" t="str">
        <f t="shared" si="5"/>
        <v>DisplayKeys ( Keys.Print,twKeysInfo);</v>
      </c>
    </row>
    <row r="158" spans="1:4" ht="15.75" thickBot="1" x14ac:dyDescent="0.3">
      <c r="A158" s="254" t="s">
        <v>2043</v>
      </c>
      <c r="B158" s="254">
        <f t="shared" si="4"/>
        <v>11</v>
      </c>
      <c r="C158" s="255" t="s">
        <v>2044</v>
      </c>
      <c r="D158" s="254" t="str">
        <f t="shared" si="5"/>
        <v>DisplayKeys ( Keys.PrintScreen,twKeysInfo);</v>
      </c>
    </row>
    <row r="159" spans="1:4" ht="15.75" thickBot="1" x14ac:dyDescent="0.3">
      <c r="A159" s="254" t="s">
        <v>2045</v>
      </c>
      <c r="B159" s="254">
        <f t="shared" si="4"/>
        <v>5</v>
      </c>
      <c r="C159" s="255" t="s">
        <v>2036</v>
      </c>
      <c r="D159" s="254" t="str">
        <f t="shared" si="5"/>
        <v>DisplayKeys ( Keys.Prior,twKeysInfo);</v>
      </c>
    </row>
    <row r="160" spans="1:4" ht="15.75" thickBot="1" x14ac:dyDescent="0.3">
      <c r="A160" s="254" t="s">
        <v>2046</v>
      </c>
      <c r="B160" s="254">
        <f t="shared" si="4"/>
        <v>10</v>
      </c>
      <c r="C160" s="255" t="s">
        <v>2047</v>
      </c>
      <c r="D160" s="254" t="str">
        <f t="shared" si="5"/>
        <v>DisplayKeys ( Keys.ProcessKey,twKeysInfo);</v>
      </c>
    </row>
    <row r="161" spans="1:4" ht="15.75" thickBot="1" x14ac:dyDescent="0.3">
      <c r="A161" s="254" t="s">
        <v>2048</v>
      </c>
      <c r="B161" s="254">
        <f t="shared" si="4"/>
        <v>1</v>
      </c>
      <c r="C161" s="255" t="s">
        <v>2049</v>
      </c>
      <c r="D161" s="254" t="str">
        <f t="shared" si="5"/>
        <v>DisplayKeys ( Keys.Q,twKeysInfo);</v>
      </c>
    </row>
    <row r="162" spans="1:4" ht="15.75" thickBot="1" x14ac:dyDescent="0.3">
      <c r="A162" s="254" t="s">
        <v>2050</v>
      </c>
      <c r="B162" s="254">
        <f t="shared" si="4"/>
        <v>1</v>
      </c>
      <c r="C162" s="255" t="s">
        <v>2051</v>
      </c>
      <c r="D162" s="254" t="str">
        <f t="shared" si="5"/>
        <v>DisplayKeys ( Keys.R,twKeysInfo);</v>
      </c>
    </row>
    <row r="163" spans="1:4" ht="15.75" thickBot="1" x14ac:dyDescent="0.3">
      <c r="A163" s="254" t="s">
        <v>2052</v>
      </c>
      <c r="B163" s="254">
        <f t="shared" si="4"/>
        <v>7</v>
      </c>
      <c r="C163" s="255" t="s">
        <v>2053</v>
      </c>
      <c r="D163" s="254" t="str">
        <f t="shared" si="5"/>
        <v>DisplayKeys ( Keys.RButton,twKeysInfo);</v>
      </c>
    </row>
    <row r="164" spans="1:4" ht="15.75" thickBot="1" x14ac:dyDescent="0.3">
      <c r="A164" s="254" t="s">
        <v>2054</v>
      </c>
      <c r="B164" s="254">
        <f t="shared" si="4"/>
        <v>11</v>
      </c>
      <c r="C164" s="255" t="s">
        <v>2055</v>
      </c>
      <c r="D164" s="254" t="str">
        <f t="shared" si="5"/>
        <v>DisplayKeys ( Keys.RControlKey,twKeysInfo);</v>
      </c>
    </row>
    <row r="165" spans="1:4" ht="15.75" thickBot="1" x14ac:dyDescent="0.3">
      <c r="A165" s="254" t="s">
        <v>2056</v>
      </c>
      <c r="B165" s="254">
        <f t="shared" si="4"/>
        <v>6</v>
      </c>
      <c r="C165" s="255" t="s">
        <v>2057</v>
      </c>
      <c r="D165" s="254" t="str">
        <f t="shared" si="5"/>
        <v>DisplayKeys ( Keys.Return,twKeysInfo);</v>
      </c>
    </row>
    <row r="166" spans="1:4" ht="15.75" thickBot="1" x14ac:dyDescent="0.3">
      <c r="A166" s="254" t="s">
        <v>2058</v>
      </c>
      <c r="B166" s="254">
        <f t="shared" si="4"/>
        <v>5</v>
      </c>
      <c r="C166" s="255" t="s">
        <v>2059</v>
      </c>
      <c r="D166" s="254" t="str">
        <f t="shared" si="5"/>
        <v>DisplayKeys ( Keys.Right,twKeysInfo);</v>
      </c>
    </row>
    <row r="167" spans="1:4" ht="15.75" thickBot="1" x14ac:dyDescent="0.3">
      <c r="A167" s="254" t="s">
        <v>2060</v>
      </c>
      <c r="B167" s="254">
        <f t="shared" si="4"/>
        <v>5</v>
      </c>
      <c r="C167" s="255" t="s">
        <v>2061</v>
      </c>
      <c r="D167" s="254" t="str">
        <f t="shared" si="5"/>
        <v>DisplayKeys ( Keys.RMenu,twKeysInfo);</v>
      </c>
    </row>
    <row r="168" spans="1:4" ht="15.75" thickBot="1" x14ac:dyDescent="0.3">
      <c r="A168" s="254" t="s">
        <v>2062</v>
      </c>
      <c r="B168" s="254">
        <f t="shared" si="4"/>
        <v>9</v>
      </c>
      <c r="C168" s="255" t="s">
        <v>2063</v>
      </c>
      <c r="D168" s="254" t="str">
        <f t="shared" si="5"/>
        <v>DisplayKeys ( Keys.RShiftKey,twKeysInfo);</v>
      </c>
    </row>
    <row r="169" spans="1:4" ht="15.75" thickBot="1" x14ac:dyDescent="0.3">
      <c r="A169" s="254" t="s">
        <v>2064</v>
      </c>
      <c r="B169" s="254">
        <f t="shared" si="4"/>
        <v>4</v>
      </c>
      <c r="C169" s="255" t="s">
        <v>2065</v>
      </c>
      <c r="D169" s="254" t="str">
        <f t="shared" si="5"/>
        <v>DisplayKeys ( Keys.RWin,twKeysInfo);</v>
      </c>
    </row>
    <row r="170" spans="1:4" ht="15.75" thickBot="1" x14ac:dyDescent="0.3">
      <c r="A170" s="254" t="s">
        <v>2066</v>
      </c>
      <c r="B170" s="254">
        <f t="shared" si="4"/>
        <v>1</v>
      </c>
      <c r="C170" s="255" t="s">
        <v>2067</v>
      </c>
      <c r="D170" s="254" t="str">
        <f t="shared" si="5"/>
        <v>DisplayKeys ( Keys.S,twKeysInfo);</v>
      </c>
    </row>
    <row r="171" spans="1:4" ht="15.75" thickBot="1" x14ac:dyDescent="0.3">
      <c r="A171" s="254" t="s">
        <v>2068</v>
      </c>
      <c r="B171" s="254">
        <f t="shared" si="4"/>
        <v>6</v>
      </c>
      <c r="C171" s="255" t="s">
        <v>2069</v>
      </c>
      <c r="D171" s="254" t="str">
        <f t="shared" si="5"/>
        <v>DisplayKeys ( Keys.Scroll,twKeysInfo);</v>
      </c>
    </row>
    <row r="172" spans="1:4" ht="15.75" thickBot="1" x14ac:dyDescent="0.3">
      <c r="A172" s="254" t="s">
        <v>2070</v>
      </c>
      <c r="B172" s="254">
        <f t="shared" si="4"/>
        <v>6</v>
      </c>
      <c r="C172" s="255" t="s">
        <v>2071</v>
      </c>
      <c r="D172" s="254" t="str">
        <f t="shared" si="5"/>
        <v>DisplayKeys ( Keys.Select,twKeysInfo);</v>
      </c>
    </row>
    <row r="173" spans="1:4" ht="15.75" thickBot="1" x14ac:dyDescent="0.3">
      <c r="A173" s="254" t="s">
        <v>2072</v>
      </c>
      <c r="B173" s="254">
        <f t="shared" si="4"/>
        <v>11</v>
      </c>
      <c r="C173" s="255" t="s">
        <v>2073</v>
      </c>
      <c r="D173" s="254" t="str">
        <f t="shared" si="5"/>
        <v>DisplayKeys ( Keys.SelectMedia,twKeysInfo);</v>
      </c>
    </row>
    <row r="174" spans="1:4" ht="15.75" thickBot="1" x14ac:dyDescent="0.3">
      <c r="A174" s="254" t="s">
        <v>2074</v>
      </c>
      <c r="B174" s="254">
        <f t="shared" si="4"/>
        <v>9</v>
      </c>
      <c r="C174" s="255" t="s">
        <v>2075</v>
      </c>
      <c r="D174" s="254" t="str">
        <f t="shared" si="5"/>
        <v>DisplayKeys ( Keys.Separator,twKeysInfo);</v>
      </c>
    </row>
    <row r="175" spans="1:4" ht="15.75" thickBot="1" x14ac:dyDescent="0.3">
      <c r="A175" s="254" t="s">
        <v>2076</v>
      </c>
      <c r="B175" s="254">
        <f t="shared" si="4"/>
        <v>5</v>
      </c>
      <c r="C175" s="255" t="s">
        <v>2077</v>
      </c>
      <c r="D175" s="254" t="str">
        <f t="shared" si="5"/>
        <v>DisplayKeys ( Keys.Shift,twKeysInfo);</v>
      </c>
    </row>
    <row r="176" spans="1:4" ht="15.75" thickBot="1" x14ac:dyDescent="0.3">
      <c r="A176" s="254" t="s">
        <v>2078</v>
      </c>
      <c r="B176" s="254">
        <f t="shared" si="4"/>
        <v>8</v>
      </c>
      <c r="C176" s="255" t="s">
        <v>2079</v>
      </c>
      <c r="D176" s="254" t="str">
        <f t="shared" si="5"/>
        <v>DisplayKeys ( Keys.ShiftKey,twKeysInfo);</v>
      </c>
    </row>
    <row r="177" spans="1:4" ht="15.75" thickBot="1" x14ac:dyDescent="0.3">
      <c r="A177" s="254" t="s">
        <v>2080</v>
      </c>
      <c r="B177" s="254">
        <f t="shared" si="4"/>
        <v>5</v>
      </c>
      <c r="C177" s="255" t="s">
        <v>2081</v>
      </c>
      <c r="D177" s="254" t="str">
        <f t="shared" si="5"/>
        <v>DisplayKeys ( Keys.Sleep,twKeysInfo);</v>
      </c>
    </row>
    <row r="178" spans="1:4" ht="15.75" thickBot="1" x14ac:dyDescent="0.3">
      <c r="A178" s="254" t="s">
        <v>2082</v>
      </c>
      <c r="B178" s="254">
        <f t="shared" si="4"/>
        <v>8</v>
      </c>
      <c r="C178" s="255" t="s">
        <v>2044</v>
      </c>
      <c r="D178" s="254" t="str">
        <f t="shared" si="5"/>
        <v>DisplayKeys ( Keys.Snapshot,twKeysInfo);</v>
      </c>
    </row>
    <row r="179" spans="1:4" ht="15.75" thickBot="1" x14ac:dyDescent="0.3">
      <c r="A179" s="254" t="s">
        <v>2083</v>
      </c>
      <c r="B179" s="254">
        <f t="shared" si="4"/>
        <v>5</v>
      </c>
      <c r="C179" s="255" t="s">
        <v>2084</v>
      </c>
      <c r="D179" s="254" t="str">
        <f t="shared" si="5"/>
        <v>DisplayKeys ( Keys.Space,twKeysInfo);</v>
      </c>
    </row>
    <row r="180" spans="1:4" ht="15.75" thickBot="1" x14ac:dyDescent="0.3">
      <c r="A180" s="254" t="s">
        <v>2085</v>
      </c>
      <c r="B180" s="254">
        <f t="shared" si="4"/>
        <v>8</v>
      </c>
      <c r="C180" s="255" t="s">
        <v>2086</v>
      </c>
      <c r="D180" s="254" t="str">
        <f t="shared" si="5"/>
        <v>DisplayKeys ( Keys.Subtract,twKeysInfo);</v>
      </c>
    </row>
    <row r="181" spans="1:4" ht="15.75" thickBot="1" x14ac:dyDescent="0.3">
      <c r="A181" s="254" t="s">
        <v>2087</v>
      </c>
      <c r="B181" s="254">
        <f t="shared" si="4"/>
        <v>1</v>
      </c>
      <c r="C181" s="255" t="s">
        <v>2088</v>
      </c>
      <c r="D181" s="254" t="str">
        <f t="shared" si="5"/>
        <v>DisplayKeys ( Keys.T,twKeysInfo);</v>
      </c>
    </row>
    <row r="182" spans="1:4" ht="15.75" thickBot="1" x14ac:dyDescent="0.3">
      <c r="A182" s="254" t="s">
        <v>2089</v>
      </c>
      <c r="B182" s="254">
        <f t="shared" si="4"/>
        <v>3</v>
      </c>
      <c r="C182" s="255" t="s">
        <v>2090</v>
      </c>
      <c r="D182" s="254" t="str">
        <f t="shared" si="5"/>
        <v>DisplayKeys ( Keys.Tab,twKeysInfo);</v>
      </c>
    </row>
    <row r="183" spans="1:4" ht="15.75" thickBot="1" x14ac:dyDescent="0.3">
      <c r="A183" s="254" t="s">
        <v>2091</v>
      </c>
      <c r="B183" s="254">
        <f t="shared" si="4"/>
        <v>1</v>
      </c>
      <c r="C183" s="255" t="s">
        <v>2092</v>
      </c>
      <c r="D183" s="254" t="str">
        <f t="shared" si="5"/>
        <v>DisplayKeys ( Keys.U,twKeysInfo);</v>
      </c>
    </row>
    <row r="184" spans="1:4" ht="15.75" thickBot="1" x14ac:dyDescent="0.3">
      <c r="A184" s="254" t="s">
        <v>2093</v>
      </c>
      <c r="B184" s="254">
        <f t="shared" si="4"/>
        <v>2</v>
      </c>
      <c r="C184" s="255" t="s">
        <v>2094</v>
      </c>
      <c r="D184" s="254" t="str">
        <f t="shared" si="5"/>
        <v>DisplayKeys ( Keys.Up,twKeysInfo);</v>
      </c>
    </row>
    <row r="185" spans="1:4" ht="15.75" thickBot="1" x14ac:dyDescent="0.3">
      <c r="A185" s="254" t="s">
        <v>2095</v>
      </c>
      <c r="B185" s="254">
        <f t="shared" si="4"/>
        <v>1</v>
      </c>
      <c r="C185" s="255" t="s">
        <v>2096</v>
      </c>
      <c r="D185" s="254" t="str">
        <f t="shared" si="5"/>
        <v>DisplayKeys ( Keys.V,twKeysInfo);</v>
      </c>
    </row>
    <row r="186" spans="1:4" ht="15.75" thickBot="1" x14ac:dyDescent="0.3">
      <c r="A186" s="254" t="s">
        <v>2097</v>
      </c>
      <c r="B186" s="254">
        <f t="shared" si="4"/>
        <v>10</v>
      </c>
      <c r="C186" s="255" t="s">
        <v>2098</v>
      </c>
      <c r="D186" s="254" t="str">
        <f t="shared" si="5"/>
        <v>DisplayKeys ( Keys.VolumeDown,twKeysInfo);</v>
      </c>
    </row>
    <row r="187" spans="1:4" ht="15.75" thickBot="1" x14ac:dyDescent="0.3">
      <c r="A187" s="254" t="s">
        <v>2099</v>
      </c>
      <c r="B187" s="254">
        <f t="shared" si="4"/>
        <v>10</v>
      </c>
      <c r="C187" s="255" t="s">
        <v>2100</v>
      </c>
      <c r="D187" s="254" t="str">
        <f t="shared" si="5"/>
        <v>DisplayKeys ( Keys.VolumeMute,twKeysInfo);</v>
      </c>
    </row>
    <row r="188" spans="1:4" ht="15.75" thickBot="1" x14ac:dyDescent="0.3">
      <c r="A188" s="254" t="s">
        <v>2101</v>
      </c>
      <c r="B188" s="254">
        <f t="shared" si="4"/>
        <v>8</v>
      </c>
      <c r="C188" s="255" t="s">
        <v>2102</v>
      </c>
      <c r="D188" s="254" t="str">
        <f t="shared" si="5"/>
        <v>DisplayKeys ( Keys.VolumeUp,twKeysInfo);</v>
      </c>
    </row>
    <row r="189" spans="1:4" ht="15.75" thickBot="1" x14ac:dyDescent="0.3">
      <c r="A189" s="254" t="s">
        <v>2103</v>
      </c>
      <c r="B189" s="254">
        <f t="shared" si="4"/>
        <v>1</v>
      </c>
      <c r="C189" s="255" t="s">
        <v>2104</v>
      </c>
      <c r="D189" s="254" t="str">
        <f t="shared" si="5"/>
        <v>DisplayKeys ( Keys.W,twKeysInfo);</v>
      </c>
    </row>
    <row r="190" spans="1:4" ht="15.75" thickBot="1" x14ac:dyDescent="0.3">
      <c r="A190" s="254" t="s">
        <v>2105</v>
      </c>
      <c r="B190" s="254">
        <f t="shared" si="4"/>
        <v>1</v>
      </c>
      <c r="C190" s="255" t="s">
        <v>2106</v>
      </c>
      <c r="D190" s="254" t="str">
        <f t="shared" si="5"/>
        <v>DisplayKeys ( Keys.X,twKeysInfo);</v>
      </c>
    </row>
    <row r="191" spans="1:4" ht="15.75" thickBot="1" x14ac:dyDescent="0.3">
      <c r="A191" s="254" t="s">
        <v>2107</v>
      </c>
      <c r="B191" s="254">
        <f t="shared" si="4"/>
        <v>8</v>
      </c>
      <c r="C191" s="255" t="s">
        <v>2108</v>
      </c>
      <c r="D191" s="254" t="str">
        <f t="shared" si="5"/>
        <v>DisplayKeys ( Keys.XButton1,twKeysInfo);</v>
      </c>
    </row>
    <row r="192" spans="1:4" ht="15.75" thickBot="1" x14ac:dyDescent="0.3">
      <c r="A192" s="254" t="s">
        <v>2109</v>
      </c>
      <c r="B192" s="254">
        <f t="shared" si="4"/>
        <v>8</v>
      </c>
      <c r="C192" s="255" t="s">
        <v>2110</v>
      </c>
      <c r="D192" s="254" t="str">
        <f t="shared" si="5"/>
        <v>DisplayKeys ( Keys.XButton2,twKeysInfo);</v>
      </c>
    </row>
    <row r="193" spans="1:4" ht="15.75" thickBot="1" x14ac:dyDescent="0.3">
      <c r="A193" s="254" t="s">
        <v>2111</v>
      </c>
      <c r="B193" s="254">
        <f t="shared" si="4"/>
        <v>1</v>
      </c>
      <c r="C193" s="255" t="s">
        <v>2112</v>
      </c>
      <c r="D193" s="254" t="str">
        <f t="shared" si="5"/>
        <v>DisplayKeys ( Keys.Y,twKeysInfo);</v>
      </c>
    </row>
    <row r="194" spans="1:4" ht="15.75" thickBot="1" x14ac:dyDescent="0.3">
      <c r="A194" s="254" t="s">
        <v>2113</v>
      </c>
      <c r="B194" s="254">
        <f t="shared" si="4"/>
        <v>1</v>
      </c>
      <c r="C194" s="255" t="s">
        <v>2114</v>
      </c>
      <c r="D194" s="254" t="str">
        <f t="shared" si="5"/>
        <v>DisplayKeys ( Keys.Z,twKeysInfo);</v>
      </c>
    </row>
    <row r="195" spans="1:4" ht="15.75" thickBot="1" x14ac:dyDescent="0.3">
      <c r="A195" s="254" t="s">
        <v>2115</v>
      </c>
      <c r="B195" s="254">
        <f>LEN(A195)</f>
        <v>4</v>
      </c>
      <c r="C195" s="255" t="s">
        <v>2116</v>
      </c>
      <c r="D195" s="254" t="str">
        <f>CONCATENATE("DisplayKeys ( Keys.",A195,",twKeysInfo);")</f>
        <v>DisplayKeys ( Keys.Zoom,twKeysInfo);</v>
      </c>
    </row>
    <row r="196" spans="1:4" ht="15.75" thickBot="1" x14ac:dyDescent="0.3"/>
    <row r="197" spans="1:4" ht="15.75" thickBot="1" x14ac:dyDescent="0.3">
      <c r="A197" s="256" t="s">
        <v>2117</v>
      </c>
      <c r="B197" s="254">
        <f>MAX(B1:B196)</f>
        <v>18</v>
      </c>
    </row>
  </sheetData>
  <pageMargins left="0.7" right="0.7" top="0.75" bottom="0.75" header="0.3" footer="0.3"/>
  <pageSetup orientation="portrait" horizontalDpi="0" verticalDpi="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H13"/>
  <sheetViews>
    <sheetView workbookViewId="0">
      <pane xSplit="1" ySplit="1" topLeftCell="B2" activePane="bottomRight" state="frozen"/>
      <selection pane="topRight" activeCell="B1" sqref="B1"/>
      <selection pane="bottomLeft" activeCell="A2" sqref="A2"/>
      <selection pane="bottomRight"/>
    </sheetView>
  </sheetViews>
  <sheetFormatPr defaultRowHeight="15" x14ac:dyDescent="0.25"/>
  <cols>
    <col min="1" max="1" width="97.5" bestFit="1" customWidth="1"/>
    <col min="2" max="2" width="34.625" bestFit="1" customWidth="1"/>
    <col min="3" max="3" width="38.75" bestFit="1" customWidth="1"/>
    <col min="4" max="4" width="37.75" bestFit="1" customWidth="1"/>
    <col min="5" max="6" width="81" bestFit="1" customWidth="1"/>
    <col min="7" max="7" width="22.25" bestFit="1" customWidth="1"/>
    <col min="8" max="8" width="39.75" bestFit="1" customWidth="1"/>
    <col min="9" max="9" width="49" bestFit="1" customWidth="1"/>
    <col min="10" max="11" width="47" bestFit="1" customWidth="1"/>
    <col min="12" max="12" width="48" bestFit="1" customWidth="1"/>
    <col min="13" max="13" width="63.5" bestFit="1" customWidth="1"/>
    <col min="14" max="14" width="29.5" bestFit="1" customWidth="1"/>
    <col min="15" max="15" width="20.25" bestFit="1" customWidth="1"/>
    <col min="16" max="16" width="20.5" bestFit="1" customWidth="1"/>
    <col min="17" max="17" width="40.75" bestFit="1" customWidth="1"/>
  </cols>
  <sheetData>
    <row r="1" spans="1:34" ht="18" x14ac:dyDescent="0.25">
      <c r="A1" s="127" t="s">
        <v>724</v>
      </c>
      <c r="B1" s="127" t="s">
        <v>725</v>
      </c>
      <c r="C1" s="127" t="s">
        <v>726</v>
      </c>
      <c r="D1" s="127" t="s">
        <v>727</v>
      </c>
      <c r="E1" s="127" t="s">
        <v>728</v>
      </c>
      <c r="F1" s="129" t="s">
        <v>729</v>
      </c>
      <c r="G1" s="127" t="s">
        <v>730</v>
      </c>
      <c r="H1" s="127" t="s">
        <v>731</v>
      </c>
      <c r="I1" s="127" t="s">
        <v>732</v>
      </c>
      <c r="J1" s="127" t="s">
        <v>733</v>
      </c>
      <c r="K1" s="127" t="s">
        <v>734</v>
      </c>
      <c r="L1" s="127" t="s">
        <v>735</v>
      </c>
      <c r="M1" s="127" t="s">
        <v>736</v>
      </c>
      <c r="N1" s="127" t="s">
        <v>737</v>
      </c>
      <c r="O1" s="127" t="s">
        <v>738</v>
      </c>
      <c r="P1" s="127" t="s">
        <v>739</v>
      </c>
      <c r="Q1" s="127" t="s">
        <v>740</v>
      </c>
      <c r="R1" t="s">
        <v>902</v>
      </c>
      <c r="S1" t="s">
        <v>903</v>
      </c>
      <c r="T1" t="str">
        <f>S1</f>
        <v>.</v>
      </c>
      <c r="U1" t="str">
        <f>T1</f>
        <v>.</v>
      </c>
      <c r="V1" t="s">
        <v>904</v>
      </c>
      <c r="W1" t="s">
        <v>905</v>
      </c>
      <c r="X1" t="s">
        <v>906</v>
      </c>
      <c r="Y1" t="s">
        <v>907</v>
      </c>
      <c r="Z1" t="s">
        <v>758</v>
      </c>
      <c r="AA1" t="s">
        <v>911</v>
      </c>
      <c r="AB1" t="s">
        <v>910</v>
      </c>
      <c r="AC1" t="s">
        <v>912</v>
      </c>
      <c r="AD1" t="s">
        <v>913</v>
      </c>
      <c r="AE1" t="s">
        <v>13</v>
      </c>
      <c r="AF1" t="s">
        <v>950</v>
      </c>
      <c r="AG1" t="s">
        <v>949</v>
      </c>
      <c r="AH1" t="s">
        <v>948</v>
      </c>
    </row>
    <row r="2" spans="1:34" x14ac:dyDescent="0.25">
      <c r="A2" s="128" t="s">
        <v>741</v>
      </c>
      <c r="B2" s="128" t="s">
        <v>742</v>
      </c>
      <c r="C2" s="128" t="s">
        <v>743</v>
      </c>
      <c r="D2" s="128" t="s">
        <v>744</v>
      </c>
      <c r="E2" s="128" t="s">
        <v>873</v>
      </c>
      <c r="F2" s="130" t="s">
        <v>746</v>
      </c>
      <c r="G2" s="128" t="s">
        <v>747</v>
      </c>
      <c r="H2" s="128" t="s">
        <v>748</v>
      </c>
      <c r="I2" s="128" t="s">
        <v>749</v>
      </c>
      <c r="J2" s="128" t="s">
        <v>2312</v>
      </c>
      <c r="K2" s="128" t="s">
        <v>2313</v>
      </c>
      <c r="L2" s="128" t="s">
        <v>752</v>
      </c>
      <c r="M2" s="128"/>
      <c r="N2" s="128" t="s">
        <v>753</v>
      </c>
      <c r="O2" s="128" t="s">
        <v>754</v>
      </c>
      <c r="P2" s="128" t="s">
        <v>755</v>
      </c>
      <c r="Q2" s="128" t="s">
        <v>2314</v>
      </c>
      <c r="R2" s="128" t="str">
        <f>IFERROR(LEFT(Q2,FIND(CHAR(32),Q2)-1),Q2)</f>
        <v>2.0.50727.8762</v>
      </c>
      <c r="S2" s="128">
        <f>IF(R$1=S$1,FIND(S$1,$R2,R2+1),FIND(S$1,$R2))</f>
        <v>2</v>
      </c>
      <c r="T2" s="128">
        <f>IF(S$1=T$1,FIND(T$1,$R2,S2+1),FIND(T$1,$R2))</f>
        <v>4</v>
      </c>
      <c r="U2" s="128">
        <f>IF(T$1=U$1,FIND(U$1,$R2,T2+1),FIND(U$1,$R2))</f>
        <v>10</v>
      </c>
      <c r="V2" s="128">
        <f>INT(LEFT(R2,S2-1))</f>
        <v>2</v>
      </c>
      <c r="W2" s="128">
        <f>INT(MID(R2,S2+1,T2-S2-1))</f>
        <v>0</v>
      </c>
      <c r="X2" s="128">
        <f>INT(MID(R2,T2+1,U2-T2-1))</f>
        <v>50727</v>
      </c>
      <c r="Y2" s="128" t="str">
        <f>RIGHT(R2,LEN(R2)-U2)</f>
        <v>8762</v>
      </c>
      <c r="Z2" s="128" t="b">
        <f t="shared" ref="Z2:Z10" si="0">OR(LEFT(E2,LEN(Program_Files_Root_Directory_Name))=Program_Files_Root_Directory_Name,LEFT(E2,LEN(Windows_Root_Directory_Name))=Windows_Root_Directory_Name)</f>
        <v>1</v>
      </c>
      <c r="AA2" s="128" t="str">
        <f>IF(Z2,"",RIGHT(B2,LEN(B2)-FIND(".",B2)))</f>
        <v/>
      </c>
      <c r="AB2" s="128" t="str">
        <f>IF(Z2,"",CONCATENATE(SUBSTITUTE(LEFT(E2,FIND("\bin\",LOWER(E2))-1),[1]!GetLeafDirectoryName(LEFT(E2,FIND("\bin\",LOWER(E2))-1)),""),AA2,"\Properties\"))</f>
        <v/>
      </c>
      <c r="AC2" s="128" t="str">
        <f>IF(Z2,"",CONCATENATE(AB2,"AssemblyInfo.cs"))</f>
        <v/>
      </c>
      <c r="AD2" s="128" t="str">
        <f>IF(Z2,"",[1]!FileExists(AC2))</f>
        <v/>
      </c>
      <c r="AE2" s="128" t="str">
        <f>IF(Z2,"",[1]!lngFileSize(AC2))</f>
        <v/>
      </c>
      <c r="AF2" s="128"/>
      <c r="AG2" s="128" t="str">
        <f>IF(Z2,"",[1]!dtmFileDateInfo(AC2))</f>
        <v/>
      </c>
    </row>
    <row r="3" spans="1:34" x14ac:dyDescent="0.25">
      <c r="A3" s="128" t="s">
        <v>757</v>
      </c>
      <c r="B3" s="128" t="s">
        <v>758</v>
      </c>
      <c r="C3" s="128" t="s">
        <v>759</v>
      </c>
      <c r="D3" s="128"/>
      <c r="E3" s="128" t="s">
        <v>760</v>
      </c>
      <c r="F3" s="130" t="s">
        <v>746</v>
      </c>
      <c r="G3" s="128" t="s">
        <v>747</v>
      </c>
      <c r="H3" s="128" t="s">
        <v>748</v>
      </c>
      <c r="I3" s="128" t="s">
        <v>761</v>
      </c>
      <c r="J3" s="128" t="s">
        <v>874</v>
      </c>
      <c r="K3" s="128" t="s">
        <v>877</v>
      </c>
      <c r="L3" s="128" t="s">
        <v>752</v>
      </c>
      <c r="M3" s="128"/>
      <c r="N3" s="128" t="s">
        <v>753</v>
      </c>
      <c r="O3" s="128" t="s">
        <v>754</v>
      </c>
      <c r="P3" s="128" t="s">
        <v>755</v>
      </c>
      <c r="Q3" s="128" t="s">
        <v>878</v>
      </c>
      <c r="R3" s="128" t="str">
        <f t="shared" ref="R3:R10" si="1">IFERROR(LEFT(Q3,FIND(CHAR(32),Q3)-1),Q3)</f>
        <v>2.0.50727.8759</v>
      </c>
      <c r="S3" s="128">
        <f t="shared" ref="S3:U3" si="2">IF(R$1=S$1,FIND(S$1,$R3,R3+1),FIND(S$1,$R3))</f>
        <v>2</v>
      </c>
      <c r="T3" s="128">
        <f t="shared" si="2"/>
        <v>4</v>
      </c>
      <c r="U3" s="128">
        <f t="shared" si="2"/>
        <v>10</v>
      </c>
      <c r="V3" s="128">
        <f t="shared" ref="V3:V11" si="3">INT(LEFT(R3,S3-1))</f>
        <v>2</v>
      </c>
      <c r="W3" s="128">
        <f t="shared" ref="W3:W11" si="4">INT(MID(R3,S3+1,T3-S3-1))</f>
        <v>0</v>
      </c>
      <c r="X3" s="128">
        <f t="shared" ref="X3:X11" si="5">INT(MID(R3,T3+1,U3-T3-1))</f>
        <v>50727</v>
      </c>
      <c r="Y3" s="128" t="str">
        <f t="shared" ref="Y3:Y11" si="6">RIGHT(R3,LEN(R3)-U3)</f>
        <v>8759</v>
      </c>
      <c r="Z3" s="128" t="b">
        <f t="shared" si="0"/>
        <v>1</v>
      </c>
      <c r="AA3" s="128" t="str">
        <f t="shared" ref="AA3:AA10" si="7">IF(Z3,"",RIGHT(B3,LEN(B3)-FIND(".",B3)))</f>
        <v/>
      </c>
      <c r="AB3" s="128" t="str">
        <f>IF(Z3,"",CONCATENATE(SUBSTITUTE(LEFT(E3,FIND("\bin\",LOWER(E3))-1),[1]!GetLeafDirectoryName(LEFT(E3,FIND("\bin\",LOWER(E3))-1)),""),AA3,"\Properties\"))</f>
        <v/>
      </c>
      <c r="AC3" s="128" t="str">
        <f t="shared" ref="AC3:AC11" si="8">IF(Z3,"",CONCATENATE(AB3,"AssemblyInfo.cs"))</f>
        <v/>
      </c>
      <c r="AD3" s="128" t="str">
        <f>IF(Z3,"",[1]!FileExists(AC3))</f>
        <v/>
      </c>
      <c r="AE3" s="128" t="str">
        <f>IF(Z3,"",[1]!lngFileSize(AC3))</f>
        <v/>
      </c>
      <c r="AF3" s="128"/>
      <c r="AG3" s="128" t="str">
        <f>IF(Z3,"",[1]!dtmFileDateInfo(AC3))</f>
        <v/>
      </c>
    </row>
    <row r="4" spans="1:34" x14ac:dyDescent="0.25">
      <c r="A4" s="128" t="s">
        <v>765</v>
      </c>
      <c r="B4" s="128" t="s">
        <v>766</v>
      </c>
      <c r="C4" s="128" t="s">
        <v>767</v>
      </c>
      <c r="D4" s="128"/>
      <c r="E4" s="128" t="s">
        <v>768</v>
      </c>
      <c r="F4" s="130" t="s">
        <v>746</v>
      </c>
      <c r="G4" s="128" t="s">
        <v>747</v>
      </c>
      <c r="H4" s="128" t="s">
        <v>748</v>
      </c>
      <c r="I4" s="128" t="s">
        <v>761</v>
      </c>
      <c r="J4" s="128" t="s">
        <v>769</v>
      </c>
      <c r="K4" s="128" t="s">
        <v>769</v>
      </c>
      <c r="L4" s="128" t="s">
        <v>752</v>
      </c>
      <c r="M4" s="128"/>
      <c r="N4" s="128" t="s">
        <v>753</v>
      </c>
      <c r="O4" s="128" t="s">
        <v>754</v>
      </c>
      <c r="P4" s="128" t="s">
        <v>755</v>
      </c>
      <c r="Q4" s="128" t="s">
        <v>770</v>
      </c>
      <c r="R4" s="128" t="str">
        <f t="shared" si="1"/>
        <v>3.5.30729.5420</v>
      </c>
      <c r="S4" s="128">
        <f t="shared" ref="S4:U4" si="9">IF(R$1=S$1,FIND(S$1,$R4,R4+1),FIND(S$1,$R4))</f>
        <v>2</v>
      </c>
      <c r="T4" s="128">
        <f t="shared" si="9"/>
        <v>4</v>
      </c>
      <c r="U4" s="128">
        <f t="shared" si="9"/>
        <v>10</v>
      </c>
      <c r="V4" s="128">
        <f t="shared" si="3"/>
        <v>3</v>
      </c>
      <c r="W4" s="128">
        <f t="shared" si="4"/>
        <v>5</v>
      </c>
      <c r="X4" s="128">
        <f t="shared" si="5"/>
        <v>30729</v>
      </c>
      <c r="Y4" s="128" t="str">
        <f t="shared" si="6"/>
        <v>5420</v>
      </c>
      <c r="Z4" s="128" t="b">
        <f t="shared" si="0"/>
        <v>1</v>
      </c>
      <c r="AA4" s="128" t="str">
        <f t="shared" si="7"/>
        <v/>
      </c>
      <c r="AB4" s="128" t="str">
        <f>IF(Z4,"",CONCATENATE(SUBSTITUTE(LEFT(E4,FIND("\bin\",LOWER(E4))-1),[1]!GetLeafDirectoryName(LEFT(E4,FIND("\bin\",LOWER(E4))-1)),""),AA4,"\Properties\"))</f>
        <v/>
      </c>
      <c r="AC4" s="128" t="str">
        <f t="shared" si="8"/>
        <v/>
      </c>
      <c r="AD4" s="128" t="str">
        <f>IF(Z4,"",[1]!FileExists(AC4))</f>
        <v/>
      </c>
      <c r="AE4" s="128" t="str">
        <f>IF(Z4,"",[1]!lngFileSize(AC4))</f>
        <v/>
      </c>
      <c r="AF4" s="128"/>
      <c r="AG4" s="128" t="str">
        <f>IF(Z4,"",[1]!dtmFileDateInfo(AC4))</f>
        <v/>
      </c>
    </row>
    <row r="5" spans="1:34" x14ac:dyDescent="0.25">
      <c r="A5" s="128" t="s">
        <v>771</v>
      </c>
      <c r="B5" s="128" t="s">
        <v>772</v>
      </c>
      <c r="C5" s="128" t="s">
        <v>773</v>
      </c>
      <c r="D5" s="128"/>
      <c r="E5" s="128" t="s">
        <v>774</v>
      </c>
      <c r="F5" s="130" t="s">
        <v>746</v>
      </c>
      <c r="G5" s="128" t="s">
        <v>747</v>
      </c>
      <c r="H5" s="128" t="s">
        <v>748</v>
      </c>
      <c r="I5" s="128" t="s">
        <v>761</v>
      </c>
      <c r="J5" s="128" t="s">
        <v>775</v>
      </c>
      <c r="K5" s="128" t="s">
        <v>776</v>
      </c>
      <c r="L5" s="128" t="s">
        <v>752</v>
      </c>
      <c r="M5" s="128"/>
      <c r="N5" s="128" t="s">
        <v>753</v>
      </c>
      <c r="O5" s="128" t="s">
        <v>754</v>
      </c>
      <c r="P5" s="128" t="s">
        <v>755</v>
      </c>
      <c r="Q5" s="128" t="s">
        <v>777</v>
      </c>
      <c r="R5" s="128" t="str">
        <f t="shared" si="1"/>
        <v>2.0.50727.5494</v>
      </c>
      <c r="S5" s="128">
        <f t="shared" ref="S5:U5" si="10">IF(R$1=S$1,FIND(S$1,$R5,R5+1),FIND(S$1,$R5))</f>
        <v>2</v>
      </c>
      <c r="T5" s="128">
        <f t="shared" si="10"/>
        <v>4</v>
      </c>
      <c r="U5" s="128">
        <f t="shared" si="10"/>
        <v>10</v>
      </c>
      <c r="V5" s="128">
        <f t="shared" si="3"/>
        <v>2</v>
      </c>
      <c r="W5" s="128">
        <f t="shared" si="4"/>
        <v>0</v>
      </c>
      <c r="X5" s="128">
        <f t="shared" si="5"/>
        <v>50727</v>
      </c>
      <c r="Y5" s="128" t="str">
        <f t="shared" si="6"/>
        <v>5494</v>
      </c>
      <c r="Z5" s="128" t="b">
        <f t="shared" si="0"/>
        <v>1</v>
      </c>
      <c r="AA5" s="128" t="str">
        <f t="shared" si="7"/>
        <v/>
      </c>
      <c r="AB5" s="128" t="str">
        <f>IF(Z5,"",CONCATENATE(SUBSTITUTE(LEFT(E5,FIND("\bin\",LOWER(E5))-1),[1]!GetLeafDirectoryName(LEFT(E5,FIND("\bin\",LOWER(E5))-1)),""),AA5,"\Properties\"))</f>
        <v/>
      </c>
      <c r="AC5" s="128" t="str">
        <f t="shared" si="8"/>
        <v/>
      </c>
      <c r="AD5" s="128" t="str">
        <f>IF(Z5,"",[1]!FileExists(AC5))</f>
        <v/>
      </c>
      <c r="AE5" s="128" t="str">
        <f>IF(Z5,"",[1]!lngFileSize(AC5))</f>
        <v/>
      </c>
      <c r="AF5" s="128"/>
      <c r="AG5" s="128" t="str">
        <f>IF(Z5,"",[1]!dtmFileDateInfo(AC5))</f>
        <v/>
      </c>
    </row>
    <row r="6" spans="1:34" x14ac:dyDescent="0.25">
      <c r="A6" s="128" t="s">
        <v>2315</v>
      </c>
      <c r="B6" s="128" t="s">
        <v>2316</v>
      </c>
      <c r="C6" s="128" t="s">
        <v>2317</v>
      </c>
      <c r="D6" s="128" t="s">
        <v>2318</v>
      </c>
      <c r="E6" s="128" t="s">
        <v>2319</v>
      </c>
      <c r="F6" s="130" t="s">
        <v>2320</v>
      </c>
      <c r="G6" s="128" t="s">
        <v>782</v>
      </c>
      <c r="H6" s="128" t="s">
        <v>748</v>
      </c>
      <c r="I6" s="128" t="s">
        <v>2321</v>
      </c>
      <c r="J6" s="128" t="s">
        <v>2322</v>
      </c>
      <c r="K6" s="128" t="s">
        <v>2323</v>
      </c>
      <c r="L6" s="128" t="s">
        <v>2324</v>
      </c>
      <c r="M6" s="128" t="s">
        <v>786</v>
      </c>
      <c r="N6" s="128" t="s">
        <v>2321</v>
      </c>
      <c r="O6" s="128"/>
      <c r="P6" s="128" t="s">
        <v>755</v>
      </c>
      <c r="Q6" s="128" t="s">
        <v>2325</v>
      </c>
      <c r="R6" s="128" t="str">
        <f t="shared" si="1"/>
        <v>7.0.76.3375</v>
      </c>
      <c r="S6" s="128">
        <f t="shared" ref="S6:U6" si="11">IF(R$1=S$1,FIND(S$1,$R6,R6+1),FIND(S$1,$R6))</f>
        <v>2</v>
      </c>
      <c r="T6" s="128">
        <f t="shared" si="11"/>
        <v>4</v>
      </c>
      <c r="U6" s="128">
        <f t="shared" si="11"/>
        <v>7</v>
      </c>
      <c r="V6" s="128">
        <f t="shared" si="3"/>
        <v>7</v>
      </c>
      <c r="W6" s="128">
        <f t="shared" si="4"/>
        <v>0</v>
      </c>
      <c r="X6" s="128">
        <f t="shared" si="5"/>
        <v>76</v>
      </c>
      <c r="Y6" s="128" t="str">
        <f t="shared" si="6"/>
        <v>3375</v>
      </c>
      <c r="Z6" s="128" t="b">
        <f t="shared" si="0"/>
        <v>0</v>
      </c>
      <c r="AA6" s="128" t="str">
        <f t="shared" si="7"/>
        <v>ASCIIInfo</v>
      </c>
      <c r="AB6" s="128" t="str">
        <f>IF(Z6,"",CONCATENATE(SUBSTITUTE(LEFT(E6,FIND("\bin\",LOWER(E6))-1),[1]!GetLeafDirectoryName(LEFT(E6,FIND("\bin\",LOWER(E6))-1)),""),AA6,"\Properties\"))</f>
        <v>C:\Users\DAVE\Documents\Visual Studio 2013\Projects\WizardWrx_Libs\Wizardwrx\ASCIIInfo\Properties\</v>
      </c>
      <c r="AC6" s="128" t="str">
        <f t="shared" si="8"/>
        <v>C:\Users\DAVE\Documents\Visual Studio 2013\Projects\WizardWrx_Libs\Wizardwrx\ASCIIInfo\Properties\AssemblyInfo.cs</v>
      </c>
      <c r="AD6" s="128" t="b">
        <f>IF(Z6,"",[1]!FileExists(AC6))</f>
        <v>1</v>
      </c>
      <c r="AE6" s="128">
        <f>IF(Z6,"",[1]!lngFileSize(AC6))</f>
        <v>1591</v>
      </c>
      <c r="AF6" s="128"/>
      <c r="AG6" s="128">
        <f>IF(Z6,"",[1]!dtmFileDateInfo(AC6))</f>
        <v>43028.064745370371</v>
      </c>
    </row>
    <row r="7" spans="1:34" x14ac:dyDescent="0.25">
      <c r="A7" s="128" t="s">
        <v>2326</v>
      </c>
      <c r="B7" s="128" t="s">
        <v>779</v>
      </c>
      <c r="C7" s="128" t="s">
        <v>780</v>
      </c>
      <c r="D7" s="128" t="s">
        <v>781</v>
      </c>
      <c r="E7" s="128" t="s">
        <v>2319</v>
      </c>
      <c r="F7" s="130"/>
      <c r="G7" s="128" t="s">
        <v>782</v>
      </c>
      <c r="H7" s="128" t="s">
        <v>748</v>
      </c>
      <c r="I7" s="128" t="s">
        <v>779</v>
      </c>
      <c r="J7" s="128" t="s">
        <v>2322</v>
      </c>
      <c r="K7" s="128" t="s">
        <v>2327</v>
      </c>
      <c r="L7" s="128" t="s">
        <v>800</v>
      </c>
      <c r="M7" s="128" t="s">
        <v>786</v>
      </c>
      <c r="N7" s="128" t="s">
        <v>787</v>
      </c>
      <c r="O7" s="128"/>
      <c r="P7" s="128" t="s">
        <v>755</v>
      </c>
      <c r="Q7" s="128" t="s">
        <v>2328</v>
      </c>
      <c r="R7" s="128" t="str">
        <f t="shared" si="1"/>
        <v>7.0.101.40729</v>
      </c>
      <c r="S7" s="128">
        <f t="shared" ref="S7:U7" si="12">IF(R$1=S$1,FIND(S$1,$R7,R7+1),FIND(S$1,$R7))</f>
        <v>2</v>
      </c>
      <c r="T7" s="128">
        <f t="shared" si="12"/>
        <v>4</v>
      </c>
      <c r="U7" s="128">
        <f t="shared" si="12"/>
        <v>8</v>
      </c>
      <c r="V7" s="128">
        <f t="shared" si="3"/>
        <v>7</v>
      </c>
      <c r="W7" s="128">
        <f t="shared" si="4"/>
        <v>0</v>
      </c>
      <c r="X7" s="128">
        <f t="shared" si="5"/>
        <v>101</v>
      </c>
      <c r="Y7" s="128" t="str">
        <f t="shared" si="6"/>
        <v>40729</v>
      </c>
      <c r="Z7" s="128" t="b">
        <f t="shared" si="0"/>
        <v>0</v>
      </c>
      <c r="AA7" s="128" t="str">
        <f t="shared" si="7"/>
        <v>AssemblyUtils</v>
      </c>
      <c r="AB7" s="128" t="str">
        <f>IF(Z7,"",CONCATENATE(SUBSTITUTE(LEFT(E7,FIND("\bin\",LOWER(E7))-1),[1]!GetLeafDirectoryName(LEFT(E7,FIND("\bin\",LOWER(E7))-1)),""),AA7,"\Properties\"))</f>
        <v>C:\Users\DAVE\Documents\Visual Studio 2013\Projects\WizardWrx_Libs\Wizardwrx\AssemblyUtils\Properties\</v>
      </c>
      <c r="AC7" s="128" t="str">
        <f t="shared" si="8"/>
        <v>C:\Users\DAVE\Documents\Visual Studio 2013\Projects\WizardWrx_Libs\Wizardwrx\AssemblyUtils\Properties\AssemblyInfo.cs</v>
      </c>
      <c r="AD7" s="128" t="b">
        <f>IF(Z7,"",[1]!FileExists(AC7))</f>
        <v>1</v>
      </c>
      <c r="AE7" s="128">
        <f>IF(Z7,"",[1]!lngFileSize(AC7))</f>
        <v>1571</v>
      </c>
      <c r="AF7" s="128"/>
      <c r="AG7" s="128">
        <f>IF(Z7,"",[1]!dtmFileDateInfo(AC7))</f>
        <v>43028.064872685187</v>
      </c>
    </row>
    <row r="8" spans="1:34" x14ac:dyDescent="0.25">
      <c r="A8" s="128" t="s">
        <v>2329</v>
      </c>
      <c r="B8" s="128" t="s">
        <v>790</v>
      </c>
      <c r="C8" s="128" t="s">
        <v>791</v>
      </c>
      <c r="D8" s="128" t="s">
        <v>792</v>
      </c>
      <c r="E8" s="128" t="s">
        <v>2319</v>
      </c>
      <c r="F8" s="130"/>
      <c r="G8" s="128" t="s">
        <v>782</v>
      </c>
      <c r="H8" s="128" t="s">
        <v>748</v>
      </c>
      <c r="I8" s="128" t="s">
        <v>790</v>
      </c>
      <c r="J8" s="128" t="s">
        <v>2322</v>
      </c>
      <c r="K8" s="128" t="s">
        <v>2330</v>
      </c>
      <c r="L8" s="128" t="s">
        <v>785</v>
      </c>
      <c r="M8" s="128" t="s">
        <v>786</v>
      </c>
      <c r="N8" s="128" t="s">
        <v>787</v>
      </c>
      <c r="O8" s="128"/>
      <c r="P8" s="128" t="s">
        <v>755</v>
      </c>
      <c r="Q8" s="128" t="s">
        <v>2331</v>
      </c>
      <c r="R8" s="128" t="str">
        <f t="shared" si="1"/>
        <v>7.0.97.3123</v>
      </c>
      <c r="S8" s="128">
        <f t="shared" ref="S8:U8" si="13">IF(R$1=S$1,FIND(S$1,$R8,R8+1),FIND(S$1,$R8))</f>
        <v>2</v>
      </c>
      <c r="T8" s="128">
        <f t="shared" si="13"/>
        <v>4</v>
      </c>
      <c r="U8" s="128">
        <f t="shared" si="13"/>
        <v>7</v>
      </c>
      <c r="V8" s="128">
        <f t="shared" si="3"/>
        <v>7</v>
      </c>
      <c r="W8" s="128">
        <f t="shared" si="4"/>
        <v>0</v>
      </c>
      <c r="X8" s="128">
        <f t="shared" si="5"/>
        <v>97</v>
      </c>
      <c r="Y8" s="128" t="str">
        <f t="shared" si="6"/>
        <v>3123</v>
      </c>
      <c r="Z8" s="128" t="b">
        <f t="shared" si="0"/>
        <v>0</v>
      </c>
      <c r="AA8" s="128" t="str">
        <f t="shared" si="7"/>
        <v>Common</v>
      </c>
      <c r="AB8" s="128" t="str">
        <f>IF(Z8,"",CONCATENATE(SUBSTITUTE(LEFT(E8,FIND("\bin\",LOWER(E8))-1),[1]!GetLeafDirectoryName(LEFT(E8,FIND("\bin\",LOWER(E8))-1)),""),AA8,"\Properties\"))</f>
        <v>C:\Users\DAVE\Documents\Visual Studio 2013\Projects\WizardWrx_Libs\Wizardwrx\Common\Properties\</v>
      </c>
      <c r="AC8" s="128" t="str">
        <f t="shared" si="8"/>
        <v>C:\Users\DAVE\Documents\Visual Studio 2013\Projects\WizardWrx_Libs\Wizardwrx\Common\Properties\AssemblyInfo.cs</v>
      </c>
      <c r="AD8" s="128" t="b">
        <f>IF(Z8,"",[1]!FileExists(AC8))</f>
        <v>1</v>
      </c>
      <c r="AE8" s="128">
        <f>IF(Z8,"",[1]!lngFileSize(AC8))</f>
        <v>1562</v>
      </c>
      <c r="AF8" s="128"/>
      <c r="AG8" s="128">
        <f>IF(Z8,"",[1]!dtmFileDateInfo(AC8))</f>
        <v>42988.754212962966</v>
      </c>
    </row>
    <row r="9" spans="1:34" x14ac:dyDescent="0.25">
      <c r="A9" s="128" t="s">
        <v>2332</v>
      </c>
      <c r="B9" s="128" t="s">
        <v>796</v>
      </c>
      <c r="C9" s="128" t="s">
        <v>797</v>
      </c>
      <c r="D9" s="128" t="s">
        <v>798</v>
      </c>
      <c r="E9" s="128" t="s">
        <v>2319</v>
      </c>
      <c r="F9" s="130"/>
      <c r="G9" s="128" t="s">
        <v>782</v>
      </c>
      <c r="H9" s="128" t="s">
        <v>748</v>
      </c>
      <c r="I9" s="128" t="s">
        <v>796</v>
      </c>
      <c r="J9" s="128" t="s">
        <v>2322</v>
      </c>
      <c r="K9" s="128" t="s">
        <v>2333</v>
      </c>
      <c r="L9" s="128" t="s">
        <v>800</v>
      </c>
      <c r="M9" s="128" t="s">
        <v>786</v>
      </c>
      <c r="N9" s="128" t="s">
        <v>787</v>
      </c>
      <c r="O9" s="128"/>
      <c r="P9" s="128" t="s">
        <v>755</v>
      </c>
      <c r="Q9" s="128" t="s">
        <v>2334</v>
      </c>
      <c r="R9" s="128" t="str">
        <f t="shared" si="1"/>
        <v>7.0.178.40731</v>
      </c>
      <c r="S9" s="128">
        <f t="shared" ref="S9:U9" si="14">IF(R$1=S$1,FIND(S$1,$R9,R9+1),FIND(S$1,$R9))</f>
        <v>2</v>
      </c>
      <c r="T9" s="128">
        <f t="shared" si="14"/>
        <v>4</v>
      </c>
      <c r="U9" s="128">
        <f t="shared" si="14"/>
        <v>8</v>
      </c>
      <c r="V9" s="128">
        <f t="shared" si="3"/>
        <v>7</v>
      </c>
      <c r="W9" s="128">
        <f t="shared" si="4"/>
        <v>0</v>
      </c>
      <c r="X9" s="128">
        <f t="shared" si="5"/>
        <v>178</v>
      </c>
      <c r="Y9" s="128" t="str">
        <f t="shared" si="6"/>
        <v>40731</v>
      </c>
      <c r="Z9" s="128" t="b">
        <f t="shared" si="0"/>
        <v>0</v>
      </c>
      <c r="AA9" s="128" t="str">
        <f t="shared" si="7"/>
        <v>ConsoleStreams</v>
      </c>
      <c r="AB9" s="128" t="str">
        <f>IF(Z9,"",CONCATENATE(SUBSTITUTE(LEFT(E9,FIND("\bin\",LOWER(E9))-1),[1]!GetLeafDirectoryName(LEFT(E9,FIND("\bin\",LOWER(E9))-1)),""),AA9,"\Properties\"))</f>
        <v>C:\Users\DAVE\Documents\Visual Studio 2013\Projects\WizardWrx_Libs\Wizardwrx\ConsoleStreams\Properties\</v>
      </c>
      <c r="AC9" s="128" t="str">
        <f t="shared" si="8"/>
        <v>C:\Users\DAVE\Documents\Visual Studio 2013\Projects\WizardWrx_Libs\Wizardwrx\ConsoleStreams\Properties\AssemblyInfo.cs</v>
      </c>
      <c r="AD9" s="128" t="b">
        <f>IF(Z9,"",[1]!FileExists(AC9))</f>
        <v>1</v>
      </c>
      <c r="AE9" s="128">
        <f>IF(Z9,"",[1]!lngFileSize(AC9))</f>
        <v>1564</v>
      </c>
      <c r="AF9" s="128"/>
      <c r="AG9" s="128">
        <f>IF(Z9,"",[1]!dtmFileDateInfo(AC9))</f>
        <v>43028.064918981479</v>
      </c>
    </row>
    <row r="10" spans="1:34" x14ac:dyDescent="0.25">
      <c r="A10" s="128" t="s">
        <v>2335</v>
      </c>
      <c r="B10" s="128" t="s">
        <v>803</v>
      </c>
      <c r="C10" s="128" t="s">
        <v>804</v>
      </c>
      <c r="D10" s="128" t="s">
        <v>805</v>
      </c>
      <c r="E10" s="128" t="s">
        <v>2319</v>
      </c>
      <c r="F10" s="130"/>
      <c r="G10" s="128" t="s">
        <v>782</v>
      </c>
      <c r="H10" s="128" t="s">
        <v>748</v>
      </c>
      <c r="I10" s="128" t="s">
        <v>803</v>
      </c>
      <c r="J10" s="128" t="s">
        <v>2322</v>
      </c>
      <c r="K10" s="128" t="s">
        <v>2336</v>
      </c>
      <c r="L10" s="128" t="s">
        <v>800</v>
      </c>
      <c r="M10" s="128" t="s">
        <v>786</v>
      </c>
      <c r="N10" s="128" t="s">
        <v>787</v>
      </c>
      <c r="O10" s="128"/>
      <c r="P10" s="128" t="s">
        <v>755</v>
      </c>
      <c r="Q10" s="128" t="s">
        <v>2337</v>
      </c>
      <c r="R10" s="128" t="str">
        <f t="shared" si="1"/>
        <v>7.0.138.40727</v>
      </c>
      <c r="S10" s="128">
        <f t="shared" ref="S10:U10" si="15">IF(R$1=S$1,FIND(S$1,$R10,R10+1),FIND(S$1,$R10))</f>
        <v>2</v>
      </c>
      <c r="T10" s="128">
        <f t="shared" si="15"/>
        <v>4</v>
      </c>
      <c r="U10" s="128">
        <f t="shared" si="15"/>
        <v>8</v>
      </c>
      <c r="V10" s="128">
        <f t="shared" si="3"/>
        <v>7</v>
      </c>
      <c r="W10" s="128">
        <f t="shared" si="4"/>
        <v>0</v>
      </c>
      <c r="X10" s="128">
        <f t="shared" si="5"/>
        <v>138</v>
      </c>
      <c r="Y10" s="128" t="str">
        <f t="shared" si="6"/>
        <v>40727</v>
      </c>
      <c r="Z10" s="128" t="b">
        <f t="shared" si="0"/>
        <v>0</v>
      </c>
      <c r="AA10" s="128" t="str">
        <f t="shared" si="7"/>
        <v>Core</v>
      </c>
      <c r="AB10" s="128" t="str">
        <f>IF(Z10,"",CONCATENATE(SUBSTITUTE(LEFT(E10,FIND("\bin\",LOWER(E10))-1),[1]!GetLeafDirectoryName(LEFT(E10,FIND("\bin\",LOWER(E10))-1)),""),AA10,"\Properties\"))</f>
        <v>C:\Users\DAVE\Documents\Visual Studio 2013\Projects\WizardWrx_Libs\Wizardwrx\Core\Properties\</v>
      </c>
      <c r="AC10" s="128" t="str">
        <f t="shared" si="8"/>
        <v>C:\Users\DAVE\Documents\Visual Studio 2013\Projects\WizardWrx_Libs\Wizardwrx\Core\Properties\AssemblyInfo.cs</v>
      </c>
      <c r="AD10" s="128" t="b">
        <f>IF(Z10,"",[1]!FileExists(AC10))</f>
        <v>1</v>
      </c>
      <c r="AE10" s="128">
        <f>IF(Z10,"",[1]!lngFileSize(AC10))</f>
        <v>1556</v>
      </c>
      <c r="AF10" s="128"/>
      <c r="AG10" s="128">
        <f>IF(Z10,"",[1]!dtmFileDateInfo(AC10))</f>
        <v>43028.064826388887</v>
      </c>
    </row>
    <row r="11" spans="1:34" x14ac:dyDescent="0.25">
      <c r="A11" s="128" t="s">
        <v>2338</v>
      </c>
      <c r="B11" s="128" t="s">
        <v>809</v>
      </c>
      <c r="C11" s="128" t="s">
        <v>810</v>
      </c>
      <c r="D11" s="128" t="s">
        <v>811</v>
      </c>
      <c r="E11" s="128" t="s">
        <v>2319</v>
      </c>
      <c r="F11" s="130"/>
      <c r="G11" s="128" t="s">
        <v>782</v>
      </c>
      <c r="H11" s="128" t="s">
        <v>748</v>
      </c>
      <c r="I11" s="128" t="s">
        <v>809</v>
      </c>
      <c r="J11" s="128" t="s">
        <v>2322</v>
      </c>
      <c r="K11" s="128" t="s">
        <v>2339</v>
      </c>
      <c r="L11" s="128" t="s">
        <v>800</v>
      </c>
      <c r="M11" s="128" t="s">
        <v>786</v>
      </c>
      <c r="N11" s="128" t="s">
        <v>787</v>
      </c>
      <c r="O11" s="128"/>
      <c r="P11" s="128" t="s">
        <v>755</v>
      </c>
      <c r="Q11" s="128" t="s">
        <v>2340</v>
      </c>
      <c r="R11" s="128" t="str">
        <f>IFERROR(LEFT(Q13,FIND(CHAR(32),Q13)-1),Q13)</f>
        <v>7.0.149.3125</v>
      </c>
      <c r="S11" s="128">
        <f t="shared" ref="S11:U11" si="16">IF(R$1=S$1,FIND(S$1,$R11,R11+1),FIND(S$1,$R11))</f>
        <v>2</v>
      </c>
      <c r="T11" s="128">
        <f t="shared" si="16"/>
        <v>4</v>
      </c>
      <c r="U11" s="128">
        <f t="shared" si="16"/>
        <v>8</v>
      </c>
      <c r="V11" s="128">
        <f t="shared" si="3"/>
        <v>7</v>
      </c>
      <c r="W11" s="128">
        <f t="shared" si="4"/>
        <v>0</v>
      </c>
      <c r="X11" s="128">
        <f t="shared" si="5"/>
        <v>149</v>
      </c>
      <c r="Y11" s="128" t="str">
        <f t="shared" si="6"/>
        <v>3125</v>
      </c>
      <c r="Z11" s="128" t="b">
        <f>OR(LEFT(E13,LEN(Program_Files_Root_Directory_Name))=Program_Files_Root_Directory_Name,LEFT(E13,LEN(Windows_Root_Directory_Name))=Windows_Root_Directory_Name)</f>
        <v>0</v>
      </c>
      <c r="AA11" s="128" t="str">
        <f>IF(Z11,"",RIGHT(B13,LEN(B13)-FIND(".",B13)))</f>
        <v>FormatStringEngine</v>
      </c>
      <c r="AB11" s="128" t="str">
        <f>IF(Z11,"",CONCATENATE(SUBSTITUTE(LEFT(E13,FIND("\bin\",LOWER(E13))-1),[1]!GetLeafDirectoryName(LEFT(E13,FIND("\bin\",LOWER(E13))-1)),""),AA11,"\Properties\"))</f>
        <v>C:\Users\DAVE\Documents\Visual Studio 2013\Projects\WizardWrx_Libs\Wizardwrx\FormatStringEngine\Properties\</v>
      </c>
      <c r="AC11" s="128" t="str">
        <f t="shared" si="8"/>
        <v>C:\Users\DAVE\Documents\Visual Studio 2013\Projects\WizardWrx_Libs\Wizardwrx\FormatStringEngine\Properties\AssemblyInfo.cs</v>
      </c>
      <c r="AD11" s="128" t="b">
        <f>IF(Z11,"",[1]!FileExists(AC11))</f>
        <v>1</v>
      </c>
      <c r="AE11" s="128">
        <f>IF(Z11,"",[1]!lngFileSize(AC11))</f>
        <v>1606</v>
      </c>
      <c r="AF11" s="128"/>
      <c r="AG11" s="128">
        <f>IF(Z11,"",[1]!dtmFileDateInfo(AC11))</f>
        <v>43028.064791666664</v>
      </c>
    </row>
    <row r="12" spans="1:34" ht="45" x14ac:dyDescent="0.25">
      <c r="A12" s="128" t="s">
        <v>2341</v>
      </c>
      <c r="B12" s="128" t="s">
        <v>815</v>
      </c>
      <c r="C12" s="128" t="s">
        <v>816</v>
      </c>
      <c r="D12" s="128" t="s">
        <v>817</v>
      </c>
      <c r="E12" s="128" t="s">
        <v>2319</v>
      </c>
      <c r="F12" s="130" t="s">
        <v>818</v>
      </c>
      <c r="G12" s="128" t="s">
        <v>782</v>
      </c>
      <c r="H12" s="128" t="s">
        <v>748</v>
      </c>
      <c r="I12" s="128" t="s">
        <v>815</v>
      </c>
      <c r="J12" s="128" t="s">
        <v>2322</v>
      </c>
      <c r="K12" s="128" t="s">
        <v>2342</v>
      </c>
      <c r="L12" s="128" t="s">
        <v>821</v>
      </c>
      <c r="M12" s="128" t="s">
        <v>786</v>
      </c>
      <c r="N12" s="128" t="s">
        <v>787</v>
      </c>
      <c r="O12" s="128"/>
      <c r="P12" s="128" t="s">
        <v>755</v>
      </c>
      <c r="Q12" s="128" t="s">
        <v>2343</v>
      </c>
    </row>
    <row r="13" spans="1:34" x14ac:dyDescent="0.25">
      <c r="A13" s="128" t="s">
        <v>2344</v>
      </c>
      <c r="B13" s="128" t="s">
        <v>2345</v>
      </c>
      <c r="C13" s="128" t="s">
        <v>2346</v>
      </c>
      <c r="D13" s="128" t="s">
        <v>2347</v>
      </c>
      <c r="E13" s="128" t="s">
        <v>2319</v>
      </c>
      <c r="F13" s="130"/>
      <c r="G13" s="128" t="s">
        <v>782</v>
      </c>
      <c r="H13" s="128" t="s">
        <v>748</v>
      </c>
      <c r="I13" s="128" t="s">
        <v>2348</v>
      </c>
      <c r="J13" s="128" t="s">
        <v>2322</v>
      </c>
      <c r="K13" s="128" t="s">
        <v>2349</v>
      </c>
      <c r="L13" s="128" t="s">
        <v>2324</v>
      </c>
      <c r="M13" s="128" t="s">
        <v>786</v>
      </c>
      <c r="N13" s="128" t="s">
        <v>2350</v>
      </c>
      <c r="O13" s="128"/>
      <c r="P13" s="128" t="s">
        <v>755</v>
      </c>
      <c r="Q13" s="128" t="s">
        <v>2351</v>
      </c>
    </row>
  </sheetData>
  <pageMargins left="0.7" right="0.7" top="0.75" bottom="0.75" header="0.3" footer="0.3"/>
  <pageSetup orientation="portrait" horizontalDpi="0" verticalDpi="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77"/>
  <sheetViews>
    <sheetView workbookViewId="0">
      <pane xSplit="1" ySplit="1" topLeftCell="C2" activePane="bottomRight" state="frozen"/>
      <selection pane="topRight" activeCell="B1" sqref="B1"/>
      <selection pane="bottomLeft" activeCell="A2" sqref="A2"/>
      <selection pane="bottomRight"/>
    </sheetView>
  </sheetViews>
  <sheetFormatPr defaultRowHeight="15" x14ac:dyDescent="0.25"/>
  <cols>
    <col min="1" max="1" width="6.875" style="128" customWidth="1"/>
    <col min="2" max="2" width="11.875" style="128" bestFit="1" customWidth="1"/>
    <col min="3" max="3" width="44.875" style="128" bestFit="1" customWidth="1"/>
    <col min="4" max="4" width="13" style="128" bestFit="1" customWidth="1"/>
    <col min="5" max="5" width="6.875" style="128" customWidth="1"/>
    <col min="6" max="6" width="20.125" style="128" bestFit="1" customWidth="1"/>
    <col min="7" max="8" width="4.875" style="128" customWidth="1"/>
    <col min="9" max="9" width="81" style="130" customWidth="1"/>
    <col min="10" max="16384" width="9" style="128"/>
  </cols>
  <sheetData>
    <row r="1" spans="1:10" x14ac:dyDescent="0.25">
      <c r="A1" s="222" t="s">
        <v>1426</v>
      </c>
      <c r="B1" s="222" t="s">
        <v>1425</v>
      </c>
      <c r="C1" s="222" t="s">
        <v>1424</v>
      </c>
      <c r="D1" s="222" t="s">
        <v>6</v>
      </c>
      <c r="E1" s="222" t="s">
        <v>1423</v>
      </c>
      <c r="F1" s="222" t="s">
        <v>1422</v>
      </c>
      <c r="G1" s="222" t="s">
        <v>1421</v>
      </c>
      <c r="H1" s="222" t="s">
        <v>1420</v>
      </c>
      <c r="I1" s="221" t="s">
        <v>1419</v>
      </c>
    </row>
    <row r="2" spans="1:10" ht="135" x14ac:dyDescent="0.25">
      <c r="A2" s="219">
        <v>332256</v>
      </c>
      <c r="B2" s="219" t="s">
        <v>702</v>
      </c>
      <c r="C2" s="219" t="s">
        <v>1427</v>
      </c>
      <c r="D2" s="219" t="s">
        <v>1428</v>
      </c>
      <c r="E2" s="219" t="s">
        <v>1429</v>
      </c>
      <c r="F2" s="220">
        <v>42976.046863425923</v>
      </c>
      <c r="G2" s="219">
        <v>0</v>
      </c>
      <c r="H2" s="219" t="s">
        <v>1404</v>
      </c>
      <c r="I2" s="218" t="s">
        <v>1430</v>
      </c>
    </row>
    <row r="3" spans="1:10" ht="315" x14ac:dyDescent="0.25">
      <c r="A3" s="219">
        <v>332255</v>
      </c>
      <c r="B3" s="219" t="s">
        <v>702</v>
      </c>
      <c r="C3" s="219" t="s">
        <v>1427</v>
      </c>
      <c r="D3" s="219" t="s">
        <v>1428</v>
      </c>
      <c r="E3" s="219" t="s">
        <v>1429</v>
      </c>
      <c r="F3" s="220">
        <v>42976.046851851854</v>
      </c>
      <c r="G3" s="219">
        <v>0</v>
      </c>
      <c r="H3" s="219" t="s">
        <v>1404</v>
      </c>
      <c r="I3" s="218" t="s">
        <v>1431</v>
      </c>
      <c r="J3" s="219"/>
    </row>
    <row r="4" spans="1:10" ht="240" x14ac:dyDescent="0.25">
      <c r="A4" s="219">
        <v>332254</v>
      </c>
      <c r="B4" s="219" t="s">
        <v>702</v>
      </c>
      <c r="C4" s="219" t="s">
        <v>1427</v>
      </c>
      <c r="D4" s="219" t="s">
        <v>1428</v>
      </c>
      <c r="E4" s="219" t="s">
        <v>1429</v>
      </c>
      <c r="F4" s="220">
        <v>42976.046851851854</v>
      </c>
      <c r="G4" s="219">
        <v>0</v>
      </c>
      <c r="H4" s="219" t="s">
        <v>1404</v>
      </c>
      <c r="I4" s="218" t="s">
        <v>1432</v>
      </c>
      <c r="J4" s="219"/>
    </row>
    <row r="5" spans="1:10" ht="105" x14ac:dyDescent="0.25">
      <c r="A5" s="219">
        <v>332253</v>
      </c>
      <c r="B5" s="219" t="s">
        <v>702</v>
      </c>
      <c r="C5" s="219" t="s">
        <v>1427</v>
      </c>
      <c r="D5" s="219" t="s">
        <v>1428</v>
      </c>
      <c r="E5" s="219" t="s">
        <v>1429</v>
      </c>
      <c r="F5" s="220">
        <v>42976.046851851854</v>
      </c>
      <c r="G5" s="219">
        <v>0</v>
      </c>
      <c r="H5" s="219" t="s">
        <v>1404</v>
      </c>
      <c r="I5" s="218" t="s">
        <v>1433</v>
      </c>
      <c r="J5" s="219"/>
    </row>
    <row r="6" spans="1:10" ht="105" x14ac:dyDescent="0.25">
      <c r="A6" s="219">
        <v>332252</v>
      </c>
      <c r="B6" s="219" t="s">
        <v>702</v>
      </c>
      <c r="C6" s="219" t="s">
        <v>1427</v>
      </c>
      <c r="D6" s="219" t="s">
        <v>1428</v>
      </c>
      <c r="E6" s="219" t="s">
        <v>1429</v>
      </c>
      <c r="F6" s="220">
        <v>42976.046851851854</v>
      </c>
      <c r="G6" s="219">
        <v>0</v>
      </c>
      <c r="H6" s="219" t="s">
        <v>1404</v>
      </c>
      <c r="I6" s="218" t="s">
        <v>1434</v>
      </c>
      <c r="J6" s="219"/>
    </row>
    <row r="7" spans="1:10" ht="225" x14ac:dyDescent="0.25">
      <c r="A7" s="219">
        <v>332251</v>
      </c>
      <c r="B7" s="219" t="s">
        <v>702</v>
      </c>
      <c r="C7" s="219" t="s">
        <v>1427</v>
      </c>
      <c r="D7" s="219" t="s">
        <v>1428</v>
      </c>
      <c r="E7" s="219" t="s">
        <v>1429</v>
      </c>
      <c r="F7" s="220">
        <v>42976.046851851854</v>
      </c>
      <c r="G7" s="219">
        <v>0</v>
      </c>
      <c r="H7" s="219" t="s">
        <v>1404</v>
      </c>
      <c r="I7" s="218" t="s">
        <v>1435</v>
      </c>
      <c r="J7" s="219"/>
    </row>
    <row r="8" spans="1:10" ht="60" x14ac:dyDescent="0.25">
      <c r="A8" s="219">
        <v>332250</v>
      </c>
      <c r="B8" s="219" t="s">
        <v>702</v>
      </c>
      <c r="C8" s="219" t="s">
        <v>1427</v>
      </c>
      <c r="D8" s="219" t="s">
        <v>1436</v>
      </c>
      <c r="E8" s="219" t="s">
        <v>1429</v>
      </c>
      <c r="F8" s="220">
        <v>42976.046851851854</v>
      </c>
      <c r="G8" s="219">
        <v>0</v>
      </c>
      <c r="H8" s="219" t="s">
        <v>1404</v>
      </c>
      <c r="I8" s="218" t="s">
        <v>1437</v>
      </c>
      <c r="J8" s="219"/>
    </row>
    <row r="9" spans="1:10" ht="135" x14ac:dyDescent="0.25">
      <c r="A9" s="219">
        <v>332249</v>
      </c>
      <c r="B9" s="219" t="s">
        <v>702</v>
      </c>
      <c r="C9" s="219" t="s">
        <v>1427</v>
      </c>
      <c r="D9" s="219" t="s">
        <v>1428</v>
      </c>
      <c r="E9" s="219" t="s">
        <v>1429</v>
      </c>
      <c r="F9" s="220">
        <v>42976.011990740742</v>
      </c>
      <c r="G9" s="219">
        <v>0</v>
      </c>
      <c r="H9" s="219" t="s">
        <v>1404</v>
      </c>
      <c r="I9" s="218" t="s">
        <v>1430</v>
      </c>
      <c r="J9" s="219"/>
    </row>
    <row r="10" spans="1:10" ht="409.5" x14ac:dyDescent="0.25">
      <c r="A10" s="219">
        <v>332248</v>
      </c>
      <c r="B10" s="219" t="s">
        <v>702</v>
      </c>
      <c r="C10" s="219" t="s">
        <v>1427</v>
      </c>
      <c r="D10" s="219" t="s">
        <v>1428</v>
      </c>
      <c r="E10" s="219" t="s">
        <v>1429</v>
      </c>
      <c r="F10" s="220">
        <v>42976.011967592596</v>
      </c>
      <c r="G10" s="219">
        <v>0</v>
      </c>
      <c r="H10" s="219" t="s">
        <v>1404</v>
      </c>
      <c r="I10" s="218" t="s">
        <v>1438</v>
      </c>
      <c r="J10" s="219"/>
    </row>
    <row r="11" spans="1:10" ht="240" x14ac:dyDescent="0.25">
      <c r="A11" s="219">
        <v>332247</v>
      </c>
      <c r="B11" s="219" t="s">
        <v>702</v>
      </c>
      <c r="C11" s="219" t="s">
        <v>1427</v>
      </c>
      <c r="D11" s="219" t="s">
        <v>1428</v>
      </c>
      <c r="E11" s="219" t="s">
        <v>1429</v>
      </c>
      <c r="F11" s="220">
        <v>42976.011967592596</v>
      </c>
      <c r="G11" s="219">
        <v>0</v>
      </c>
      <c r="H11" s="219" t="s">
        <v>1404</v>
      </c>
      <c r="I11" s="218" t="s">
        <v>1432</v>
      </c>
      <c r="J11" s="219"/>
    </row>
    <row r="12" spans="1:10" ht="105" x14ac:dyDescent="0.25">
      <c r="A12" s="219">
        <v>332246</v>
      </c>
      <c r="B12" s="219" t="s">
        <v>702</v>
      </c>
      <c r="C12" s="219" t="s">
        <v>1427</v>
      </c>
      <c r="D12" s="219" t="s">
        <v>1428</v>
      </c>
      <c r="E12" s="219" t="s">
        <v>1429</v>
      </c>
      <c r="F12" s="220">
        <v>42976.011967592596</v>
      </c>
      <c r="G12" s="219">
        <v>0</v>
      </c>
      <c r="H12" s="219" t="s">
        <v>1404</v>
      </c>
      <c r="I12" s="218" t="s">
        <v>1433</v>
      </c>
      <c r="J12" s="219"/>
    </row>
    <row r="13" spans="1:10" ht="105" x14ac:dyDescent="0.25">
      <c r="A13" s="219">
        <v>332245</v>
      </c>
      <c r="B13" s="219" t="s">
        <v>702</v>
      </c>
      <c r="C13" s="219" t="s">
        <v>1427</v>
      </c>
      <c r="D13" s="219" t="s">
        <v>1428</v>
      </c>
      <c r="E13" s="219" t="s">
        <v>1429</v>
      </c>
      <c r="F13" s="220">
        <v>42976.011967592596</v>
      </c>
      <c r="G13" s="219">
        <v>0</v>
      </c>
      <c r="H13" s="219" t="s">
        <v>1404</v>
      </c>
      <c r="I13" s="218" t="s">
        <v>1434</v>
      </c>
      <c r="J13" s="219"/>
    </row>
    <row r="14" spans="1:10" ht="225" x14ac:dyDescent="0.25">
      <c r="A14" s="219">
        <v>332244</v>
      </c>
      <c r="B14" s="219" t="s">
        <v>702</v>
      </c>
      <c r="C14" s="219" t="s">
        <v>1427</v>
      </c>
      <c r="D14" s="219" t="s">
        <v>1428</v>
      </c>
      <c r="E14" s="219" t="s">
        <v>1429</v>
      </c>
      <c r="F14" s="220">
        <v>42976.011967592596</v>
      </c>
      <c r="G14" s="219">
        <v>0</v>
      </c>
      <c r="H14" s="219" t="s">
        <v>1404</v>
      </c>
      <c r="I14" s="218" t="s">
        <v>1435</v>
      </c>
      <c r="J14" s="219"/>
    </row>
    <row r="15" spans="1:10" ht="60" x14ac:dyDescent="0.25">
      <c r="A15" s="219">
        <v>332243</v>
      </c>
      <c r="B15" s="219" t="s">
        <v>702</v>
      </c>
      <c r="C15" s="219" t="s">
        <v>1427</v>
      </c>
      <c r="D15" s="219" t="s">
        <v>1436</v>
      </c>
      <c r="E15" s="219" t="s">
        <v>1429</v>
      </c>
      <c r="F15" s="220">
        <v>42976.011967592596</v>
      </c>
      <c r="G15" s="219">
        <v>0</v>
      </c>
      <c r="H15" s="219" t="s">
        <v>1404</v>
      </c>
      <c r="I15" s="218" t="s">
        <v>1439</v>
      </c>
      <c r="J15" s="219"/>
    </row>
    <row r="16" spans="1:10" ht="135" x14ac:dyDescent="0.25">
      <c r="A16" s="219">
        <v>332242</v>
      </c>
      <c r="B16" s="219" t="s">
        <v>702</v>
      </c>
      <c r="C16" s="219" t="s">
        <v>1427</v>
      </c>
      <c r="D16" s="219" t="s">
        <v>1428</v>
      </c>
      <c r="E16" s="219" t="s">
        <v>1429</v>
      </c>
      <c r="F16" s="220">
        <v>42976.004340277781</v>
      </c>
      <c r="G16" s="219">
        <v>0</v>
      </c>
      <c r="H16" s="219" t="s">
        <v>1404</v>
      </c>
      <c r="I16" s="218" t="s">
        <v>1430</v>
      </c>
      <c r="J16" s="219"/>
    </row>
    <row r="17" spans="1:10" ht="409.5" x14ac:dyDescent="0.25">
      <c r="A17" s="219">
        <v>332241</v>
      </c>
      <c r="B17" s="219" t="s">
        <v>702</v>
      </c>
      <c r="C17" s="219" t="s">
        <v>1427</v>
      </c>
      <c r="D17" s="219" t="s">
        <v>1428</v>
      </c>
      <c r="E17" s="219" t="s">
        <v>1429</v>
      </c>
      <c r="F17" s="220">
        <v>42976.004305555558</v>
      </c>
      <c r="G17" s="219">
        <v>0</v>
      </c>
      <c r="H17" s="219" t="s">
        <v>1404</v>
      </c>
      <c r="I17" s="218" t="s">
        <v>1438</v>
      </c>
      <c r="J17" s="219"/>
    </row>
    <row r="18" spans="1:10" ht="240" x14ac:dyDescent="0.25">
      <c r="A18" s="219">
        <v>332240</v>
      </c>
      <c r="B18" s="219" t="s">
        <v>702</v>
      </c>
      <c r="C18" s="219" t="s">
        <v>1427</v>
      </c>
      <c r="D18" s="219" t="s">
        <v>1428</v>
      </c>
      <c r="E18" s="219" t="s">
        <v>1429</v>
      </c>
      <c r="F18" s="220">
        <v>42976.004305555558</v>
      </c>
      <c r="G18" s="219">
        <v>0</v>
      </c>
      <c r="H18" s="219" t="s">
        <v>1404</v>
      </c>
      <c r="I18" s="218" t="s">
        <v>1432</v>
      </c>
      <c r="J18" s="219"/>
    </row>
    <row r="19" spans="1:10" ht="345" x14ac:dyDescent="0.25">
      <c r="A19" s="219">
        <v>332239</v>
      </c>
      <c r="B19" s="219" t="s">
        <v>702</v>
      </c>
      <c r="C19" s="219" t="s">
        <v>1427</v>
      </c>
      <c r="D19" s="219" t="s">
        <v>1428</v>
      </c>
      <c r="E19" s="219" t="s">
        <v>1429</v>
      </c>
      <c r="F19" s="220">
        <v>42976.004305555558</v>
      </c>
      <c r="G19" s="219">
        <v>0</v>
      </c>
      <c r="H19" s="219" t="s">
        <v>1404</v>
      </c>
      <c r="I19" s="218" t="s">
        <v>1440</v>
      </c>
      <c r="J19" s="219"/>
    </row>
    <row r="20" spans="1:10" ht="225" x14ac:dyDescent="0.25">
      <c r="A20" s="219">
        <v>332238</v>
      </c>
      <c r="B20" s="219" t="s">
        <v>702</v>
      </c>
      <c r="C20" s="219" t="s">
        <v>1427</v>
      </c>
      <c r="D20" s="219" t="s">
        <v>1428</v>
      </c>
      <c r="E20" s="219" t="s">
        <v>1429</v>
      </c>
      <c r="F20" s="220">
        <v>42976.004305555558</v>
      </c>
      <c r="G20" s="219">
        <v>0</v>
      </c>
      <c r="H20" s="219" t="s">
        <v>1404</v>
      </c>
      <c r="I20" s="218" t="s">
        <v>1435</v>
      </c>
      <c r="J20" s="219"/>
    </row>
    <row r="21" spans="1:10" ht="60" x14ac:dyDescent="0.25">
      <c r="A21" s="219">
        <v>332237</v>
      </c>
      <c r="B21" s="219" t="s">
        <v>702</v>
      </c>
      <c r="C21" s="219" t="s">
        <v>1427</v>
      </c>
      <c r="D21" s="219" t="s">
        <v>1436</v>
      </c>
      <c r="E21" s="219" t="s">
        <v>1429</v>
      </c>
      <c r="F21" s="220">
        <v>42976.004293981481</v>
      </c>
      <c r="G21" s="219">
        <v>0</v>
      </c>
      <c r="H21" s="219" t="s">
        <v>1404</v>
      </c>
      <c r="I21" s="218" t="s">
        <v>1441</v>
      </c>
      <c r="J21" s="219"/>
    </row>
    <row r="22" spans="1:10" x14ac:dyDescent="0.25">
      <c r="A22" s="219">
        <v>332236</v>
      </c>
      <c r="B22" s="219" t="s">
        <v>702</v>
      </c>
      <c r="C22" s="219" t="s">
        <v>1442</v>
      </c>
      <c r="D22" s="219" t="s">
        <v>1443</v>
      </c>
      <c r="E22" s="219" t="s">
        <v>1429</v>
      </c>
      <c r="F22" s="220">
        <v>42975.889664351853</v>
      </c>
      <c r="G22" s="219">
        <v>903</v>
      </c>
      <c r="H22" s="219" t="s">
        <v>1404</v>
      </c>
      <c r="I22" s="218" t="s">
        <v>1444</v>
      </c>
      <c r="J22" s="219"/>
    </row>
    <row r="23" spans="1:10" ht="60" x14ac:dyDescent="0.25">
      <c r="A23" s="219">
        <v>332235</v>
      </c>
      <c r="B23" s="219" t="s">
        <v>702</v>
      </c>
      <c r="C23" s="219" t="s">
        <v>1442</v>
      </c>
      <c r="D23" s="219" t="s">
        <v>1436</v>
      </c>
      <c r="E23" s="219" t="s">
        <v>1429</v>
      </c>
      <c r="F23" s="220">
        <v>42975.636620370373</v>
      </c>
      <c r="G23" s="219">
        <v>1003</v>
      </c>
      <c r="H23" s="219" t="s">
        <v>1404</v>
      </c>
      <c r="I23" s="218" t="s">
        <v>1445</v>
      </c>
      <c r="J23" s="219"/>
    </row>
    <row r="24" spans="1:10" ht="60" x14ac:dyDescent="0.25">
      <c r="A24" s="219">
        <v>332234</v>
      </c>
      <c r="B24" s="219" t="s">
        <v>702</v>
      </c>
      <c r="C24" s="219" t="s">
        <v>1442</v>
      </c>
      <c r="D24" s="219" t="s">
        <v>1436</v>
      </c>
      <c r="E24" s="219" t="s">
        <v>1429</v>
      </c>
      <c r="F24" s="220">
        <v>42975.636620370373</v>
      </c>
      <c r="G24" s="219">
        <v>1003</v>
      </c>
      <c r="H24" s="219" t="s">
        <v>1404</v>
      </c>
      <c r="I24" s="218" t="s">
        <v>1446</v>
      </c>
      <c r="J24" s="219"/>
    </row>
    <row r="25" spans="1:10" ht="409.5" x14ac:dyDescent="0.25">
      <c r="A25" s="219">
        <v>332233</v>
      </c>
      <c r="B25" s="219" t="s">
        <v>702</v>
      </c>
      <c r="C25" s="219" t="s">
        <v>1442</v>
      </c>
      <c r="D25" s="219" t="s">
        <v>1436</v>
      </c>
      <c r="E25" s="219" t="s">
        <v>1429</v>
      </c>
      <c r="F25" s="220">
        <v>42975.636620370373</v>
      </c>
      <c r="G25" s="219">
        <v>1003</v>
      </c>
      <c r="H25" s="219" t="s">
        <v>1404</v>
      </c>
      <c r="I25" s="218" t="s">
        <v>1447</v>
      </c>
      <c r="J25" s="219"/>
    </row>
    <row r="26" spans="1:10" ht="60" x14ac:dyDescent="0.25">
      <c r="A26" s="219">
        <v>332232</v>
      </c>
      <c r="B26" s="219" t="s">
        <v>702</v>
      </c>
      <c r="C26" s="219" t="s">
        <v>1442</v>
      </c>
      <c r="D26" s="219" t="s">
        <v>1436</v>
      </c>
      <c r="E26" s="219" t="s">
        <v>1429</v>
      </c>
      <c r="F26" s="220">
        <v>42975.634062500001</v>
      </c>
      <c r="G26" s="219">
        <v>1003</v>
      </c>
      <c r="H26" s="219" t="s">
        <v>1404</v>
      </c>
      <c r="I26" s="218" t="s">
        <v>1445</v>
      </c>
      <c r="J26" s="219"/>
    </row>
    <row r="27" spans="1:10" ht="60" x14ac:dyDescent="0.25">
      <c r="A27" s="219">
        <v>332231</v>
      </c>
      <c r="B27" s="219" t="s">
        <v>702</v>
      </c>
      <c r="C27" s="219" t="s">
        <v>1442</v>
      </c>
      <c r="D27" s="219" t="s">
        <v>1436</v>
      </c>
      <c r="E27" s="219" t="s">
        <v>1429</v>
      </c>
      <c r="F27" s="220">
        <v>42975.634062500001</v>
      </c>
      <c r="G27" s="219">
        <v>1003</v>
      </c>
      <c r="H27" s="219" t="s">
        <v>1404</v>
      </c>
      <c r="I27" s="218" t="s">
        <v>1446</v>
      </c>
      <c r="J27" s="219"/>
    </row>
    <row r="28" spans="1:10" ht="409.5" x14ac:dyDescent="0.25">
      <c r="A28" s="219">
        <v>332230</v>
      </c>
      <c r="B28" s="219" t="s">
        <v>702</v>
      </c>
      <c r="C28" s="219" t="s">
        <v>1442</v>
      </c>
      <c r="D28" s="219" t="s">
        <v>1436</v>
      </c>
      <c r="E28" s="219" t="s">
        <v>1429</v>
      </c>
      <c r="F28" s="220">
        <v>42975.634062500001</v>
      </c>
      <c r="G28" s="219">
        <v>1003</v>
      </c>
      <c r="H28" s="219" t="s">
        <v>1404</v>
      </c>
      <c r="I28" s="218" t="s">
        <v>1447</v>
      </c>
      <c r="J28" s="219"/>
    </row>
    <row r="29" spans="1:10" ht="60" x14ac:dyDescent="0.25">
      <c r="A29" s="219">
        <v>332229</v>
      </c>
      <c r="B29" s="219" t="s">
        <v>702</v>
      </c>
      <c r="C29" s="219" t="s">
        <v>1442</v>
      </c>
      <c r="D29" s="219" t="s">
        <v>1436</v>
      </c>
      <c r="E29" s="219" t="s">
        <v>1429</v>
      </c>
      <c r="F29" s="220">
        <v>42975.632071759261</v>
      </c>
      <c r="G29" s="219">
        <v>1003</v>
      </c>
      <c r="H29" s="219" t="s">
        <v>1404</v>
      </c>
      <c r="I29" s="218" t="s">
        <v>1445</v>
      </c>
      <c r="J29" s="219"/>
    </row>
    <row r="30" spans="1:10" ht="60" x14ac:dyDescent="0.25">
      <c r="A30" s="219">
        <v>332228</v>
      </c>
      <c r="B30" s="219" t="s">
        <v>702</v>
      </c>
      <c r="C30" s="219" t="s">
        <v>1442</v>
      </c>
      <c r="D30" s="219" t="s">
        <v>1436</v>
      </c>
      <c r="E30" s="219" t="s">
        <v>1429</v>
      </c>
      <c r="F30" s="220">
        <v>42975.632071759261</v>
      </c>
      <c r="G30" s="219">
        <v>1003</v>
      </c>
      <c r="H30" s="219" t="s">
        <v>1404</v>
      </c>
      <c r="I30" s="218" t="s">
        <v>1446</v>
      </c>
      <c r="J30" s="219"/>
    </row>
    <row r="31" spans="1:10" ht="409.5" x14ac:dyDescent="0.25">
      <c r="A31" s="219">
        <v>332227</v>
      </c>
      <c r="B31" s="219" t="s">
        <v>702</v>
      </c>
      <c r="C31" s="219" t="s">
        <v>1442</v>
      </c>
      <c r="D31" s="219" t="s">
        <v>1436</v>
      </c>
      <c r="E31" s="219" t="s">
        <v>1429</v>
      </c>
      <c r="F31" s="220">
        <v>42975.632071759261</v>
      </c>
      <c r="G31" s="219">
        <v>1003</v>
      </c>
      <c r="H31" s="219" t="s">
        <v>1404</v>
      </c>
      <c r="I31" s="218" t="s">
        <v>1447</v>
      </c>
      <c r="J31" s="219"/>
    </row>
    <row r="32" spans="1:10" ht="60" x14ac:dyDescent="0.25">
      <c r="A32" s="219">
        <v>332226</v>
      </c>
      <c r="B32" s="219" t="s">
        <v>702</v>
      </c>
      <c r="C32" s="219" t="s">
        <v>1442</v>
      </c>
      <c r="D32" s="219" t="s">
        <v>1436</v>
      </c>
      <c r="E32" s="219" t="s">
        <v>1429</v>
      </c>
      <c r="F32" s="220">
        <v>42975.631527777776</v>
      </c>
      <c r="G32" s="219">
        <v>1003</v>
      </c>
      <c r="H32" s="219" t="s">
        <v>1404</v>
      </c>
      <c r="I32" s="218" t="s">
        <v>1445</v>
      </c>
      <c r="J32" s="219"/>
    </row>
    <row r="33" spans="1:10" ht="60" x14ac:dyDescent="0.25">
      <c r="A33" s="219">
        <v>332225</v>
      </c>
      <c r="B33" s="219" t="s">
        <v>702</v>
      </c>
      <c r="C33" s="219" t="s">
        <v>1442</v>
      </c>
      <c r="D33" s="219" t="s">
        <v>1436</v>
      </c>
      <c r="E33" s="219" t="s">
        <v>1429</v>
      </c>
      <c r="F33" s="220">
        <v>42975.631527777776</v>
      </c>
      <c r="G33" s="219">
        <v>1003</v>
      </c>
      <c r="H33" s="219" t="s">
        <v>1404</v>
      </c>
      <c r="I33" s="218" t="s">
        <v>1446</v>
      </c>
      <c r="J33" s="219"/>
    </row>
    <row r="34" spans="1:10" ht="409.5" x14ac:dyDescent="0.25">
      <c r="A34" s="219">
        <v>332224</v>
      </c>
      <c r="B34" s="219" t="s">
        <v>702</v>
      </c>
      <c r="C34" s="219" t="s">
        <v>1442</v>
      </c>
      <c r="D34" s="219" t="s">
        <v>1436</v>
      </c>
      <c r="E34" s="219" t="s">
        <v>1429</v>
      </c>
      <c r="F34" s="220">
        <v>42975.631527777776</v>
      </c>
      <c r="G34" s="219">
        <v>1003</v>
      </c>
      <c r="H34" s="219" t="s">
        <v>1404</v>
      </c>
      <c r="I34" s="218" t="s">
        <v>1447</v>
      </c>
      <c r="J34" s="219"/>
    </row>
    <row r="35" spans="1:10" ht="60" x14ac:dyDescent="0.25">
      <c r="A35" s="219">
        <v>332223</v>
      </c>
      <c r="B35" s="219" t="s">
        <v>702</v>
      </c>
      <c r="C35" s="219" t="s">
        <v>1442</v>
      </c>
      <c r="D35" s="219" t="s">
        <v>1436</v>
      </c>
      <c r="E35" s="219" t="s">
        <v>1429</v>
      </c>
      <c r="F35" s="220">
        <v>42975.63113425926</v>
      </c>
      <c r="G35" s="219">
        <v>1003</v>
      </c>
      <c r="H35" s="219" t="s">
        <v>1404</v>
      </c>
      <c r="I35" s="218" t="s">
        <v>1445</v>
      </c>
      <c r="J35" s="219"/>
    </row>
    <row r="36" spans="1:10" ht="60" x14ac:dyDescent="0.25">
      <c r="A36" s="219">
        <v>332222</v>
      </c>
      <c r="B36" s="219" t="s">
        <v>702</v>
      </c>
      <c r="C36" s="219" t="s">
        <v>1442</v>
      </c>
      <c r="D36" s="219" t="s">
        <v>1436</v>
      </c>
      <c r="E36" s="219" t="s">
        <v>1429</v>
      </c>
      <c r="F36" s="220">
        <v>42975.63113425926</v>
      </c>
      <c r="G36" s="219">
        <v>1003</v>
      </c>
      <c r="H36" s="219" t="s">
        <v>1404</v>
      </c>
      <c r="I36" s="218" t="s">
        <v>1446</v>
      </c>
      <c r="J36" s="219"/>
    </row>
    <row r="37" spans="1:10" ht="409.5" x14ac:dyDescent="0.25">
      <c r="A37" s="219">
        <v>332221</v>
      </c>
      <c r="B37" s="219" t="s">
        <v>702</v>
      </c>
      <c r="C37" s="219" t="s">
        <v>1442</v>
      </c>
      <c r="D37" s="219" t="s">
        <v>1436</v>
      </c>
      <c r="E37" s="219" t="s">
        <v>1429</v>
      </c>
      <c r="F37" s="220">
        <v>42975.63113425926</v>
      </c>
      <c r="G37" s="219">
        <v>1003</v>
      </c>
      <c r="H37" s="219" t="s">
        <v>1404</v>
      </c>
      <c r="I37" s="218" t="s">
        <v>1447</v>
      </c>
      <c r="J37" s="219"/>
    </row>
    <row r="38" spans="1:10" ht="30" x14ac:dyDescent="0.25">
      <c r="A38" s="219">
        <v>332220</v>
      </c>
      <c r="B38" s="219" t="s">
        <v>702</v>
      </c>
      <c r="C38" s="219" t="s">
        <v>1448</v>
      </c>
      <c r="D38" s="219" t="s">
        <v>1436</v>
      </c>
      <c r="E38" s="219" t="s">
        <v>1429</v>
      </c>
      <c r="F38" s="220">
        <v>42975.630810185183</v>
      </c>
      <c r="G38" s="219">
        <v>32</v>
      </c>
      <c r="H38" s="219" t="s">
        <v>1404</v>
      </c>
      <c r="I38" s="218" t="s">
        <v>1449</v>
      </c>
      <c r="J38" s="219"/>
    </row>
    <row r="39" spans="1:10" ht="30" x14ac:dyDescent="0.25">
      <c r="A39" s="219">
        <v>332219</v>
      </c>
      <c r="B39" s="219" t="s">
        <v>702</v>
      </c>
      <c r="C39" s="219" t="s">
        <v>1448</v>
      </c>
      <c r="D39" s="219" t="s">
        <v>1436</v>
      </c>
      <c r="E39" s="219" t="s">
        <v>1429</v>
      </c>
      <c r="F39" s="220">
        <v>42975.630810185183</v>
      </c>
      <c r="G39" s="219">
        <v>32</v>
      </c>
      <c r="H39" s="219" t="s">
        <v>1404</v>
      </c>
      <c r="I39" s="218" t="s">
        <v>1450</v>
      </c>
      <c r="J39" s="219"/>
    </row>
    <row r="40" spans="1:10" ht="60" x14ac:dyDescent="0.25">
      <c r="A40" s="219">
        <v>332218</v>
      </c>
      <c r="B40" s="219" t="s">
        <v>702</v>
      </c>
      <c r="C40" s="219" t="s">
        <v>1442</v>
      </c>
      <c r="D40" s="219" t="s">
        <v>1436</v>
      </c>
      <c r="E40" s="219" t="s">
        <v>1429</v>
      </c>
      <c r="F40" s="220">
        <v>42975.617696759262</v>
      </c>
      <c r="G40" s="219">
        <v>1003</v>
      </c>
      <c r="H40" s="219" t="s">
        <v>1404</v>
      </c>
      <c r="I40" s="218" t="s">
        <v>1445</v>
      </c>
      <c r="J40" s="219"/>
    </row>
    <row r="41" spans="1:10" ht="60" x14ac:dyDescent="0.25">
      <c r="A41" s="219">
        <v>332217</v>
      </c>
      <c r="B41" s="219" t="s">
        <v>702</v>
      </c>
      <c r="C41" s="219" t="s">
        <v>1442</v>
      </c>
      <c r="D41" s="219" t="s">
        <v>1436</v>
      </c>
      <c r="E41" s="219" t="s">
        <v>1429</v>
      </c>
      <c r="F41" s="220">
        <v>42975.617696759262</v>
      </c>
      <c r="G41" s="219">
        <v>1003</v>
      </c>
      <c r="H41" s="219" t="s">
        <v>1404</v>
      </c>
      <c r="I41" s="218" t="s">
        <v>1446</v>
      </c>
      <c r="J41" s="219"/>
    </row>
    <row r="42" spans="1:10" ht="409.5" x14ac:dyDescent="0.25">
      <c r="A42" s="219">
        <v>332216</v>
      </c>
      <c r="B42" s="219" t="s">
        <v>702</v>
      </c>
      <c r="C42" s="219" t="s">
        <v>1442</v>
      </c>
      <c r="D42" s="219" t="s">
        <v>1436</v>
      </c>
      <c r="E42" s="219" t="s">
        <v>1429</v>
      </c>
      <c r="F42" s="220">
        <v>42975.617696759262</v>
      </c>
      <c r="G42" s="219">
        <v>1003</v>
      </c>
      <c r="H42" s="219" t="s">
        <v>1404</v>
      </c>
      <c r="I42" s="218" t="s">
        <v>1447</v>
      </c>
      <c r="J42" s="219"/>
    </row>
    <row r="43" spans="1:10" ht="60" x14ac:dyDescent="0.25">
      <c r="A43" s="219">
        <v>332215</v>
      </c>
      <c r="B43" s="219" t="s">
        <v>702</v>
      </c>
      <c r="C43" s="219" t="s">
        <v>1442</v>
      </c>
      <c r="D43" s="219" t="s">
        <v>1436</v>
      </c>
      <c r="E43" s="219" t="s">
        <v>1429</v>
      </c>
      <c r="F43" s="220">
        <v>42975.585069444445</v>
      </c>
      <c r="G43" s="219">
        <v>1003</v>
      </c>
      <c r="H43" s="219" t="s">
        <v>1404</v>
      </c>
      <c r="I43" s="218" t="s">
        <v>1445</v>
      </c>
      <c r="J43" s="219"/>
    </row>
    <row r="44" spans="1:10" ht="60" x14ac:dyDescent="0.25">
      <c r="A44" s="219">
        <v>332214</v>
      </c>
      <c r="B44" s="219" t="s">
        <v>702</v>
      </c>
      <c r="C44" s="219" t="s">
        <v>1442</v>
      </c>
      <c r="D44" s="219" t="s">
        <v>1436</v>
      </c>
      <c r="E44" s="219" t="s">
        <v>1429</v>
      </c>
      <c r="F44" s="220">
        <v>42975.585069444445</v>
      </c>
      <c r="G44" s="219">
        <v>1003</v>
      </c>
      <c r="H44" s="219" t="s">
        <v>1404</v>
      </c>
      <c r="I44" s="218" t="s">
        <v>1446</v>
      </c>
      <c r="J44" s="219"/>
    </row>
    <row r="45" spans="1:10" ht="409.5" x14ac:dyDescent="0.25">
      <c r="A45" s="219">
        <v>332213</v>
      </c>
      <c r="B45" s="219" t="s">
        <v>702</v>
      </c>
      <c r="C45" s="219" t="s">
        <v>1442</v>
      </c>
      <c r="D45" s="219" t="s">
        <v>1436</v>
      </c>
      <c r="E45" s="219" t="s">
        <v>1429</v>
      </c>
      <c r="F45" s="220">
        <v>42975.585069444445</v>
      </c>
      <c r="G45" s="219">
        <v>1003</v>
      </c>
      <c r="H45" s="219" t="s">
        <v>1404</v>
      </c>
      <c r="I45" s="218" t="s">
        <v>1447</v>
      </c>
      <c r="J45" s="219"/>
    </row>
    <row r="46" spans="1:10" ht="60" x14ac:dyDescent="0.25">
      <c r="A46" s="219">
        <v>332212</v>
      </c>
      <c r="B46" s="219" t="s">
        <v>702</v>
      </c>
      <c r="C46" s="219" t="s">
        <v>1442</v>
      </c>
      <c r="D46" s="219" t="s">
        <v>1436</v>
      </c>
      <c r="E46" s="219" t="s">
        <v>1429</v>
      </c>
      <c r="F46" s="220">
        <v>42975.56355324074</v>
      </c>
      <c r="G46" s="219">
        <v>1003</v>
      </c>
      <c r="H46" s="219" t="s">
        <v>1404</v>
      </c>
      <c r="I46" s="218" t="s">
        <v>1445</v>
      </c>
      <c r="J46" s="219"/>
    </row>
    <row r="47" spans="1:10" ht="60" x14ac:dyDescent="0.25">
      <c r="A47" s="219">
        <v>332211</v>
      </c>
      <c r="B47" s="219" t="s">
        <v>702</v>
      </c>
      <c r="C47" s="219" t="s">
        <v>1442</v>
      </c>
      <c r="D47" s="219" t="s">
        <v>1436</v>
      </c>
      <c r="E47" s="219" t="s">
        <v>1429</v>
      </c>
      <c r="F47" s="220">
        <v>42975.56355324074</v>
      </c>
      <c r="G47" s="219">
        <v>1003</v>
      </c>
      <c r="H47" s="219" t="s">
        <v>1404</v>
      </c>
      <c r="I47" s="218" t="s">
        <v>1446</v>
      </c>
      <c r="J47" s="219"/>
    </row>
    <row r="48" spans="1:10" ht="409.5" x14ac:dyDescent="0.25">
      <c r="A48" s="219">
        <v>332210</v>
      </c>
      <c r="B48" s="219" t="s">
        <v>702</v>
      </c>
      <c r="C48" s="219" t="s">
        <v>1442</v>
      </c>
      <c r="D48" s="219" t="s">
        <v>1436</v>
      </c>
      <c r="E48" s="219" t="s">
        <v>1429</v>
      </c>
      <c r="F48" s="220">
        <v>42975.56355324074</v>
      </c>
      <c r="G48" s="219">
        <v>1003</v>
      </c>
      <c r="H48" s="219" t="s">
        <v>1404</v>
      </c>
      <c r="I48" s="218" t="s">
        <v>1447</v>
      </c>
      <c r="J48" s="219"/>
    </row>
    <row r="49" spans="1:10" ht="45" x14ac:dyDescent="0.25">
      <c r="A49" s="219">
        <v>332209</v>
      </c>
      <c r="B49" s="219" t="s">
        <v>702</v>
      </c>
      <c r="C49" s="219" t="s">
        <v>1448</v>
      </c>
      <c r="D49" s="219" t="s">
        <v>1436</v>
      </c>
      <c r="E49" s="219" t="s">
        <v>1429</v>
      </c>
      <c r="F49" s="220">
        <v>42975.552175925928</v>
      </c>
      <c r="G49" s="219">
        <v>38</v>
      </c>
      <c r="H49" s="219" t="s">
        <v>1404</v>
      </c>
      <c r="I49" s="218" t="s">
        <v>1451</v>
      </c>
      <c r="J49" s="219"/>
    </row>
    <row r="50" spans="1:10" ht="60" x14ac:dyDescent="0.25">
      <c r="A50" s="219">
        <v>332208</v>
      </c>
      <c r="B50" s="219" t="s">
        <v>702</v>
      </c>
      <c r="C50" s="219" t="s">
        <v>1448</v>
      </c>
      <c r="D50" s="219" t="s">
        <v>1436</v>
      </c>
      <c r="E50" s="219" t="s">
        <v>1429</v>
      </c>
      <c r="F50" s="220">
        <v>42975.550798611112</v>
      </c>
      <c r="G50" s="219">
        <v>38</v>
      </c>
      <c r="H50" s="219" t="s">
        <v>1404</v>
      </c>
      <c r="I50" s="218" t="s">
        <v>1452</v>
      </c>
      <c r="J50" s="219"/>
    </row>
    <row r="51" spans="1:10" ht="30" x14ac:dyDescent="0.25">
      <c r="A51" s="219">
        <v>332207</v>
      </c>
      <c r="B51" s="219" t="s">
        <v>702</v>
      </c>
      <c r="C51" s="219" t="s">
        <v>1448</v>
      </c>
      <c r="D51" s="219" t="s">
        <v>1436</v>
      </c>
      <c r="E51" s="219" t="s">
        <v>1429</v>
      </c>
      <c r="F51" s="220">
        <v>42975.548726851855</v>
      </c>
      <c r="G51" s="219">
        <v>30</v>
      </c>
      <c r="H51" s="219" t="s">
        <v>1404</v>
      </c>
      <c r="I51" s="218" t="s">
        <v>1453</v>
      </c>
      <c r="J51" s="219"/>
    </row>
    <row r="52" spans="1:10" ht="45" x14ac:dyDescent="0.25">
      <c r="A52" s="219">
        <v>332206</v>
      </c>
      <c r="B52" s="219" t="s">
        <v>702</v>
      </c>
      <c r="C52" s="219" t="s">
        <v>1448</v>
      </c>
      <c r="D52" s="219" t="s">
        <v>1436</v>
      </c>
      <c r="E52" s="219" t="s">
        <v>1429</v>
      </c>
      <c r="F52" s="220">
        <v>42975.548726851855</v>
      </c>
      <c r="G52" s="219">
        <v>30</v>
      </c>
      <c r="H52" s="219" t="s">
        <v>1404</v>
      </c>
      <c r="I52" s="218" t="s">
        <v>1454</v>
      </c>
      <c r="J52" s="219"/>
    </row>
    <row r="53" spans="1:10" ht="60" x14ac:dyDescent="0.25">
      <c r="A53" s="219">
        <v>332205</v>
      </c>
      <c r="B53" s="219" t="s">
        <v>702</v>
      </c>
      <c r="C53" s="219" t="s">
        <v>1442</v>
      </c>
      <c r="D53" s="219" t="s">
        <v>1436</v>
      </c>
      <c r="E53" s="219" t="s">
        <v>1429</v>
      </c>
      <c r="F53" s="220">
        <v>42975.528043981481</v>
      </c>
      <c r="G53" s="219">
        <v>1003</v>
      </c>
      <c r="H53" s="219" t="s">
        <v>1404</v>
      </c>
      <c r="I53" s="218" t="s">
        <v>1445</v>
      </c>
      <c r="J53" s="219"/>
    </row>
    <row r="54" spans="1:10" ht="60" x14ac:dyDescent="0.25">
      <c r="A54" s="219">
        <v>332204</v>
      </c>
      <c r="B54" s="219" t="s">
        <v>702</v>
      </c>
      <c r="C54" s="219" t="s">
        <v>1442</v>
      </c>
      <c r="D54" s="219" t="s">
        <v>1436</v>
      </c>
      <c r="E54" s="219" t="s">
        <v>1429</v>
      </c>
      <c r="F54" s="220">
        <v>42975.528043981481</v>
      </c>
      <c r="G54" s="219">
        <v>1003</v>
      </c>
      <c r="H54" s="219" t="s">
        <v>1404</v>
      </c>
      <c r="I54" s="218" t="s">
        <v>1446</v>
      </c>
      <c r="J54" s="219"/>
    </row>
    <row r="55" spans="1:10" ht="409.5" x14ac:dyDescent="0.25">
      <c r="A55" s="219">
        <v>332203</v>
      </c>
      <c r="B55" s="219" t="s">
        <v>702</v>
      </c>
      <c r="C55" s="219" t="s">
        <v>1442</v>
      </c>
      <c r="D55" s="219" t="s">
        <v>1436</v>
      </c>
      <c r="E55" s="219" t="s">
        <v>1429</v>
      </c>
      <c r="F55" s="220">
        <v>42975.528043981481</v>
      </c>
      <c r="G55" s="219">
        <v>1003</v>
      </c>
      <c r="H55" s="219" t="s">
        <v>1404</v>
      </c>
      <c r="I55" s="218" t="s">
        <v>1447</v>
      </c>
      <c r="J55" s="219"/>
    </row>
    <row r="56" spans="1:10" ht="60" x14ac:dyDescent="0.25">
      <c r="A56" s="219">
        <v>332202</v>
      </c>
      <c r="B56" s="219" t="s">
        <v>702</v>
      </c>
      <c r="C56" s="219" t="s">
        <v>1442</v>
      </c>
      <c r="D56" s="219" t="s">
        <v>1436</v>
      </c>
      <c r="E56" s="219" t="s">
        <v>1429</v>
      </c>
      <c r="F56" s="220">
        <v>42975.523715277777</v>
      </c>
      <c r="G56" s="219">
        <v>1003</v>
      </c>
      <c r="H56" s="219" t="s">
        <v>1404</v>
      </c>
      <c r="I56" s="218" t="s">
        <v>1445</v>
      </c>
      <c r="J56" s="219"/>
    </row>
    <row r="57" spans="1:10" ht="60" x14ac:dyDescent="0.25">
      <c r="A57" s="219">
        <v>332201</v>
      </c>
      <c r="B57" s="219" t="s">
        <v>702</v>
      </c>
      <c r="C57" s="219" t="s">
        <v>1442</v>
      </c>
      <c r="D57" s="219" t="s">
        <v>1436</v>
      </c>
      <c r="E57" s="219" t="s">
        <v>1429</v>
      </c>
      <c r="F57" s="220">
        <v>42975.5237037037</v>
      </c>
      <c r="G57" s="219">
        <v>1003</v>
      </c>
      <c r="H57" s="219" t="s">
        <v>1404</v>
      </c>
      <c r="I57" s="218" t="s">
        <v>1446</v>
      </c>
      <c r="J57" s="219"/>
    </row>
    <row r="58" spans="1:10" ht="409.5" x14ac:dyDescent="0.25">
      <c r="A58" s="219">
        <v>332200</v>
      </c>
      <c r="B58" s="219" t="s">
        <v>702</v>
      </c>
      <c r="C58" s="219" t="s">
        <v>1442</v>
      </c>
      <c r="D58" s="219" t="s">
        <v>1436</v>
      </c>
      <c r="E58" s="219" t="s">
        <v>1429</v>
      </c>
      <c r="F58" s="220">
        <v>42975.5237037037</v>
      </c>
      <c r="G58" s="219">
        <v>1003</v>
      </c>
      <c r="H58" s="219" t="s">
        <v>1404</v>
      </c>
      <c r="I58" s="218" t="s">
        <v>1447</v>
      </c>
      <c r="J58" s="219"/>
    </row>
    <row r="59" spans="1:10" ht="135" x14ac:dyDescent="0.25">
      <c r="A59" s="219">
        <v>332199</v>
      </c>
      <c r="B59" s="219" t="s">
        <v>702</v>
      </c>
      <c r="C59" s="219" t="s">
        <v>1427</v>
      </c>
      <c r="D59" s="219" t="s">
        <v>1428</v>
      </c>
      <c r="E59" s="219" t="s">
        <v>1429</v>
      </c>
      <c r="F59" s="220">
        <v>42975.504479166666</v>
      </c>
      <c r="G59" s="219">
        <v>0</v>
      </c>
      <c r="H59" s="219" t="s">
        <v>1404</v>
      </c>
      <c r="I59" s="218" t="s">
        <v>1430</v>
      </c>
      <c r="J59" s="219"/>
    </row>
    <row r="60" spans="1:10" ht="409.5" x14ac:dyDescent="0.25">
      <c r="A60" s="219">
        <v>332198</v>
      </c>
      <c r="B60" s="219" t="s">
        <v>702</v>
      </c>
      <c r="C60" s="219" t="s">
        <v>1427</v>
      </c>
      <c r="D60" s="219" t="s">
        <v>1428</v>
      </c>
      <c r="E60" s="219" t="s">
        <v>1429</v>
      </c>
      <c r="F60" s="220">
        <v>42975.50439814815</v>
      </c>
      <c r="G60" s="219">
        <v>0</v>
      </c>
      <c r="H60" s="219" t="s">
        <v>1404</v>
      </c>
      <c r="I60" s="218" t="s">
        <v>1455</v>
      </c>
      <c r="J60" s="219"/>
    </row>
    <row r="61" spans="1:10" ht="240" x14ac:dyDescent="0.25">
      <c r="A61" s="219">
        <v>332197</v>
      </c>
      <c r="B61" s="219" t="s">
        <v>702</v>
      </c>
      <c r="C61" s="219" t="s">
        <v>1427</v>
      </c>
      <c r="D61" s="219" t="s">
        <v>1428</v>
      </c>
      <c r="E61" s="219" t="s">
        <v>1429</v>
      </c>
      <c r="F61" s="220">
        <v>42975.50439814815</v>
      </c>
      <c r="G61" s="219">
        <v>0</v>
      </c>
      <c r="H61" s="219" t="s">
        <v>1404</v>
      </c>
      <c r="I61" s="218" t="s">
        <v>1432</v>
      </c>
      <c r="J61" s="219"/>
    </row>
    <row r="62" spans="1:10" ht="345" x14ac:dyDescent="0.25">
      <c r="A62" s="219">
        <v>332196</v>
      </c>
      <c r="B62" s="219" t="s">
        <v>702</v>
      </c>
      <c r="C62" s="219" t="s">
        <v>1427</v>
      </c>
      <c r="D62" s="219" t="s">
        <v>1428</v>
      </c>
      <c r="E62" s="219" t="s">
        <v>1429</v>
      </c>
      <c r="F62" s="220">
        <v>42975.504386574074</v>
      </c>
      <c r="G62" s="219">
        <v>0</v>
      </c>
      <c r="H62" s="219" t="s">
        <v>1404</v>
      </c>
      <c r="I62" s="218" t="s">
        <v>1440</v>
      </c>
      <c r="J62" s="219"/>
    </row>
    <row r="63" spans="1:10" ht="225" x14ac:dyDescent="0.25">
      <c r="A63" s="219">
        <v>332195</v>
      </c>
      <c r="B63" s="219" t="s">
        <v>702</v>
      </c>
      <c r="C63" s="219" t="s">
        <v>1427</v>
      </c>
      <c r="D63" s="219" t="s">
        <v>1428</v>
      </c>
      <c r="E63" s="219" t="s">
        <v>1429</v>
      </c>
      <c r="F63" s="220">
        <v>42975.504386574074</v>
      </c>
      <c r="G63" s="219">
        <v>0</v>
      </c>
      <c r="H63" s="219" t="s">
        <v>1404</v>
      </c>
      <c r="I63" s="218" t="s">
        <v>1435</v>
      </c>
      <c r="J63" s="219"/>
    </row>
    <row r="64" spans="1:10" ht="60" x14ac:dyDescent="0.25">
      <c r="A64" s="219">
        <v>332194</v>
      </c>
      <c r="B64" s="219" t="s">
        <v>702</v>
      </c>
      <c r="C64" s="219" t="s">
        <v>1427</v>
      </c>
      <c r="D64" s="219" t="s">
        <v>1436</v>
      </c>
      <c r="E64" s="219" t="s">
        <v>1429</v>
      </c>
      <c r="F64" s="220">
        <v>42975.504374999997</v>
      </c>
      <c r="G64" s="219">
        <v>0</v>
      </c>
      <c r="H64" s="219" t="s">
        <v>1404</v>
      </c>
      <c r="I64" s="218" t="s">
        <v>1456</v>
      </c>
      <c r="J64" s="219"/>
    </row>
    <row r="65" spans="1:10" ht="30" x14ac:dyDescent="0.25">
      <c r="A65" s="219">
        <v>332193</v>
      </c>
      <c r="B65" s="219" t="s">
        <v>702</v>
      </c>
      <c r="C65" s="219" t="s">
        <v>1448</v>
      </c>
      <c r="D65" s="219" t="s">
        <v>1436</v>
      </c>
      <c r="E65" s="219" t="s">
        <v>1429</v>
      </c>
      <c r="F65" s="220">
        <v>42975.447118055556</v>
      </c>
      <c r="G65" s="219">
        <v>32</v>
      </c>
      <c r="H65" s="219" t="s">
        <v>1404</v>
      </c>
      <c r="I65" s="218" t="s">
        <v>1450</v>
      </c>
      <c r="J65" s="219"/>
    </row>
    <row r="66" spans="1:10" ht="30" x14ac:dyDescent="0.25">
      <c r="A66" s="219">
        <v>332192</v>
      </c>
      <c r="B66" s="219" t="s">
        <v>702</v>
      </c>
      <c r="C66" s="219" t="s">
        <v>1448</v>
      </c>
      <c r="D66" s="219" t="s">
        <v>1436</v>
      </c>
      <c r="E66" s="219" t="s">
        <v>1429</v>
      </c>
      <c r="F66" s="220">
        <v>42975.447118055556</v>
      </c>
      <c r="G66" s="219">
        <v>32</v>
      </c>
      <c r="H66" s="219" t="s">
        <v>1404</v>
      </c>
      <c r="I66" s="218" t="s">
        <v>1449</v>
      </c>
      <c r="J66" s="219"/>
    </row>
    <row r="67" spans="1:10" ht="60" x14ac:dyDescent="0.25">
      <c r="A67" s="219">
        <v>332191</v>
      </c>
      <c r="B67" s="219" t="s">
        <v>702</v>
      </c>
      <c r="C67" s="219" t="s">
        <v>1442</v>
      </c>
      <c r="D67" s="219" t="s">
        <v>1436</v>
      </c>
      <c r="E67" s="219" t="s">
        <v>1429</v>
      </c>
      <c r="F67" s="220">
        <v>42975.447094907409</v>
      </c>
      <c r="G67" s="219">
        <v>1003</v>
      </c>
      <c r="H67" s="219" t="s">
        <v>1404</v>
      </c>
      <c r="I67" s="218" t="s">
        <v>1445</v>
      </c>
      <c r="J67" s="219"/>
    </row>
    <row r="68" spans="1:10" ht="60" x14ac:dyDescent="0.25">
      <c r="A68" s="219">
        <v>332190</v>
      </c>
      <c r="B68" s="219" t="s">
        <v>702</v>
      </c>
      <c r="C68" s="219" t="s">
        <v>1442</v>
      </c>
      <c r="D68" s="219" t="s">
        <v>1436</v>
      </c>
      <c r="E68" s="219" t="s">
        <v>1429</v>
      </c>
      <c r="F68" s="220">
        <v>42975.447094907409</v>
      </c>
      <c r="G68" s="219">
        <v>1003</v>
      </c>
      <c r="H68" s="219" t="s">
        <v>1404</v>
      </c>
      <c r="I68" s="218" t="s">
        <v>1446</v>
      </c>
      <c r="J68" s="219"/>
    </row>
    <row r="69" spans="1:10" ht="409.5" x14ac:dyDescent="0.25">
      <c r="A69" s="219">
        <v>332189</v>
      </c>
      <c r="B69" s="219" t="s">
        <v>702</v>
      </c>
      <c r="C69" s="219" t="s">
        <v>1442</v>
      </c>
      <c r="D69" s="219" t="s">
        <v>1436</v>
      </c>
      <c r="E69" s="219" t="s">
        <v>1429</v>
      </c>
      <c r="F69" s="220">
        <v>42975.447094907409</v>
      </c>
      <c r="G69" s="219">
        <v>1003</v>
      </c>
      <c r="H69" s="219" t="s">
        <v>1404</v>
      </c>
      <c r="I69" s="218" t="s">
        <v>1447</v>
      </c>
      <c r="J69" s="219"/>
    </row>
    <row r="70" spans="1:10" x14ac:dyDescent="0.25">
      <c r="A70" s="219">
        <v>332188</v>
      </c>
      <c r="B70" s="219" t="s">
        <v>702</v>
      </c>
      <c r="C70" s="219" t="s">
        <v>1442</v>
      </c>
      <c r="D70" s="219" t="s">
        <v>1443</v>
      </c>
      <c r="E70" s="219" t="s">
        <v>1429</v>
      </c>
      <c r="F70" s="220">
        <v>42975.447083333333</v>
      </c>
      <c r="G70" s="219">
        <v>902</v>
      </c>
      <c r="H70" s="219" t="s">
        <v>1404</v>
      </c>
      <c r="I70" s="218" t="s">
        <v>1457</v>
      </c>
      <c r="J70" s="219"/>
    </row>
    <row r="71" spans="1:10" ht="165" x14ac:dyDescent="0.25">
      <c r="A71" s="219">
        <v>332187</v>
      </c>
      <c r="B71" s="219" t="s">
        <v>702</v>
      </c>
      <c r="C71" s="219" t="s">
        <v>1442</v>
      </c>
      <c r="D71" s="219" t="s">
        <v>1436</v>
      </c>
      <c r="E71" s="219" t="s">
        <v>1429</v>
      </c>
      <c r="F71" s="220">
        <v>42975.447083333333</v>
      </c>
      <c r="G71" s="219">
        <v>1066</v>
      </c>
      <c r="H71" s="219" t="s">
        <v>1404</v>
      </c>
      <c r="I71" s="218" t="s">
        <v>1458</v>
      </c>
      <c r="J71" s="219"/>
    </row>
    <row r="72" spans="1:10" ht="135" x14ac:dyDescent="0.25">
      <c r="A72" s="219">
        <v>332186</v>
      </c>
      <c r="B72" s="219" t="s">
        <v>702</v>
      </c>
      <c r="C72" s="219" t="s">
        <v>1448</v>
      </c>
      <c r="D72" s="219" t="s">
        <v>1436</v>
      </c>
      <c r="E72" s="219" t="s">
        <v>1429</v>
      </c>
      <c r="F72" s="220">
        <v>42975.447083333333</v>
      </c>
      <c r="G72" s="219">
        <v>45</v>
      </c>
      <c r="H72" s="219" t="s">
        <v>1404</v>
      </c>
      <c r="I72" s="218" t="s">
        <v>1459</v>
      </c>
      <c r="J72" s="219"/>
    </row>
    <row r="73" spans="1:10" x14ac:dyDescent="0.25">
      <c r="A73" s="219">
        <v>332185</v>
      </c>
      <c r="B73" s="219" t="s">
        <v>702</v>
      </c>
      <c r="C73" s="219" t="s">
        <v>1442</v>
      </c>
      <c r="D73" s="219" t="s">
        <v>1436</v>
      </c>
      <c r="E73" s="219" t="s">
        <v>1429</v>
      </c>
      <c r="F73" s="220">
        <v>42975.447071759256</v>
      </c>
      <c r="G73" s="219">
        <v>900</v>
      </c>
      <c r="H73" s="219" t="s">
        <v>1404</v>
      </c>
      <c r="I73" s="218" t="s">
        <v>1460</v>
      </c>
      <c r="J73" s="219"/>
    </row>
    <row r="74" spans="1:10" ht="150" x14ac:dyDescent="0.25">
      <c r="A74" s="219">
        <v>332184</v>
      </c>
      <c r="B74" s="219" t="s">
        <v>702</v>
      </c>
      <c r="C74" s="219" t="s">
        <v>1461</v>
      </c>
      <c r="D74" s="219" t="s">
        <v>1436</v>
      </c>
      <c r="E74" s="219" t="s">
        <v>1429</v>
      </c>
      <c r="F74" s="220">
        <v>42975.197662037041</v>
      </c>
      <c r="G74" s="219">
        <v>1001</v>
      </c>
      <c r="H74" s="219" t="s">
        <v>1404</v>
      </c>
      <c r="I74" s="218" t="s">
        <v>1462</v>
      </c>
      <c r="J74" s="219"/>
    </row>
    <row r="75" spans="1:10" ht="135" x14ac:dyDescent="0.25">
      <c r="A75" s="219">
        <v>332183</v>
      </c>
      <c r="B75" s="219" t="s">
        <v>702</v>
      </c>
      <c r="C75" s="219" t="s">
        <v>1461</v>
      </c>
      <c r="D75" s="219" t="s">
        <v>1436</v>
      </c>
      <c r="E75" s="219" t="s">
        <v>1429</v>
      </c>
      <c r="F75" s="220">
        <v>42975.197638888887</v>
      </c>
      <c r="G75" s="219">
        <v>1001</v>
      </c>
      <c r="H75" s="219" t="s">
        <v>1404</v>
      </c>
      <c r="I75" s="218" t="s">
        <v>1463</v>
      </c>
      <c r="J75" s="219"/>
    </row>
    <row r="76" spans="1:10" ht="105" x14ac:dyDescent="0.25">
      <c r="A76" s="219">
        <v>332182</v>
      </c>
      <c r="B76" s="219" t="s">
        <v>702</v>
      </c>
      <c r="C76" s="219" t="s">
        <v>1461</v>
      </c>
      <c r="D76" s="219" t="s">
        <v>1436</v>
      </c>
      <c r="E76" s="219" t="s">
        <v>1429</v>
      </c>
      <c r="F76" s="220">
        <v>42975.197627314818</v>
      </c>
      <c r="G76" s="219">
        <v>1001</v>
      </c>
      <c r="H76" s="219" t="s">
        <v>1404</v>
      </c>
      <c r="I76" s="218" t="s">
        <v>1464</v>
      </c>
      <c r="J76" s="219"/>
    </row>
    <row r="77" spans="1:10" x14ac:dyDescent="0.25">
      <c r="A77" s="219">
        <v>332181</v>
      </c>
      <c r="B77" s="219" t="s">
        <v>702</v>
      </c>
      <c r="C77" s="219" t="s">
        <v>1465</v>
      </c>
      <c r="D77" s="219" t="s">
        <v>1436</v>
      </c>
      <c r="E77" s="219" t="s">
        <v>1429</v>
      </c>
      <c r="F77" s="220">
        <v>42975.006898148145</v>
      </c>
      <c r="G77" s="219">
        <v>8224</v>
      </c>
      <c r="H77" s="219" t="s">
        <v>1404</v>
      </c>
      <c r="I77" s="218" t="s">
        <v>1466</v>
      </c>
      <c r="J77" s="219"/>
    </row>
  </sheetData>
  <conditionalFormatting sqref="A2:I2">
    <cfRule type="expression" dxfId="5" priority="5">
      <formula>$D2="ERROR"</formula>
    </cfRule>
    <cfRule type="expression" dxfId="4" priority="6">
      <formula>$D2="WARNING"</formula>
    </cfRule>
  </conditionalFormatting>
  <conditionalFormatting sqref="J3:J77">
    <cfRule type="expression" dxfId="3" priority="3">
      <formula>$D3="ERROR"</formula>
    </cfRule>
    <cfRule type="expression" dxfId="2" priority="4">
      <formula>$D3="WARNING"</formula>
    </cfRule>
  </conditionalFormatting>
  <conditionalFormatting sqref="A3:I77">
    <cfRule type="expression" dxfId="1" priority="1">
      <formula>$D3="ERROR"</formula>
    </cfRule>
    <cfRule type="expression" dxfId="0" priority="2">
      <formula>$D3="WARNING"</formula>
    </cfRule>
  </conditionalFormatting>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99</vt:i4>
      </vt:variant>
    </vt:vector>
  </HeadingPairs>
  <TitlesOfParts>
    <vt:vector size="139" baseType="lpstr">
      <vt:lpstr>Index</vt:lpstr>
      <vt:lpstr>_Index of Named Ranges</vt:lpstr>
      <vt:lpstr>Check List</vt:lpstr>
      <vt:lpstr>Anatomy of a System.GUID</vt:lpstr>
      <vt:lpstr>Application Event Log 20170829</vt:lpstr>
      <vt:lpstr>AssemblyInfo Subdivisions</vt:lpstr>
      <vt:lpstr>Commoon .NET Exception Types</vt:lpstr>
      <vt:lpstr>DependentAssemblyInfoReport 3</vt:lpstr>
      <vt:lpstr>DependentAssemblyInfoReport 2</vt:lpstr>
      <vt:lpstr>DependentAssemblyInfoReport 1</vt:lpstr>
      <vt:lpstr>Sheet1</vt:lpstr>
      <vt:lpstr>Escape Characters in C</vt:lpstr>
      <vt:lpstr>OutputOptions Bit Masks</vt:lpstr>
      <vt:lpstr>PESubsystemID Mappings</vt:lpstr>
      <vt:lpstr>STANDARD_DISPLAY_DATE_FORMAT XR</vt:lpstr>
      <vt:lpstr>String Resources to Relocate</vt:lpstr>
      <vt:lpstr>ERRMSG_ARG_IS_NULL XREF</vt:lpstr>
      <vt:lpstr>ERRMSG_ARG_IS_NULL_OR_EMPTY XRF</vt:lpstr>
      <vt:lpstr>CSVFileInfo XREF</vt:lpstr>
      <vt:lpstr>RegistryValues XREF</vt:lpstr>
      <vt:lpstr>SysDateFormatters XREF</vt:lpstr>
      <vt:lpstr>Catalog_WizardWrx_AssemblyPrope</vt:lpstr>
      <vt:lpstr>WizardWrx_DLLServices2_DLL_Conf</vt:lpstr>
      <vt:lpstr>FatalExceptionTextColor XREF</vt:lpstr>
      <vt:lpstr>ConsoleStreams Strings</vt:lpstr>
      <vt:lpstr>ConsoleStreams Strings XREF</vt:lpstr>
      <vt:lpstr>_Private Links</vt:lpstr>
      <vt:lpstr>Byte Order Marks</vt:lpstr>
      <vt:lpstr>MagicNumbers</vt:lpstr>
      <vt:lpstr>GetFinalPathNameByHandleW</vt:lpstr>
      <vt:lpstr>DLLServices2TestStand Classes</vt:lpstr>
      <vt:lpstr>xsd_exe_Inventory_ENIGMA</vt:lpstr>
      <vt:lpstr>New Special_Characters</vt:lpstr>
      <vt:lpstr>Directories on Path (ENIGMA)</vt:lpstr>
      <vt:lpstr>SharedUtl4 TestStand Settings</vt:lpstr>
      <vt:lpstr>SharedUtl2 TestStand Strings</vt:lpstr>
      <vt:lpstr>SharedUtl4 Test Classes</vt:lpstr>
      <vt:lpstr>Windows Forms Keys</vt:lpstr>
      <vt:lpstr>DependentAssemblyInfoReport IMP</vt:lpstr>
      <vt:lpstr>Windows Event Log IMPORT</vt:lpstr>
      <vt:lpstr>__Workbook_Index</vt:lpstr>
      <vt:lpstr>ActiveProperties</vt:lpstr>
      <vt:lpstr>ActivePropsEverywhere</vt:lpstr>
      <vt:lpstr>ActivePropsToEventLog</vt:lpstr>
      <vt:lpstr>ActivePropsToStdErr</vt:lpstr>
      <vt:lpstr>ActivePropsToStdOut</vt:lpstr>
      <vt:lpstr>'Windows Event Log IMPORT'!Application_ZAPHOD42_20140305_004026</vt:lpstr>
      <vt:lpstr>AssemblyPropertyViewer_CS</vt:lpstr>
      <vt:lpstr>AssemblyPropertyViewer_Source_Directory</vt:lpstr>
      <vt:lpstr>BinaryRecordBuffer_CS</vt:lpstr>
      <vt:lpstr>DataEaseDirectoryReader_SourceDirectory</vt:lpstr>
      <vt:lpstr>Date2FN_Source_Directory</vt:lpstr>
      <vt:lpstr>'DependentAssemblyInfoReport 1'!DependentAssemblyInfoReport_20170328_021444</vt:lpstr>
      <vt:lpstr>'DependentAssemblyInfoReport IMP'!DependentAssemblyInfoReport_20170328_021444</vt:lpstr>
      <vt:lpstr>Destiations</vt:lpstr>
      <vt:lpstr>Directories_on_Path_Details</vt:lpstr>
      <vt:lpstr>Directories_on_Path_Labels</vt:lpstr>
      <vt:lpstr>'CSVFileInfo XREF'!DisplayOrder_XREF_20140721_182516</vt:lpstr>
      <vt:lpstr>'ERRMSG_ARG_IS_NULL XREF'!DisplayOrder_XREF_20140721_182516</vt:lpstr>
      <vt:lpstr>'ERRMSG_ARG_IS_NULL_OR_EMPTY XRF'!DisplayOrder_XREF_20140721_182516</vt:lpstr>
      <vt:lpstr>'RegistryValues XREF'!DisplayOrder_XREF_20140721_182516</vt:lpstr>
      <vt:lpstr>'SysDateFormatters XREF'!DisplayOrder_XREF_20140721_182516</vt:lpstr>
      <vt:lpstr>DLLServices_Source_Util_CS</vt:lpstr>
      <vt:lpstr>DLLServices2_Source_Directory</vt:lpstr>
      <vt:lpstr>DLLServices2_Test_Stand_Progrm_Directory</vt:lpstr>
      <vt:lpstr>'Directories on Path (ENIGMA)'!Environment_Block_Label</vt:lpstr>
      <vt:lpstr>'Directories on Path (ENIGMA)'!Equaity_Operator</vt:lpstr>
      <vt:lpstr>EventLog</vt:lpstr>
      <vt:lpstr>FileNameSuffixEngine.cs</vt:lpstr>
      <vt:lpstr>FileNameSuffixEngine_CS_Source_Filename</vt:lpstr>
      <vt:lpstr>FormsDirectory_CS</vt:lpstr>
      <vt:lpstr>GUIDBytes_1</vt:lpstr>
      <vt:lpstr>Inclusions</vt:lpstr>
      <vt:lpstr>MagicNumbers!Longest_Name</vt:lpstr>
      <vt:lpstr>MemCalc_Program_CS</vt:lpstr>
      <vt:lpstr>MemCalc_Source_Directory</vt:lpstr>
      <vt:lpstr>Method</vt:lpstr>
      <vt:lpstr>MagicNumbers!Name_Lengths</vt:lpstr>
      <vt:lpstr>NewClassTests_20140914_CS</vt:lpstr>
      <vt:lpstr>OutputOptions_ActiveProperties</vt:lpstr>
      <vt:lpstr>OutputOptions_ActivePropsEverywhere</vt:lpstr>
      <vt:lpstr>OutputOptions_ActivePropsToEventLog</vt:lpstr>
      <vt:lpstr>OutputOptions_ActivePropsToStdErr</vt:lpstr>
      <vt:lpstr>OutputOptions_ActivePropsToStdOut</vt:lpstr>
      <vt:lpstr>OutputOptions_AllDestinations</vt:lpstr>
      <vt:lpstr>OutputOptions_AllFlags</vt:lpstr>
      <vt:lpstr>OutputOptions_AllProperties</vt:lpstr>
      <vt:lpstr>OutputOptions_Bit_Masks_Details</vt:lpstr>
      <vt:lpstr>OutputOptions_Bit_Masks_Labels</vt:lpstr>
      <vt:lpstr>OutputOptions_DiscardNewlines</vt:lpstr>
      <vt:lpstr>OutputOptions_EventLog</vt:lpstr>
      <vt:lpstr>OutputOptions_Method</vt:lpstr>
      <vt:lpstr>OutputOptions_NBSpaceForNewlines</vt:lpstr>
      <vt:lpstr>OutputOptions_NoFlags</vt:lpstr>
      <vt:lpstr>OutputOptions_Source</vt:lpstr>
      <vt:lpstr>OutputOptions_Stack</vt:lpstr>
      <vt:lpstr>OutputOptions_StandardError</vt:lpstr>
      <vt:lpstr>OutputOptions_StandardOutput</vt:lpstr>
      <vt:lpstr>'Directories on Path (ENIGMA)'!Path_String_Lengths</vt:lpstr>
      <vt:lpstr>Program_Files_Root_Directory_Name</vt:lpstr>
      <vt:lpstr>ProgramFiles_Directory_Name</vt:lpstr>
      <vt:lpstr>ProgramFiles_x86_Directory_Name</vt:lpstr>
      <vt:lpstr>Reserved1</vt:lpstr>
      <vt:lpstr>Reserved2</vt:lpstr>
      <vt:lpstr>Resource_String_Added</vt:lpstr>
      <vt:lpstr>Resource_String_Deleted</vt:lpstr>
      <vt:lpstr>Resource_String_Disposition_Choices</vt:lpstr>
      <vt:lpstr>Resource_String_Tested</vt:lpstr>
      <vt:lpstr>s_achrUTF16_BE</vt:lpstr>
      <vt:lpstr>s_achrUTF16_LE</vt:lpstr>
      <vt:lpstr>s_achrUTF32_BE</vt:lpstr>
      <vt:lpstr>s_achrUTF32_LE</vt:lpstr>
      <vt:lpstr>s_achrUTF8</vt:lpstr>
      <vt:lpstr>SharedUtl4_Test_Stand_Progrm_Directory</vt:lpstr>
      <vt:lpstr>Source</vt:lpstr>
      <vt:lpstr>Source_Code_Status_Choices</vt:lpstr>
      <vt:lpstr>Source_File_Status_Fixed</vt:lpstr>
      <vt:lpstr>Source_File_Status_Obsolete_Frozen</vt:lpstr>
      <vt:lpstr>Source_File_Status_Will_Break</vt:lpstr>
      <vt:lpstr>'CSVFileInfo XREF'!Source_File_Statuses</vt:lpstr>
      <vt:lpstr>'ERRMSG_ARG_IS_NULL XREF'!Source_File_Statuses</vt:lpstr>
      <vt:lpstr>'ERRMSG_ARG_IS_NULL_OR_EMPTY XRF'!Source_File_Statuses</vt:lpstr>
      <vt:lpstr>'RegistryValues XREF'!Source_File_Statuses</vt:lpstr>
      <vt:lpstr>'SysDateFormatters XREF'!Source_File_Statuses</vt:lpstr>
      <vt:lpstr>Stack</vt:lpstr>
      <vt:lpstr>StandardError</vt:lpstr>
      <vt:lpstr>StandardOutput</vt:lpstr>
      <vt:lpstr>Status_Choices</vt:lpstr>
      <vt:lpstr>Status_Done</vt:lpstr>
      <vt:lpstr>Status_In_Progress</vt:lpstr>
      <vt:lpstr>Status_Ready_to_Test</vt:lpstr>
      <vt:lpstr>'Directories on Path (ENIGMA)'!Substring_Count</vt:lpstr>
      <vt:lpstr>'Directories on Path (ENIGMA)'!Substring_Nbr</vt:lpstr>
      <vt:lpstr>SupportedEncoders</vt:lpstr>
      <vt:lpstr>TableDrivenConversionEngine_CS</vt:lpstr>
      <vt:lpstr>TestStandNamespaceName</vt:lpstr>
      <vt:lpstr>'Directories on Path (ENIGMA)'!Total_Length_Exclusive_of_Delimiters</vt:lpstr>
      <vt:lpstr>Undefined</vt:lpstr>
      <vt:lpstr>Windows_Root_Directory_Name</vt:lpstr>
    </vt:vector>
  </TitlesOfParts>
  <Manager>Myself, on behalf of God</Manager>
  <Company>David A. Gray, MBA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Design, Development, and Testing Worksheets</dc:title>
  <dc:subject>WizardWrx.DLLServices2.dll, version 7.0</dc:subject>
  <dc:creator>David A. Gray</dc:creator>
  <cp:keywords>WizardWrx, DLLServices2, Microsoft .NET Class Librarires, Version 7</cp:keywords>
  <dc:description>The password for protected worksheets is AhuraMazda.</dc:description>
  <cp:lastModifiedBy>David A. Gray</cp:lastModifiedBy>
  <dcterms:created xsi:type="dcterms:W3CDTF">2013-10-12T17:21:37Z</dcterms:created>
  <dcterms:modified xsi:type="dcterms:W3CDTF">2017-10-23T03:29:33Z</dcterms:modified>
  <cp:category>Project Development Artifacts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f78382f7-ee75-4579-8020-80fb628da48a</vt:lpwstr>
  </property>
</Properties>
</file>