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3505" windowHeight="9525" activeTab="1"/>
  </bookViews>
  <sheets>
    <sheet name="OutputOptions Bit Masks" sheetId="1" r:id="rId1"/>
    <sheet name="Messages" sheetId="2" r:id="rId2"/>
  </sheets>
  <definedNames>
    <definedName name="ActiveProperties">'OutputOptions Bit Masks'!$C$14</definedName>
    <definedName name="ActivePropsEverywhere">'OutputOptions Bit Masks'!$C$18</definedName>
    <definedName name="ActivePropsToEventLog">'OutputOptions Bit Masks'!$C$15</definedName>
    <definedName name="ActivePropsToStdErr">'OutputOptions Bit Masks'!$C$16</definedName>
    <definedName name="ActivePropsToStdOut">'OutputOptions Bit Masks'!$C$17</definedName>
    <definedName name="Destiations">'OutputOptions Bit Masks'!$C$20</definedName>
    <definedName name="EventLog">'OutputOptions Bit Masks'!$C$8</definedName>
    <definedName name="Inclusions">'OutputOptions Bit Masks'!$C$19</definedName>
    <definedName name="Method">'OutputOptions Bit Masks'!$C$5</definedName>
    <definedName name="Reserved1">'OutputOptions Bit Masks'!$C$11</definedName>
    <definedName name="Reserved2">'OutputOptions Bit Masks'!$C$12</definedName>
    <definedName name="Source">'OutputOptions Bit Masks'!$C$6</definedName>
    <definedName name="Stack">'OutputOptions Bit Masks'!$C$7</definedName>
    <definedName name="StandardError">'OutputOptions Bit Masks'!$C$10</definedName>
    <definedName name="StandardOutput">'OutputOptions Bit Masks'!$C$9</definedName>
    <definedName name="Undefined">'OutputOptions Bit Masks'!$C$4</definedName>
  </definedNames>
  <calcPr calcId="145621"/>
</workbook>
</file>

<file path=xl/calcChain.xml><?xml version="1.0" encoding="utf-8"?>
<calcChain xmlns="http://schemas.openxmlformats.org/spreadsheetml/2006/main">
  <c r="C14" i="1" l="1"/>
  <c r="E14" i="1" s="1"/>
  <c r="C19" i="1"/>
  <c r="C20" i="1"/>
  <c r="D20" i="1" s="1"/>
  <c r="E19" i="1"/>
  <c r="E20" i="1"/>
  <c r="D19" i="1"/>
  <c r="E4" i="1"/>
  <c r="D4" i="1"/>
  <c r="C2" i="1"/>
  <c r="E2" i="1" s="1"/>
  <c r="D12" i="1"/>
  <c r="E12" i="1"/>
  <c r="D11" i="1"/>
  <c r="E11" i="1"/>
  <c r="D10" i="1"/>
  <c r="E10" i="1"/>
  <c r="D9" i="1"/>
  <c r="E9" i="1"/>
  <c r="D8" i="1"/>
  <c r="E8" i="1"/>
  <c r="D7" i="1"/>
  <c r="E7" i="1"/>
  <c r="D6" i="1"/>
  <c r="E6" i="1"/>
  <c r="E5" i="1"/>
  <c r="D5" i="1"/>
  <c r="C16" i="1" l="1"/>
  <c r="E16" i="1" s="1"/>
  <c r="C18" i="1"/>
  <c r="D16" i="1"/>
  <c r="C15" i="1"/>
  <c r="C17" i="1"/>
  <c r="C21" i="1"/>
  <c r="D14" i="1"/>
  <c r="D21" i="1"/>
  <c r="E21" i="1"/>
  <c r="D2" i="1"/>
  <c r="E18" i="1" l="1"/>
  <c r="D18" i="1"/>
  <c r="E17" i="1"/>
  <c r="D17" i="1"/>
  <c r="D15" i="1"/>
  <c r="E15" i="1"/>
</calcChain>
</file>

<file path=xl/sharedStrings.xml><?xml version="1.0" encoding="utf-8"?>
<sst xmlns="http://schemas.openxmlformats.org/spreadsheetml/2006/main" count="48" uniqueCount="48">
  <si>
    <t>Decimal</t>
  </si>
  <si>
    <t>Hexadecimal</t>
  </si>
  <si>
    <t>Binary</t>
  </si>
  <si>
    <t>Method</t>
  </si>
  <si>
    <t>Source</t>
  </si>
  <si>
    <t>Stack</t>
  </si>
  <si>
    <t>EventLog</t>
  </si>
  <si>
    <t>StandardOutput</t>
  </si>
  <si>
    <t>StandardError</t>
  </si>
  <si>
    <t>Reserved1</t>
  </si>
  <si>
    <t>Reserved2</t>
  </si>
  <si>
    <t>RecordedInEventLog</t>
  </si>
  <si>
    <t>RecordedInStandardOutput</t>
  </si>
  <si>
    <t>RecordedInStandardError</t>
  </si>
  <si>
    <t>ErrorExitOptions</t>
  </si>
  <si>
    <t>OutputOptions</t>
  </si>
  <si>
    <t>Highest Bit</t>
  </si>
  <si>
    <t>Succeeded</t>
  </si>
  <si>
    <t>Undefined</t>
  </si>
  <si>
    <t>AllFlags</t>
  </si>
  <si>
    <t>AllDestiations</t>
  </si>
  <si>
    <t>AllProperties</t>
  </si>
  <si>
    <t>ActiveProperties</t>
  </si>
  <si>
    <t>ActivePropsToEventLog</t>
  </si>
  <si>
    <t>ActivePropsToStdErr</t>
  </si>
  <si>
    <t>ActivePropsToStdOut</t>
  </si>
  <si>
    <t>1, 2, 3</t>
  </si>
  <si>
    <t>Bit(s)</t>
  </si>
  <si>
    <t>1, 2, 3, 4</t>
  </si>
  <si>
    <t>1, 2, 3, 6</t>
  </si>
  <si>
    <t>1, 2, 3, 5</t>
  </si>
  <si>
    <t>1, 1, 3, 7, 8</t>
  </si>
  <si>
    <t>4, 5, 6</t>
  </si>
  <si>
    <t>1, 2, 3, 4, 5, 6, 7, 8</t>
  </si>
  <si>
    <t>ActivePropsEverywhere</t>
  </si>
  <si>
    <t>1, 2, 3, 4, 5, 6</t>
  </si>
  <si>
    <t>ERRMSG_RUNTIME_SEE_MESSAGE_ABOVE</t>
  </si>
  <si>
    <t>A run-time exception forced the program to end prematurely.{0}Please see the message just above this line.</t>
  </si>
  <si>
    <t>The ExceptionLogger.GetReservedErrorMessage uses this message to report that a run-time exception was reported in the consoue output stream.</t>
  </si>
  <si>
    <t>ERRMSG_RUNTIME_SEE_EVENT_LOG</t>
  </si>
  <si>
    <t>A run-time exception forced the program to end prematurely.{0}Pleasr see he (0) event log for a message with event source = (0).</t>
  </si>
  <si>
    <t>The ExceptionLogger.GetReservedErrorMessage uses this message to report that a run-time exception was reported in a Windows event log.</t>
  </si>
  <si>
    <t>ERRMSG_INVALID_ERROREXITOPTIONS</t>
  </si>
  <si>
    <t xml:space="preserve">The ExceptionLogger.GetReservedErrorMessage uses this message to report that it was called with an invalid ErrorExitOptions value. </t>
  </si>
  <si>
    <t>Name</t>
  </si>
  <si>
    <t>Value</t>
  </si>
  <si>
    <t>Comment</t>
  </si>
  <si>
    <t>An internal error has occurred.{1}Internal routine GetReservedErrorMessage was called with an invalid ErrorExitOptions value of {0}.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</si>
</sst>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onsolas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4"/>
      <color theme="6" tint="-0.499984740745262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3" fillId="3" borderId="2" xfId="0" applyFont="1" applyFill="1" applyBorder="1"/>
    <xf numFmtId="0" fontId="0" fillId="0" borderId="2" xfId="0" applyBorder="1" applyAlignment="1">
      <alignment vertical="top"/>
    </xf>
    <xf numFmtId="0" fontId="1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F21"/>
  <sheetViews>
    <sheetView workbookViewId="0">
      <selection activeCell="A20" sqref="A20"/>
    </sheetView>
  </sheetViews>
  <sheetFormatPr defaultRowHeight="15" x14ac:dyDescent="0.25"/>
  <cols>
    <col min="1" max="1" width="23.625" bestFit="1" customWidth="1"/>
    <col min="2" max="2" width="25.375" bestFit="1" customWidth="1"/>
    <col min="3" max="3" width="8.625" bestFit="1" customWidth="1"/>
    <col min="4" max="4" width="13.25" bestFit="1" customWidth="1"/>
    <col min="5" max="5" width="8.875" bestFit="1" customWidth="1"/>
    <col min="6" max="6" width="23.25" bestFit="1" customWidth="1"/>
  </cols>
  <sheetData>
    <row r="1" spans="1:6" x14ac:dyDescent="0.25">
      <c r="A1" s="1" t="s">
        <v>15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27</v>
      </c>
    </row>
    <row r="2" spans="1:6" x14ac:dyDescent="0.25">
      <c r="A2" s="1" t="s">
        <v>16</v>
      </c>
      <c r="B2" s="2"/>
      <c r="C2" s="3">
        <f>MAX(C5:C12)</f>
        <v>128</v>
      </c>
      <c r="D2" s="3" t="str">
        <f>CONCATENATE("0x",DEC2HEX(C2,2))</f>
        <v>0x80</v>
      </c>
      <c r="E2" s="3" t="str">
        <f>DEC2BIN(C2,8)</f>
        <v>10000000</v>
      </c>
      <c r="F2" s="3">
        <v>8</v>
      </c>
    </row>
    <row r="3" spans="1:6" x14ac:dyDescent="0.25">
      <c r="A3" s="1"/>
      <c r="B3" s="2"/>
      <c r="C3" s="3"/>
      <c r="D3" s="3"/>
      <c r="E3" s="3"/>
      <c r="F3" s="3"/>
    </row>
    <row r="4" spans="1:6" x14ac:dyDescent="0.25">
      <c r="A4" s="1" t="s">
        <v>18</v>
      </c>
      <c r="B4" s="3" t="s">
        <v>17</v>
      </c>
      <c r="C4" s="3">
        <v>0</v>
      </c>
      <c r="D4" s="3" t="str">
        <f>CONCATENATE("0x",DEC2HEX(C4,2))</f>
        <v>0x00</v>
      </c>
      <c r="E4" s="3" t="str">
        <f>DEC2BIN(C4,8)</f>
        <v>00000000</v>
      </c>
      <c r="F4" s="3">
        <v>0</v>
      </c>
    </row>
    <row r="5" spans="1:6" x14ac:dyDescent="0.25">
      <c r="A5" s="1" t="s">
        <v>3</v>
      </c>
      <c r="B5" s="3"/>
      <c r="C5" s="3">
        <v>1</v>
      </c>
      <c r="D5" s="3" t="str">
        <f>CONCATENATE("0x",DEC2HEX(C5,2))</f>
        <v>0x01</v>
      </c>
      <c r="E5" s="3" t="str">
        <f>DEC2BIN(C5,8)</f>
        <v>00000001</v>
      </c>
      <c r="F5" s="3">
        <v>1</v>
      </c>
    </row>
    <row r="6" spans="1:6" x14ac:dyDescent="0.25">
      <c r="A6" s="1" t="s">
        <v>4</v>
      </c>
      <c r="B6" s="3"/>
      <c r="C6" s="3">
        <v>2</v>
      </c>
      <c r="D6" s="3" t="str">
        <f>CONCATENATE("0x",DEC2HEX(C6,2))</f>
        <v>0x02</v>
      </c>
      <c r="E6" s="3" t="str">
        <f>DEC2BIN(C6,8)</f>
        <v>00000010</v>
      </c>
      <c r="F6" s="3">
        <v>2</v>
      </c>
    </row>
    <row r="7" spans="1:6" x14ac:dyDescent="0.25">
      <c r="A7" s="1" t="s">
        <v>5</v>
      </c>
      <c r="B7" s="3"/>
      <c r="C7" s="3">
        <v>4</v>
      </c>
      <c r="D7" s="3" t="str">
        <f>CONCATENATE("0x",DEC2HEX(C7,2))</f>
        <v>0x04</v>
      </c>
      <c r="E7" s="3" t="str">
        <f>DEC2BIN(C7,8)</f>
        <v>00000100</v>
      </c>
      <c r="F7" s="3">
        <v>3</v>
      </c>
    </row>
    <row r="8" spans="1:6" x14ac:dyDescent="0.25">
      <c r="A8" s="1" t="s">
        <v>6</v>
      </c>
      <c r="B8" s="3" t="s">
        <v>11</v>
      </c>
      <c r="C8" s="3">
        <v>8</v>
      </c>
      <c r="D8" s="3" t="str">
        <f>CONCATENATE("0x",DEC2HEX(C8,2))</f>
        <v>0x08</v>
      </c>
      <c r="E8" s="3" t="str">
        <f>DEC2BIN(C8,8)</f>
        <v>00001000</v>
      </c>
      <c r="F8" s="3">
        <v>4</v>
      </c>
    </row>
    <row r="9" spans="1:6" x14ac:dyDescent="0.25">
      <c r="A9" s="1" t="s">
        <v>7</v>
      </c>
      <c r="B9" s="3" t="s">
        <v>12</v>
      </c>
      <c r="C9" s="3">
        <v>16</v>
      </c>
      <c r="D9" s="3" t="str">
        <f>CONCATENATE("0x",DEC2HEX(C9,2))</f>
        <v>0x10</v>
      </c>
      <c r="E9" s="3" t="str">
        <f>DEC2BIN(C9,8)</f>
        <v>00010000</v>
      </c>
      <c r="F9" s="3">
        <v>5</v>
      </c>
    </row>
    <row r="10" spans="1:6" x14ac:dyDescent="0.25">
      <c r="A10" s="1" t="s">
        <v>8</v>
      </c>
      <c r="B10" s="3" t="s">
        <v>13</v>
      </c>
      <c r="C10" s="3">
        <v>32</v>
      </c>
      <c r="D10" s="3" t="str">
        <f>CONCATENATE("0x",DEC2HEX(C10,2))</f>
        <v>0x20</v>
      </c>
      <c r="E10" s="3" t="str">
        <f>DEC2BIN(C10,8)</f>
        <v>00100000</v>
      </c>
      <c r="F10" s="3">
        <v>6</v>
      </c>
    </row>
    <row r="11" spans="1:6" x14ac:dyDescent="0.25">
      <c r="A11" s="1" t="s">
        <v>9</v>
      </c>
      <c r="B11" s="3"/>
      <c r="C11" s="3">
        <v>64</v>
      </c>
      <c r="D11" s="3" t="str">
        <f>CONCATENATE("0x",DEC2HEX(C11,2))</f>
        <v>0x40</v>
      </c>
      <c r="E11" s="3" t="str">
        <f>DEC2BIN(C11,8)</f>
        <v>01000000</v>
      </c>
      <c r="F11" s="3">
        <v>7</v>
      </c>
    </row>
    <row r="12" spans="1:6" x14ac:dyDescent="0.25">
      <c r="A12" s="1" t="s">
        <v>10</v>
      </c>
      <c r="B12" s="3"/>
      <c r="C12" s="3">
        <v>128</v>
      </c>
      <c r="D12" s="3" t="str">
        <f>CONCATENATE("0x",DEC2HEX(C12,2))</f>
        <v>0x80</v>
      </c>
      <c r="E12" s="3" t="str">
        <f>DEC2BIN(C12,8)</f>
        <v>10000000</v>
      </c>
      <c r="F12" s="3">
        <v>8</v>
      </c>
    </row>
    <row r="13" spans="1:6" x14ac:dyDescent="0.25">
      <c r="A13" s="1"/>
      <c r="B13" s="3"/>
      <c r="C13" s="3"/>
      <c r="D13" s="3"/>
      <c r="E13" s="3"/>
      <c r="F13" s="3"/>
    </row>
    <row r="14" spans="1:6" x14ac:dyDescent="0.25">
      <c r="A14" s="1" t="s">
        <v>22</v>
      </c>
      <c r="B14" s="3"/>
      <c r="C14" s="3">
        <f>Method+Source+Stack</f>
        <v>7</v>
      </c>
      <c r="D14" s="3" t="str">
        <f>CONCATENATE("0x",DEC2HEX(C14,2))</f>
        <v>0x07</v>
      </c>
      <c r="E14" s="3" t="str">
        <f>DEC2BIN(C14,8)</f>
        <v>00000111</v>
      </c>
      <c r="F14" s="3" t="s">
        <v>26</v>
      </c>
    </row>
    <row r="15" spans="1:6" x14ac:dyDescent="0.25">
      <c r="A15" s="1" t="s">
        <v>23</v>
      </c>
      <c r="B15" s="3"/>
      <c r="C15" s="3">
        <f>ActiveProperties+EventLog</f>
        <v>15</v>
      </c>
      <c r="D15" s="3" t="str">
        <f>CONCATENATE("0x",DEC2HEX(C15,2))</f>
        <v>0x0F</v>
      </c>
      <c r="E15" s="3" t="str">
        <f>DEC2BIN(C15,8)</f>
        <v>00001111</v>
      </c>
      <c r="F15" s="3" t="s">
        <v>28</v>
      </c>
    </row>
    <row r="16" spans="1:6" x14ac:dyDescent="0.25">
      <c r="A16" s="1" t="s">
        <v>24</v>
      </c>
      <c r="B16" s="3"/>
      <c r="C16" s="3">
        <f>ActiveProperties+StandardError</f>
        <v>39</v>
      </c>
      <c r="D16" s="3" t="str">
        <f>CONCATENATE("0x",DEC2HEX(C16,2))</f>
        <v>0x27</v>
      </c>
      <c r="E16" s="3" t="str">
        <f>DEC2BIN(C16,8)</f>
        <v>00100111</v>
      </c>
      <c r="F16" s="3" t="s">
        <v>29</v>
      </c>
    </row>
    <row r="17" spans="1:6" x14ac:dyDescent="0.25">
      <c r="A17" s="1" t="s">
        <v>25</v>
      </c>
      <c r="B17" s="3"/>
      <c r="C17" s="3">
        <f>ActiveProperties+StandardOutput</f>
        <v>23</v>
      </c>
      <c r="D17" s="3" t="str">
        <f>CONCATENATE("0x",DEC2HEX(C17,2))</f>
        <v>0x17</v>
      </c>
      <c r="E17" s="3" t="str">
        <f>DEC2BIN(C17,8)</f>
        <v>00010111</v>
      </c>
      <c r="F17" s="3" t="s">
        <v>30</v>
      </c>
    </row>
    <row r="18" spans="1:6" x14ac:dyDescent="0.25">
      <c r="A18" s="1" t="s">
        <v>34</v>
      </c>
      <c r="B18" s="3"/>
      <c r="C18" s="3">
        <f>ActiveProperties+EventLog+StandardError+StandardOutput</f>
        <v>63</v>
      </c>
      <c r="D18" s="3" t="str">
        <f>CONCATENATE("0x",DEC2HEX(C18,2))</f>
        <v>0x3F</v>
      </c>
      <c r="E18" s="3" t="str">
        <f>DEC2BIN(C18,8)</f>
        <v>00111111</v>
      </c>
      <c r="F18" s="3" t="s">
        <v>35</v>
      </c>
    </row>
    <row r="19" spans="1:6" x14ac:dyDescent="0.25">
      <c r="A19" s="1" t="s">
        <v>21</v>
      </c>
      <c r="B19" s="3"/>
      <c r="C19" s="3">
        <f>Method+Source+Stack+Reserved1+Reserved2</f>
        <v>199</v>
      </c>
      <c r="D19" s="3" t="str">
        <f>CONCATENATE("0x",DEC2HEX(C19,2))</f>
        <v>0xC7</v>
      </c>
      <c r="E19" s="3" t="str">
        <f>DEC2BIN(C19,8)</f>
        <v>11000111</v>
      </c>
      <c r="F19" s="3" t="s">
        <v>31</v>
      </c>
    </row>
    <row r="20" spans="1:6" x14ac:dyDescent="0.25">
      <c r="A20" s="1" t="s">
        <v>20</v>
      </c>
      <c r="B20" s="3"/>
      <c r="C20" s="3">
        <f>EventLog+StandardError+StandardOutput</f>
        <v>56</v>
      </c>
      <c r="D20" s="3" t="str">
        <f>CONCATENATE("0x",DEC2HEX(C20,2))</f>
        <v>0x38</v>
      </c>
      <c r="E20" s="3" t="str">
        <f>DEC2BIN(C20,8)</f>
        <v>00111000</v>
      </c>
      <c r="F20" s="3" t="s">
        <v>32</v>
      </c>
    </row>
    <row r="21" spans="1:6" x14ac:dyDescent="0.25">
      <c r="A21" s="1" t="s">
        <v>19</v>
      </c>
      <c r="B21" s="3"/>
      <c r="C21" s="3">
        <f>Inclusions+Destiations</f>
        <v>255</v>
      </c>
      <c r="D21" s="3" t="str">
        <f>CONCATENATE("0x",DEC2HEX(C21,2))</f>
        <v>0xFF</v>
      </c>
      <c r="E21" s="3" t="str">
        <f>DEC2BIN(C21,8)</f>
        <v>11111111</v>
      </c>
      <c r="F21" s="3" t="s">
        <v>33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C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defaultRowHeight="15" x14ac:dyDescent="0.25"/>
  <cols>
    <col min="1" max="1" width="33.625" bestFit="1" customWidth="1"/>
    <col min="2" max="2" width="112.375" bestFit="1" customWidth="1"/>
    <col min="3" max="3" width="125.125" bestFit="1" customWidth="1"/>
  </cols>
  <sheetData>
    <row r="1" spans="1:3" ht="18" x14ac:dyDescent="0.25">
      <c r="A1" s="4" t="s">
        <v>44</v>
      </c>
      <c r="B1" s="4" t="s">
        <v>45</v>
      </c>
      <c r="C1" s="4" t="s">
        <v>46</v>
      </c>
    </row>
    <row r="2" spans="1:3" x14ac:dyDescent="0.25">
      <c r="A2" s="5" t="s">
        <v>36</v>
      </c>
      <c r="B2" s="6" t="s">
        <v>37</v>
      </c>
      <c r="C2" s="6" t="s">
        <v>38</v>
      </c>
    </row>
    <row r="3" spans="1:3" x14ac:dyDescent="0.25">
      <c r="A3" s="5" t="s">
        <v>39</v>
      </c>
      <c r="B3" s="6" t="s">
        <v>40</v>
      </c>
      <c r="C3" s="6" t="s">
        <v>41</v>
      </c>
    </row>
    <row r="4" spans="1:3" x14ac:dyDescent="0.25">
      <c r="A4" s="5" t="s">
        <v>42</v>
      </c>
      <c r="B4" s="6" t="s">
        <v>47</v>
      </c>
      <c r="C4" s="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OutputOptions Bit Masks</vt:lpstr>
      <vt:lpstr>Messages</vt:lpstr>
      <vt:lpstr>ActiveProperties</vt:lpstr>
      <vt:lpstr>ActivePropsEverywhere</vt:lpstr>
      <vt:lpstr>ActivePropsToEventLog</vt:lpstr>
      <vt:lpstr>ActivePropsToStdErr</vt:lpstr>
      <vt:lpstr>ActivePropsToStdOut</vt:lpstr>
      <vt:lpstr>Destiations</vt:lpstr>
      <vt:lpstr>EventLog</vt:lpstr>
      <vt:lpstr>Inclusions</vt:lpstr>
      <vt:lpstr>Method</vt:lpstr>
      <vt:lpstr>Reserved1</vt:lpstr>
      <vt:lpstr>Reserved2</vt:lpstr>
      <vt:lpstr>Source</vt:lpstr>
      <vt:lpstr>Stack</vt:lpstr>
      <vt:lpstr>StandardError</vt:lpstr>
      <vt:lpstr>StandardOutput</vt:lpstr>
      <vt:lpstr>Undefined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Design and Testing Worksheets</dc:title>
  <dc:subject>WizardWrx.DLLServices2.dll, version 6.1</dc:subject>
  <dc:creator>David A. Gray</dc:creator>
  <cp:lastModifiedBy>David A. Gray</cp:lastModifiedBy>
  <dcterms:created xsi:type="dcterms:W3CDTF">2016-05-12T04:27:33Z</dcterms:created>
  <dcterms:modified xsi:type="dcterms:W3CDTF">2016-05-12T07:43:51Z</dcterms:modified>
</cp:coreProperties>
</file>